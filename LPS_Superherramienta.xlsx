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ISTAS" sheetId="2" state="visible" r:id="rId4"/>
    <sheet name="MASTER" sheetId="3" state="visible" r:id="rId5"/>
    <sheet name="LOOKAHEAD" sheetId="4" state="visible" r:id="rId6"/>
    <sheet name="RESTRICCIONES" sheetId="5" state="visible" r:id="rId7"/>
    <sheet name="SEMANAL" sheetId="6" state="visible" r:id="rId8"/>
    <sheet name="DASHBOARD" sheetId="7" state="visible" r:id="rId9"/>
  </sheets>
  <definedNames>
    <definedName function="false" hidden="true" localSheetId="3" name="_xlnm._FilterDatabase" vbProcedure="false">LOOKAHEAD!$A$4:$U$204</definedName>
    <definedName function="false" hidden="true" localSheetId="4" name="_xlnm._FilterDatabase" vbProcedure="false">RESTRICCIONES!$A$4:$O$304</definedName>
    <definedName function="false" hidden="true" localSheetId="5" name="_xlnm._FilterDatabase" vbProcedure="false">SEMANAL!$A$6:$AA$506</definedName>
    <definedName function="false" hidden="false" name="Causas" vbProcedure="false">LISTAS!$D$4:$D$41</definedName>
    <definedName function="false" hidden="false" name="Cuadrillas" vbProcedure="false">LISTAS!$B$4:$B$41</definedName>
    <definedName function="false" hidden="false" name="Responsables" vbProcedure="false">LISTAS!$A$4:$A$41</definedName>
    <definedName function="false" hidden="false" name="TipoRestriccion" vbProcedure="false">LISTAS!$C$4:$C$41</definedName>
    <definedName function="false" hidden="false" name="Unidades" vbProcedure="false">LISTAS!$E$4:$E$41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Automático (lunes de la semana en curso). Puede sobrescribirse con una fecha fija.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Supuesto: la restricción debe liberarse N días antes del inicio de la actividad. Ajustable.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N° de semana ISO a analizar en el encabezado (PPC y PPC diario).</t>
        </r>
      </text>
    </comment>
  </commentList>
</comments>
</file>

<file path=xl/sharedStrings.xml><?xml version="1.0" encoding="utf-8"?>
<sst xmlns="http://schemas.openxmlformats.org/spreadsheetml/2006/main" count="379" uniqueCount="272">
  <si>
    <t xml:space="preserve">SUPERHERRAMIENTA LAST PLANNER SYSTEM (LPS)</t>
  </si>
  <si>
    <t xml:space="preserve">LEYENDA</t>
  </si>
  <si>
    <t xml:space="preserve">Celda amarilla / texto azul</t>
  </si>
  <si>
    <t xml:space="preserve">Dato de entrada: se llena a mano o con lista desplegable.</t>
  </si>
  <si>
    <t xml:space="preserve">Celda gris / texto negro</t>
  </si>
  <si>
    <t xml:space="preserve">Fórmula: no editar (se calcula sola).</t>
  </si>
  <si>
    <t xml:space="preserve">PESTAÑAS</t>
  </si>
  <si>
    <t xml:space="preserve">LISTAS</t>
  </si>
  <si>
    <t xml:space="preserve">Catálogos de los desplegables: responsables, cuadrillas, tipos de restricción, causas de incumplimiento. Agregue filas dentro del rango.</t>
  </si>
  <si>
    <t xml:space="preserve">MASTER</t>
  </si>
  <si>
    <t xml:space="preserve">Plan Maestro: hitos (fechas contractuales vs proyectadas) y fases macro con duración, responsable, % de avance y Gantt mensual.</t>
  </si>
  <si>
    <t xml:space="preserve">LOOKAHEAD</t>
  </si>
  <si>
    <t xml:space="preserve">Ventana de 6 semanas. Cada actividad cuelga de una Fase (ID Fase). Su estado pasa a LISTA solo cuando no tiene restricciones pendientes.</t>
  </si>
  <si>
    <t xml:space="preserve">RESTRICCIONES</t>
  </si>
  <si>
    <t xml:space="preserve">Análisis de restricciones (1 actividad → N restricciones). Responsable único, fecha comprometida y fecha real. Estado = Liberado al ingresar la fecha real.</t>
  </si>
  <si>
    <t xml:space="preserve">SEMANAL</t>
  </si>
  <si>
    <t xml:space="preserve">Plan operativo lunes–sábado (programado vs ejecutado por día). Solo acepta actividades en estado LISTA. Calcula ¿Cumplió? y el PPC; exige causa si no se cumplió.</t>
  </si>
  <si>
    <t xml:space="preserve">DASHBOARD</t>
  </si>
  <si>
    <t xml:space="preserve">PPC semanal y acumulado, Pareto de causas, PPC por cuadrilla y salud de restricciones.</t>
  </si>
  <si>
    <t xml:space="preserve">CONEXIONES</t>
  </si>
  <si>
    <t xml:space="preserve">MASTER → LOOKAHEAD</t>
  </si>
  <si>
    <t xml:space="preserve">LOOKAHEAD!C (ID Fase). El % de avance de la fase se promedia desde LOOKAHEAD.</t>
  </si>
  <si>
    <t xml:space="preserve">LOOKAHEAD ⇄ RESTRICCIONES</t>
  </si>
  <si>
    <t xml:space="preserve">RESTRICCIONES!B (ID Actividad). LOOKAHEAD cuenta restricciones pendientes y define LISTA / RESTRINGIDA.</t>
  </si>
  <si>
    <t xml:space="preserve">LOOKAHEAD → SEMANAL</t>
  </si>
  <si>
    <t xml:space="preserve">SEMANAL!C valida que la actividad esté LISTA (escudo del plan). Lo ejecutado vuelve como % avance a LOOKAHEAD y de ahí a MASTER.</t>
  </si>
  <si>
    <t xml:space="preserve">SEMANAL → DASHBOARD</t>
  </si>
  <si>
    <t xml:space="preserve">Tabla acumulada: cada fila lleva su N° de semana; el DASHBOARD agrupa por semana, causa y cuadrilla.</t>
  </si>
  <si>
    <t xml:space="preserve">CICLO SEMANAL</t>
  </si>
  <si>
    <t xml:space="preserve">1. Medir</t>
  </si>
  <si>
    <t xml:space="preserve">Cerrar la semana: completar ejecutado diario, revisar ¿Cumplió? y registrar causas + acción correctiva.</t>
  </si>
  <si>
    <t xml:space="preserve">2. Aprender</t>
  </si>
  <si>
    <t xml:space="preserve">Revisar PPC y Pareto de causas en DASHBOARD (análisis 5 porqués de la causa principal).</t>
  </si>
  <si>
    <t xml:space="preserve">3. Avanzar ventana</t>
  </si>
  <si>
    <t xml:space="preserve">Actualizar LOOKAHEAD!B2 si no usa la fecha automática; agregar actividades de la nueva semana 6.</t>
  </si>
  <si>
    <t xml:space="preserve">4. Liberar</t>
  </si>
  <si>
    <t xml:space="preserve">Revisar RESTRICCIONES vencidas / en riesgo con cada responsable; registrar fechas reales.</t>
  </si>
  <si>
    <t xml:space="preserve">5. Comprometer</t>
  </si>
  <si>
    <t xml:space="preserve">Armar el plan de la próxima semana en SEMANAL solo con actividades LISTA; compromiso de cada capataz.</t>
  </si>
  <si>
    <t xml:space="preserve">NOTA</t>
  </si>
  <si>
    <t xml:space="preserve">Las filas con datos de ejemplo (obra edificio 5 pisos) muestran el formato esperado: reemplácelas por las de su proyecto. Las fórmulas están precargadas hasta: LOOKAHEAD 200 filas, RESTRICCIONES 300, SEMANAL 500.</t>
  </si>
  <si>
    <t xml:space="preserve">LISTAS / CATÁLOGOS</t>
  </si>
  <si>
    <t xml:space="preserve">Agregue elementos dentro de cada columna (hasta la fila 41).</t>
  </si>
  <si>
    <t xml:space="preserve">Responsables</t>
  </si>
  <si>
    <t xml:space="preserve">Cuadrillas</t>
  </si>
  <si>
    <t xml:space="preserve">TipoRestriccion</t>
  </si>
  <si>
    <t xml:space="preserve">Causas</t>
  </si>
  <si>
    <t xml:space="preserve">Unidades</t>
  </si>
  <si>
    <t xml:space="preserve">Ing. Residente</t>
  </si>
  <si>
    <t xml:space="preserve">Cuadrilla Excavación</t>
  </si>
  <si>
    <t xml:space="preserve">Permisos / Licencias</t>
  </si>
  <si>
    <t xml:space="preserve">Clima</t>
  </si>
  <si>
    <t xml:space="preserve">m2</t>
  </si>
  <si>
    <t xml:space="preserve">Jefe de Terreno</t>
  </si>
  <si>
    <t xml:space="preserve">Cuadrilla Enfierradura</t>
  </si>
  <si>
    <t xml:space="preserve">Materiales</t>
  </si>
  <si>
    <t xml:space="preserve">Falta de material</t>
  </si>
  <si>
    <t xml:space="preserve">m3</t>
  </si>
  <si>
    <t xml:space="preserve">Oficina Técnica</t>
  </si>
  <si>
    <t xml:space="preserve">Cuadrilla Moldajes</t>
  </si>
  <si>
    <t xml:space="preserve">Mano de obra</t>
  </si>
  <si>
    <t xml:space="preserve">Falta de mano de obra</t>
  </si>
  <si>
    <t xml:space="preserve">ml</t>
  </si>
  <si>
    <t xml:space="preserve">Bodega / Adquisiciones</t>
  </si>
  <si>
    <t xml:space="preserve">Cuadrilla Hormigón</t>
  </si>
  <si>
    <t xml:space="preserve">Subcontratos</t>
  </si>
  <si>
    <t xml:space="preserve">Interferencias entre cuadrillas</t>
  </si>
  <si>
    <t xml:space="preserve">kg</t>
  </si>
  <si>
    <t xml:space="preserve">Prevención de Riesgos</t>
  </si>
  <si>
    <t xml:space="preserve">Cuadrilla Albañilería</t>
  </si>
  <si>
    <t xml:space="preserve">Diseño / Ingeniería (RFI)</t>
  </si>
  <si>
    <t xml:space="preserve">Falta de equipos / maquinaria</t>
  </si>
  <si>
    <t xml:space="preserve">und</t>
  </si>
  <si>
    <t xml:space="preserve">Calidad</t>
  </si>
  <si>
    <t xml:space="preserve">Subc. Eléctrico</t>
  </si>
  <si>
    <t xml:space="preserve">Equipos / Maquinaria</t>
  </si>
  <si>
    <t xml:space="preserve">Actividad previa no terminada</t>
  </si>
  <si>
    <t xml:space="preserve">gl</t>
  </si>
  <si>
    <t xml:space="preserve">Administrador de Obra</t>
  </si>
  <si>
    <t xml:space="preserve">Subc. Sanitario</t>
  </si>
  <si>
    <t xml:space="preserve">Espacio / Frente de trabajo</t>
  </si>
  <si>
    <t xml:space="preserve">Cambio de prioridades</t>
  </si>
  <si>
    <t xml:space="preserve">Arquitecto / Proyectista</t>
  </si>
  <si>
    <t xml:space="preserve">Subc. Climatización</t>
  </si>
  <si>
    <t xml:space="preserve">Actividad previa</t>
  </si>
  <si>
    <t xml:space="preserve">Error de planificación</t>
  </si>
  <si>
    <t xml:space="preserve">Subc. Terminaciones</t>
  </si>
  <si>
    <t xml:space="preserve">Información / Aprobación cliente</t>
  </si>
  <si>
    <t xml:space="preserve">Diseño / información incompleta</t>
  </si>
  <si>
    <t xml:space="preserve">Seguridad / Calidad</t>
  </si>
  <si>
    <t xml:space="preserve">Retrabajo / calidad</t>
  </si>
  <si>
    <t xml:space="preserve">Subcontratista no se presentó</t>
  </si>
  <si>
    <t xml:space="preserve">Permiso / inspección no aprobada</t>
  </si>
  <si>
    <t xml:space="preserve">PLAN MAESTRO</t>
  </si>
  <si>
    <t xml:space="preserve">Hitos y fases macro del proyecto.</t>
  </si>
  <si>
    <t xml:space="preserve">Proyecto:</t>
  </si>
  <si>
    <t xml:space="preserve">Edificio Residencial 5 pisos (ejemplo)</t>
  </si>
  <si>
    <t xml:space="preserve">Inicio Gantt (1er mes):</t>
  </si>
  <si>
    <t xml:space="preserve">HITOS PRINCIPALES</t>
  </si>
  <si>
    <t xml:space="preserve">ID Hito</t>
  </si>
  <si>
    <t xml:space="preserve">Hito</t>
  </si>
  <si>
    <t xml:space="preserve">Fecha Contractual</t>
  </si>
  <si>
    <t xml:space="preserve">Fecha Proyectada</t>
  </si>
  <si>
    <t xml:space="preserve">Desvío (días)</t>
  </si>
  <si>
    <t xml:space="preserve">Responsable</t>
  </si>
  <si>
    <t xml:space="preserve">Estado</t>
  </si>
  <si>
    <t xml:space="preserve">H-01</t>
  </si>
  <si>
    <t xml:space="preserve">Inicio de obra</t>
  </si>
  <si>
    <t xml:space="preserve">H-02</t>
  </si>
  <si>
    <t xml:space="preserve">Fundaciones terminadas</t>
  </si>
  <si>
    <t xml:space="preserve">H-03</t>
  </si>
  <si>
    <t xml:space="preserve">Obra gruesa terminada</t>
  </si>
  <si>
    <t xml:space="preserve">H-04</t>
  </si>
  <si>
    <t xml:space="preserve">Instalaciones probadas</t>
  </si>
  <si>
    <t xml:space="preserve">H-05</t>
  </si>
  <si>
    <t xml:space="preserve">Recepción municipal</t>
  </si>
  <si>
    <t xml:space="preserve">FASES MACRO</t>
  </si>
  <si>
    <t xml:space="preserve">GANTT MENSUAL</t>
  </si>
  <si>
    <t xml:space="preserve">ID Fase</t>
  </si>
  <si>
    <t xml:space="preserve">Fase</t>
  </si>
  <si>
    <t xml:space="preserve">Hito asociado</t>
  </si>
  <si>
    <t xml:space="preserve">Inicio</t>
  </si>
  <si>
    <t xml:space="preserve">Fin</t>
  </si>
  <si>
    <t xml:space="preserve">Duración (días háb. L-S)</t>
  </si>
  <si>
    <t xml:space="preserve">Responsable general</t>
  </si>
  <si>
    <t xml:space="preserve">N° act. Lookahead</t>
  </si>
  <si>
    <t xml:space="preserve">% Avance</t>
  </si>
  <si>
    <t xml:space="preserve">F-01</t>
  </si>
  <si>
    <t xml:space="preserve">Instalación de faena</t>
  </si>
  <si>
    <t xml:space="preserve">F-02</t>
  </si>
  <si>
    <t xml:space="preserve">Excavaciones y movimiento de tierra</t>
  </si>
  <si>
    <t xml:space="preserve">F-03</t>
  </si>
  <si>
    <t xml:space="preserve">Fundaciones</t>
  </si>
  <si>
    <t xml:space="preserve">F-04</t>
  </si>
  <si>
    <t xml:space="preserve">Obra gruesa (estructura pisos 1-5)</t>
  </si>
  <si>
    <t xml:space="preserve">F-05</t>
  </si>
  <si>
    <t xml:space="preserve">Instalaciones (eléctrica, sanitaria, clima)</t>
  </si>
  <si>
    <t xml:space="preserve">F-06</t>
  </si>
  <si>
    <t xml:space="preserve">Terminaciones</t>
  </si>
  <si>
    <t xml:space="preserve">LOOKAHEAD – PLANIFICACIÓN INTERMEDIA (6 SEMANAS)</t>
  </si>
  <si>
    <t xml:space="preserve">Estado LISTA = sin restricciones pendientes en la pestaña RESTRICCIONES.</t>
  </si>
  <si>
    <t xml:space="preserve">Lunes semana actual:</t>
  </si>
  <si>
    <t xml:space="preserve">Actividades LISTAS:</t>
  </si>
  <si>
    <t xml:space="preserve">Restringidas:</t>
  </si>
  <si>
    <t xml:space="preserve">VENTANA LOOKAHEAD (semanas desde el lunes indicado)</t>
  </si>
  <si>
    <t xml:space="preserve">ID Actividad</t>
  </si>
  <si>
    <t xml:space="preserve">Actividad</t>
  </si>
  <si>
    <t xml:space="preserve">Ubicación / Frente</t>
  </si>
  <si>
    <t xml:space="preserve">Cuadrilla / Subcontrato</t>
  </si>
  <si>
    <t xml:space="preserve">Unidad</t>
  </si>
  <si>
    <t xml:space="preserve">Cantidad</t>
  </si>
  <si>
    <t xml:space="preserve">Inicio planif.</t>
  </si>
  <si>
    <t xml:space="preserve">Fin planif.</t>
  </si>
  <si>
    <t xml:space="preserve">Restr. totales</t>
  </si>
  <si>
    <t xml:space="preserve">Restr. pendientes</t>
  </si>
  <si>
    <t xml:space="preserve">% Avance acum.</t>
  </si>
  <si>
    <t xml:space="preserve">Observaciones</t>
  </si>
  <si>
    <t xml:space="preserve">LA-001</t>
  </si>
  <si>
    <t xml:space="preserve">Hormigonado fundaciones eje D-F</t>
  </si>
  <si>
    <t xml:space="preserve">Eje D-F</t>
  </si>
  <si>
    <t xml:space="preserve">LA-002</t>
  </si>
  <si>
    <t xml:space="preserve">Enfierradura muros piso 1</t>
  </si>
  <si>
    <t xml:space="preserve">Piso 1</t>
  </si>
  <si>
    <t xml:space="preserve">LA-003</t>
  </si>
  <si>
    <t xml:space="preserve">Moldaje muros piso 1</t>
  </si>
  <si>
    <t xml:space="preserve">LA-004</t>
  </si>
  <si>
    <t xml:space="preserve">Hormigonado muros piso 1</t>
  </si>
  <si>
    <t xml:space="preserve">LA-005</t>
  </si>
  <si>
    <t xml:space="preserve">Moldaje y enfierradura losa piso 2</t>
  </si>
  <si>
    <t xml:space="preserve">Piso 2</t>
  </si>
  <si>
    <t xml:space="preserve">LA-006</t>
  </si>
  <si>
    <t xml:space="preserve">Hormigonado losa piso 2</t>
  </si>
  <si>
    <t xml:space="preserve">LA-007</t>
  </si>
  <si>
    <t xml:space="preserve">Canalización eléctrica embutida losa P2</t>
  </si>
  <si>
    <t xml:space="preserve">LA-008</t>
  </si>
  <si>
    <t xml:space="preserve">Pasadas sanitarias losa P2</t>
  </si>
  <si>
    <t xml:space="preserve">ANÁLISIS DE RESTRICCIONES</t>
  </si>
  <si>
    <t xml:space="preserve">Estado = Liberado cuando se ingresa la Fecha real de liberación.</t>
  </si>
  <si>
    <t xml:space="preserve">Colchón (días antes del inicio):</t>
  </si>
  <si>
    <t xml:space="preserve">Pendientes:</t>
  </si>
  <si>
    <t xml:space="preserve">Vencidas:</t>
  </si>
  <si>
    <t xml:space="preserve">ID Restricción</t>
  </si>
  <si>
    <t xml:space="preserve">Inicio actividad</t>
  </si>
  <si>
    <t xml:space="preserve">Tipo de restricción</t>
  </si>
  <si>
    <t xml:space="preserve">Descripción de la restricción</t>
  </si>
  <si>
    <t xml:space="preserve">Responsable único</t>
  </si>
  <si>
    <t xml:space="preserve">Fecha identificación</t>
  </si>
  <si>
    <t xml:space="preserve">Fecha requerida</t>
  </si>
  <si>
    <t xml:space="preserve">Fecha comprometida</t>
  </si>
  <si>
    <t xml:space="preserve">Fecha real liberación</t>
  </si>
  <si>
    <t xml:space="preserve">Alerta</t>
  </si>
  <si>
    <t xml:space="preserve">Holgura (días)</t>
  </si>
  <si>
    <t xml:space="preserve">Acción / Comentario</t>
  </si>
  <si>
    <t xml:space="preserve">R-001</t>
  </si>
  <si>
    <t xml:space="preserve">Llegada de paneles de moldaje arrendados</t>
  </si>
  <si>
    <t xml:space="preserve">R-002</t>
  </si>
  <si>
    <t xml:space="preserve">Reserva de bomba de hormigón</t>
  </si>
  <si>
    <t xml:space="preserve">R-003</t>
  </si>
  <si>
    <t xml:space="preserve">Protocolo de inspección de enfierradura P1 aprobado</t>
  </si>
  <si>
    <t xml:space="preserve">R-004</t>
  </si>
  <si>
    <t xml:space="preserve">RFI-012: refuerzo de losa en shaft ascensor</t>
  </si>
  <si>
    <t xml:space="preserve">R-005</t>
  </si>
  <si>
    <t xml:space="preserve">Firma contrato hormigón premezclado Q4</t>
  </si>
  <si>
    <t xml:space="preserve">R-006</t>
  </si>
  <si>
    <t xml:space="preserve">Ingreso subcontrato eléctrico a obra</t>
  </si>
  <si>
    <t xml:space="preserve">R-007</t>
  </si>
  <si>
    <t xml:space="preserve">Plano de pasadas sanitarias coordinado (BIM)</t>
  </si>
  <si>
    <t xml:space="preserve">R-008</t>
  </si>
  <si>
    <t xml:space="preserve">Refuerzo de 4 enfierradores</t>
  </si>
  <si>
    <t xml:space="preserve">PLAN SEMANAL – PLANIFICACIÓN OPERATIVA (LUNES A SÁBADO)</t>
  </si>
  <si>
    <t xml:space="preserve">Tabla acumulada: cada fila lleva su N° de semana. Solo acepta actividades LISTA.</t>
  </si>
  <si>
    <t xml:space="preserve">Semana a mostrar:</t>
  </si>
  <si>
    <t xml:space="preserve">Último planificador:</t>
  </si>
  <si>
    <t xml:space="preserve">PPC SEMANA:</t>
  </si>
  <si>
    <t xml:space="preserve">PPC GLOBAL:</t>
  </si>
  <si>
    <t xml:space="preserve">PPC diario →</t>
  </si>
  <si>
    <t xml:space="preserve">PROGRAMADO (cantidad)</t>
  </si>
  <si>
    <t xml:space="preserve">EJECUTADO (cantidad)</t>
  </si>
  <si>
    <t xml:space="preserve">ID Semanal</t>
  </si>
  <si>
    <t xml:space="preserve">Semana N°</t>
  </si>
  <si>
    <t xml:space="preserve">Ubicación</t>
  </si>
  <si>
    <t xml:space="preserve">Estado Lookahead</t>
  </si>
  <si>
    <t xml:space="preserve">Capataz / Jefe cuadrilla</t>
  </si>
  <si>
    <t xml:space="preserve">Lu</t>
  </si>
  <si>
    <t xml:space="preserve">Ma</t>
  </si>
  <si>
    <t xml:space="preserve">Mi</t>
  </si>
  <si>
    <t xml:space="preserve">Ju</t>
  </si>
  <si>
    <t xml:space="preserve">Vi</t>
  </si>
  <si>
    <t xml:space="preserve">Sá</t>
  </si>
  <si>
    <t xml:space="preserve">Total progr.</t>
  </si>
  <si>
    <t xml:space="preserve">Total ejec.</t>
  </si>
  <si>
    <t xml:space="preserve">% Cumpl.</t>
  </si>
  <si>
    <t xml:space="preserve">¿Cumplió?</t>
  </si>
  <si>
    <t xml:space="preserve">Causa de incumplimiento</t>
  </si>
  <si>
    <t xml:space="preserve">Acción correctiva</t>
  </si>
  <si>
    <t xml:space="preserve">S40-01</t>
  </si>
  <si>
    <t xml:space="preserve">J. Pérez</t>
  </si>
  <si>
    <t xml:space="preserve">S40-02</t>
  </si>
  <si>
    <t xml:space="preserve">M. Soto</t>
  </si>
  <si>
    <t xml:space="preserve">Refuerzo de 4 enfierradores (R-008)</t>
  </si>
  <si>
    <t xml:space="preserve">S41-01</t>
  </si>
  <si>
    <t xml:space="preserve">Reprogramar con pronóstico; carpa de protección</t>
  </si>
  <si>
    <t xml:space="preserve">S41-02</t>
  </si>
  <si>
    <t xml:space="preserve">S41-03</t>
  </si>
  <si>
    <t xml:space="preserve">R. Díaz</t>
  </si>
  <si>
    <t xml:space="preserve">DASHBOARD DE CONTROL LPS</t>
  </si>
  <si>
    <t xml:space="preserve">INDICADORES CLAVE</t>
  </si>
  <si>
    <t xml:space="preserve">PARETO DE CAUSAS DE INCUMPLIMIENTO</t>
  </si>
  <si>
    <t xml:space="preserve">RESTRICCIONES POR TIPO</t>
  </si>
  <si>
    <t xml:space="preserve">Meta PPC</t>
  </si>
  <si>
    <t xml:space="preserve">Supuesto: meta típica LPS ≥ 85%</t>
  </si>
  <si>
    <t xml:space="preserve">Causa (ordenada)</t>
  </si>
  <si>
    <t xml:space="preserve">Frecuencia</t>
  </si>
  <si>
    <t xml:space="preserve">%</t>
  </si>
  <si>
    <t xml:space="preserve">% Acum.</t>
  </si>
  <si>
    <t xml:space="preserve">Tipo</t>
  </si>
  <si>
    <t xml:space="preserve">Pendientes</t>
  </si>
  <si>
    <t xml:space="preserve">Liberadas</t>
  </si>
  <si>
    <t xml:space="preserve">PPC global (todas las semanas)</t>
  </si>
  <si>
    <t xml:space="preserve">PPC semana seleccionada</t>
  </si>
  <si>
    <t xml:space="preserve">Actividades LISTAS (inventario ejecutable)</t>
  </si>
  <si>
    <t xml:space="preserve">Actividades RESTRINGIDAS</t>
  </si>
  <si>
    <t xml:space="preserve">Restricciones pendientes</t>
  </si>
  <si>
    <t xml:space="preserve">Restricciones vencidas</t>
  </si>
  <si>
    <t xml:space="preserve">% restricciones liberadas a tiempo</t>
  </si>
  <si>
    <t xml:space="preserve">PPC POR SEMANA</t>
  </si>
  <si>
    <t xml:space="preserve">Programadas</t>
  </si>
  <si>
    <t xml:space="preserve">Completadas</t>
  </si>
  <si>
    <t xml:space="preserve">PPC</t>
  </si>
  <si>
    <t xml:space="preserve">PPC acumulado</t>
  </si>
  <si>
    <t xml:space="preserve">PPC POR CUADRILLA / SUBCONTRATO</t>
  </si>
  <si>
    <t xml:space="preserve">Auxiliar Pareto (no editar)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</si>
</sst>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\-yyyy"/>
    <numFmt numFmtId="166" formatCode="0"/>
    <numFmt numFmtId="167" formatCode="mmm\-yy"/>
    <numFmt numFmtId="168" formatCode="General"/>
    <numFmt numFmtId="169" formatCode="0%"/>
    <numFmt numFmtId="170" formatCode="dd\-mmm"/>
    <numFmt numFmtId="171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2E75B6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>
          <bgColor rgb="FF70AD47"/>
        </patternFill>
      </fill>
    </dxf>
    <dxf>
      <fill>
        <patternFill>
          <bgColor rgb="FFFF6B6B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4B183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>
          <bgColor rgb="FFFF0000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4F81BD"/>
      <rgbColor rgb="FFBFBFBF"/>
      <rgbColor rgb="FF808080"/>
      <rgbColor rgb="FFA5A5A5"/>
      <rgbColor rgb="FFBE4B48"/>
      <rgbColor rgb="FFFFF2CC"/>
      <rgbColor rgb="FFF2F2F2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7F7F7F"/>
      <rgbColor rgb="FFF8CBAD"/>
      <rgbColor rgb="FF2E75B6"/>
      <rgbColor rgb="FF33CCCC"/>
      <rgbColor rgb="FF70AD47"/>
      <rgbColor rgb="FFFFCC00"/>
      <rgbColor rgb="FFBF8F00"/>
      <rgbColor rgb="FFFF6600"/>
      <rgbColor rgb="FF595959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PPC semanal vs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DASHBOARD!D14</c:f>
              <c:strCache>
                <c:ptCount val="1"/>
                <c:pt idx="0">
                  <c:v>PPC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DASHBOARD!$A$15:$A$40</c:f>
              <c:strCache>
                <c:ptCount val="26"/>
                <c:pt idx="0">
                  <c:v>40</c:v>
                </c:pt>
                <c:pt idx="1">
                  <c:v>41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</c:strCache>
            </c:strRef>
          </c:cat>
          <c:val>
            <c:numRef>
              <c:f>DASHBOARD!$D$15:$D$40</c:f>
              <c:numCache>
                <c:formatCode>0%</c:formatCode>
                <c:ptCount val="26"/>
                <c:pt idx="0">
                  <c:v>0.5</c:v>
                </c:pt>
                <c:pt idx="1">
                  <c:v>0.666666666666667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DASHBOARD!E14</c:f>
              <c:strCache>
                <c:ptCount val="1"/>
                <c:pt idx="0">
                  <c:v>PPC acumulado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DASHBOARD!$A$15:$A$40</c:f>
              <c:strCache>
                <c:ptCount val="26"/>
                <c:pt idx="0">
                  <c:v>40</c:v>
                </c:pt>
                <c:pt idx="1">
                  <c:v>41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</c:strCache>
            </c:strRef>
          </c:cat>
          <c:val>
            <c:numRef>
              <c:f>DASHBOARD!$E$15:$E$40</c:f>
              <c:numCache>
                <c:formatCode>0%</c:formatCode>
                <c:ptCount val="26"/>
                <c:pt idx="0">
                  <c:v>0.5</c:v>
                </c:pt>
                <c:pt idx="1">
                  <c:v>0.6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575500"/>
        <c:axId val="80090381"/>
      </c:lineChart>
      <c:catAx>
        <c:axId val="44575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90381"/>
        <c:crosses val="autoZero"/>
        <c:auto val="1"/>
        <c:lblAlgn val="ctr"/>
        <c:lblOffset val="100"/>
        <c:noMultiLvlLbl val="0"/>
      </c:catAx>
      <c:valAx>
        <c:axId val="8009038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PPC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75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de causas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DASHBOARD!H4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DASHBOARD!$G$5:$G$16</c:f>
              <c:strCache>
                <c:ptCount val="12"/>
                <c:pt idx="0">
                  <c:v>Clima</c:v>
                </c:pt>
                <c:pt idx="1">
                  <c:v>Falta de mano de obra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DASHBOARD!$H$5:$H$16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</c:numCache>
            </c:numRef>
          </c:val>
        </c:ser>
        <c:gapWidth val="150"/>
        <c:overlap val="0"/>
        <c:axId val="74819793"/>
        <c:axId val="94909542"/>
      </c:barChart>
      <c:catAx>
        <c:axId val="74819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09542"/>
        <c:crosses val="autoZero"/>
        <c:auto val="1"/>
        <c:lblAlgn val="ctr"/>
        <c:lblOffset val="100"/>
        <c:noMultiLvlLbl val="0"/>
      </c:catAx>
      <c:valAx>
        <c:axId val="94909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9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Restricciones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DASHBOARD!M4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DASHBOARD!$L$5:$L$16</c:f>
              <c:strCache>
                <c:ptCount val="12"/>
                <c:pt idx="0">
                  <c:v>Permisos / Licencias</c:v>
                </c:pt>
                <c:pt idx="1">
                  <c:v>Materiales</c:v>
                </c:pt>
                <c:pt idx="2">
                  <c:v>Mano de obra</c:v>
                </c:pt>
                <c:pt idx="3">
                  <c:v>Subcontratos</c:v>
                </c:pt>
                <c:pt idx="4">
                  <c:v>Diseño / Ingeniería (RFI)</c:v>
                </c:pt>
                <c:pt idx="5">
                  <c:v>Equipos / Maquinaria</c:v>
                </c:pt>
                <c:pt idx="6">
                  <c:v>Espacio / Frente de trabajo</c:v>
                </c:pt>
                <c:pt idx="7">
                  <c:v>Actividad previa</c:v>
                </c:pt>
                <c:pt idx="8">
                  <c:v>Información / Aprobación cliente</c:v>
                </c:pt>
                <c:pt idx="9">
                  <c:v>Seguridad / Calidad</c:v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DASHBOARD!$M$5:$M$16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DASHBOARD!N4</c:f>
              <c:strCache>
                <c:ptCount val="1"/>
                <c:pt idx="0">
                  <c:v>Liberadas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DASHBOARD!$L$5:$L$16</c:f>
              <c:strCache>
                <c:ptCount val="12"/>
                <c:pt idx="0">
                  <c:v>Permisos / Licencias</c:v>
                </c:pt>
                <c:pt idx="1">
                  <c:v>Materiales</c:v>
                </c:pt>
                <c:pt idx="2">
                  <c:v>Mano de obra</c:v>
                </c:pt>
                <c:pt idx="3">
                  <c:v>Subcontratos</c:v>
                </c:pt>
                <c:pt idx="4">
                  <c:v>Diseño / Ingeniería (RFI)</c:v>
                </c:pt>
                <c:pt idx="5">
                  <c:v>Equipos / Maquinaria</c:v>
                </c:pt>
                <c:pt idx="6">
                  <c:v>Espacio / Frente de trabajo</c:v>
                </c:pt>
                <c:pt idx="7">
                  <c:v>Actividad previa</c:v>
                </c:pt>
                <c:pt idx="8">
                  <c:v>Información / Aprobación cliente</c:v>
                </c:pt>
                <c:pt idx="9">
                  <c:v>Seguridad / Calidad</c:v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DASHBOARD!$N$5:$N$16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54313406"/>
        <c:axId val="2466727"/>
      </c:barChart>
      <c:catAx>
        <c:axId val="54313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6727"/>
        <c:crosses val="autoZero"/>
        <c:auto val="1"/>
        <c:lblAlgn val="ctr"/>
        <c:lblOffset val="100"/>
        <c:noMultiLvlLbl val="0"/>
      </c:catAx>
      <c:valAx>
        <c:axId val="24667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13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160560</xdr:rowOff>
    </xdr:from>
    <xdr:to>
      <xdr:col>23</xdr:col>
      <xdr:colOff>256320</xdr:colOff>
      <xdr:row>13</xdr:row>
      <xdr:rowOff>364680</xdr:rowOff>
    </xdr:to>
    <xdr:graphicFrame>
      <xdr:nvGraphicFramePr>
        <xdr:cNvPr id="0" name="Chart 1"/>
        <xdr:cNvGraphicFramePr/>
      </xdr:nvGraphicFramePr>
      <xdr:xfrm>
        <a:off x="1437912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160560</xdr:rowOff>
    </xdr:from>
    <xdr:to>
      <xdr:col>23</xdr:col>
      <xdr:colOff>256320</xdr:colOff>
      <xdr:row>30</xdr:row>
      <xdr:rowOff>174240</xdr:rowOff>
    </xdr:to>
    <xdr:graphicFrame>
      <xdr:nvGraphicFramePr>
        <xdr:cNvPr id="1" name="Chart 2"/>
        <xdr:cNvGraphicFramePr/>
      </xdr:nvGraphicFramePr>
      <xdr:xfrm>
        <a:off x="14379120" y="38480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33</xdr:row>
      <xdr:rowOff>160560</xdr:rowOff>
    </xdr:from>
    <xdr:to>
      <xdr:col>23</xdr:col>
      <xdr:colOff>256320</xdr:colOff>
      <xdr:row>48</xdr:row>
      <xdr:rowOff>2880</xdr:rowOff>
    </xdr:to>
    <xdr:graphicFrame>
      <xdr:nvGraphicFramePr>
        <xdr:cNvPr id="2" name="Chart 3"/>
        <xdr:cNvGraphicFramePr/>
      </xdr:nvGraphicFramePr>
      <xdr:xfrm>
        <a:off x="14379120" y="7105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/>
    </row>
    <row r="4" customFormat="false" ht="15" hidden="false" customHeight="false" outlineLevel="0" collapsed="false">
      <c r="B4" s="4" t="s">
        <v>2</v>
      </c>
      <c r="C4" s="3" t="s">
        <v>3</v>
      </c>
    </row>
    <row r="5" customFormat="false" ht="15" hidden="false" customHeight="false" outlineLevel="0" collapsed="false">
      <c r="B5" s="5" t="s">
        <v>4</v>
      </c>
      <c r="C5" s="3" t="s">
        <v>5</v>
      </c>
    </row>
    <row r="6" customFormat="false" ht="15" hidden="false" customHeight="false" outlineLevel="0" collapsed="false">
      <c r="B6" s="2"/>
      <c r="C6" s="3"/>
    </row>
    <row r="7" customFormat="false" ht="15" hidden="false" customHeight="false" outlineLevel="0" collapsed="false">
      <c r="B7" s="2" t="s">
        <v>6</v>
      </c>
      <c r="C7" s="3"/>
    </row>
    <row r="8" customFormat="false" ht="23.85" hidden="false" customHeight="false" outlineLevel="0" collapsed="false">
      <c r="B8" s="6" t="s">
        <v>7</v>
      </c>
      <c r="C8" s="3" t="s">
        <v>8</v>
      </c>
    </row>
    <row r="9" customFormat="false" ht="23.85" hidden="false" customHeight="false" outlineLevel="0" collapsed="false">
      <c r="B9" s="6" t="s">
        <v>9</v>
      </c>
      <c r="C9" s="3" t="s">
        <v>10</v>
      </c>
    </row>
    <row r="10" customFormat="false" ht="23.85" hidden="false" customHeight="false" outlineLevel="0" collapsed="false">
      <c r="B10" s="6" t="s">
        <v>11</v>
      </c>
      <c r="C10" s="3" t="s">
        <v>12</v>
      </c>
    </row>
    <row r="11" customFormat="false" ht="23.85" hidden="false" customHeight="false" outlineLevel="0" collapsed="false">
      <c r="B11" s="6" t="s">
        <v>13</v>
      </c>
      <c r="C11" s="3" t="s">
        <v>14</v>
      </c>
    </row>
    <row r="12" customFormat="false" ht="23.85" hidden="false" customHeight="false" outlineLevel="0" collapsed="false">
      <c r="B12" s="6" t="s">
        <v>15</v>
      </c>
      <c r="C12" s="3" t="s">
        <v>16</v>
      </c>
    </row>
    <row r="13" customFormat="false" ht="15" hidden="false" customHeight="false" outlineLevel="0" collapsed="false">
      <c r="B13" s="6" t="s">
        <v>17</v>
      </c>
      <c r="C13" s="3" t="s">
        <v>18</v>
      </c>
    </row>
    <row r="14" customFormat="false" ht="15" hidden="false" customHeight="false" outlineLevel="0" collapsed="false">
      <c r="B14" s="2"/>
      <c r="C14" s="3"/>
    </row>
    <row r="15" customFormat="false" ht="15" hidden="false" customHeight="false" outlineLevel="0" collapsed="false">
      <c r="B15" s="2" t="s">
        <v>19</v>
      </c>
      <c r="C15" s="3"/>
    </row>
    <row r="16" customFormat="false" ht="15" hidden="false" customHeight="false" outlineLevel="0" collapsed="false">
      <c r="B16" s="6" t="s">
        <v>20</v>
      </c>
      <c r="C16" s="3" t="s">
        <v>21</v>
      </c>
    </row>
    <row r="17" customFormat="false" ht="15" hidden="false" customHeight="false" outlineLevel="0" collapsed="false">
      <c r="B17" s="6" t="s">
        <v>22</v>
      </c>
      <c r="C17" s="3" t="s">
        <v>23</v>
      </c>
    </row>
    <row r="18" customFormat="false" ht="23.85" hidden="false" customHeight="false" outlineLevel="0" collapsed="false">
      <c r="B18" s="6" t="s">
        <v>24</v>
      </c>
      <c r="C18" s="3" t="s">
        <v>25</v>
      </c>
    </row>
    <row r="19" customFormat="false" ht="15" hidden="false" customHeight="false" outlineLevel="0" collapsed="false">
      <c r="B19" s="6" t="s">
        <v>26</v>
      </c>
      <c r="C19" s="3" t="s">
        <v>27</v>
      </c>
    </row>
    <row r="20" customFormat="false" ht="15" hidden="false" customHeight="false" outlineLevel="0" collapsed="false">
      <c r="B20" s="2"/>
      <c r="C20" s="3"/>
    </row>
    <row r="21" customFormat="false" ht="15" hidden="false" customHeight="false" outlineLevel="0" collapsed="false">
      <c r="B21" s="2" t="s">
        <v>28</v>
      </c>
      <c r="C21" s="3"/>
    </row>
    <row r="22" customFormat="false" ht="15" hidden="false" customHeight="false" outlineLevel="0" collapsed="false">
      <c r="B22" s="6" t="s">
        <v>29</v>
      </c>
      <c r="C22" s="3" t="s">
        <v>30</v>
      </c>
    </row>
    <row r="23" customFormat="false" ht="15" hidden="false" customHeight="false" outlineLevel="0" collapsed="false">
      <c r="B23" s="6" t="s">
        <v>31</v>
      </c>
      <c r="C23" s="3" t="s">
        <v>32</v>
      </c>
    </row>
    <row r="24" customFormat="false" ht="15" hidden="false" customHeight="false" outlineLevel="0" collapsed="false">
      <c r="B24" s="6" t="s">
        <v>33</v>
      </c>
      <c r="C24" s="3" t="s">
        <v>34</v>
      </c>
    </row>
    <row r="25" customFormat="false" ht="15" hidden="false" customHeight="false" outlineLevel="0" collapsed="false">
      <c r="B25" s="6" t="s">
        <v>35</v>
      </c>
      <c r="C25" s="3" t="s">
        <v>36</v>
      </c>
    </row>
    <row r="26" customFormat="false" ht="15" hidden="false" customHeight="false" outlineLevel="0" collapsed="false">
      <c r="B26" s="6" t="s">
        <v>37</v>
      </c>
      <c r="C26" s="3" t="s">
        <v>38</v>
      </c>
    </row>
    <row r="27" customFormat="false" ht="15" hidden="false" customHeight="false" outlineLevel="0" collapsed="false">
      <c r="B27" s="2"/>
      <c r="C27" s="3"/>
    </row>
    <row r="28" customFormat="false" ht="23.85" hidden="false" customHeight="false" outlineLevel="0" collapsed="false">
      <c r="B28" s="6" t="s">
        <v>39</v>
      </c>
      <c r="C28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41</v>
      </c>
      <c r="D1" s="7" t="s">
        <v>42</v>
      </c>
    </row>
    <row r="3" customFormat="false" ht="31.5" hidden="false" customHeight="true" outlineLevel="0" collapsed="false">
      <c r="A3" s="8" t="s">
        <v>43</v>
      </c>
      <c r="B3" s="8" t="s">
        <v>44</v>
      </c>
      <c r="C3" s="8" t="s">
        <v>45</v>
      </c>
      <c r="D3" s="8" t="s">
        <v>46</v>
      </c>
      <c r="E3" s="8" t="s">
        <v>47</v>
      </c>
    </row>
    <row r="4" customFormat="false" ht="15" hidden="false" customHeight="false" outlineLevel="0" collapsed="false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</row>
    <row r="5" customFormat="false" ht="15" hidden="false" customHeight="false" outlineLevel="0" collapsed="false">
      <c r="A5" s="9" t="s">
        <v>53</v>
      </c>
      <c r="B5" s="9" t="s">
        <v>54</v>
      </c>
      <c r="C5" s="9" t="s">
        <v>55</v>
      </c>
      <c r="D5" s="9" t="s">
        <v>56</v>
      </c>
      <c r="E5" s="9" t="s">
        <v>57</v>
      </c>
    </row>
    <row r="6" customFormat="false" ht="15" hidden="false" customHeight="false" outlineLevel="0" collapsed="false">
      <c r="A6" s="9" t="s">
        <v>58</v>
      </c>
      <c r="B6" s="9" t="s">
        <v>59</v>
      </c>
      <c r="C6" s="9" t="s">
        <v>60</v>
      </c>
      <c r="D6" s="9" t="s">
        <v>61</v>
      </c>
      <c r="E6" s="9" t="s">
        <v>62</v>
      </c>
    </row>
    <row r="7" customFormat="false" ht="15" hidden="false" customHeight="false" outlineLevel="0" collapsed="false">
      <c r="A7" s="9" t="s">
        <v>63</v>
      </c>
      <c r="B7" s="9" t="s">
        <v>64</v>
      </c>
      <c r="C7" s="9" t="s">
        <v>65</v>
      </c>
      <c r="D7" s="9" t="s">
        <v>66</v>
      </c>
      <c r="E7" s="9" t="s">
        <v>67</v>
      </c>
    </row>
    <row r="8" customFormat="false" ht="15" hidden="false" customHeight="false" outlineLevel="0" collapsed="false">
      <c r="A8" s="9" t="s">
        <v>68</v>
      </c>
      <c r="B8" s="9" t="s">
        <v>69</v>
      </c>
      <c r="C8" s="9" t="s">
        <v>70</v>
      </c>
      <c r="D8" s="9" t="s">
        <v>71</v>
      </c>
      <c r="E8" s="9" t="s">
        <v>72</v>
      </c>
    </row>
    <row r="9" customFormat="false" ht="15" hidden="false" customHeight="false" outlineLevel="0" collapsed="false">
      <c r="A9" s="9" t="s">
        <v>73</v>
      </c>
      <c r="B9" s="9" t="s">
        <v>74</v>
      </c>
      <c r="C9" s="9" t="s">
        <v>75</v>
      </c>
      <c r="D9" s="9" t="s">
        <v>76</v>
      </c>
      <c r="E9" s="9" t="s">
        <v>77</v>
      </c>
    </row>
    <row r="10" customFormat="false" ht="15" hidden="false" customHeight="false" outlineLevel="0" collapsed="false">
      <c r="A10" s="9" t="s">
        <v>78</v>
      </c>
      <c r="B10" s="9" t="s">
        <v>79</v>
      </c>
      <c r="C10" s="9" t="s">
        <v>80</v>
      </c>
      <c r="D10" s="9" t="s">
        <v>81</v>
      </c>
      <c r="E10" s="9"/>
    </row>
    <row r="11" customFormat="false" ht="15" hidden="false" customHeight="false" outlineLevel="0" collapsed="false">
      <c r="A11" s="9" t="s">
        <v>82</v>
      </c>
      <c r="B11" s="9" t="s">
        <v>83</v>
      </c>
      <c r="C11" s="9" t="s">
        <v>84</v>
      </c>
      <c r="D11" s="9" t="s">
        <v>85</v>
      </c>
      <c r="E11" s="9"/>
    </row>
    <row r="12" customFormat="false" ht="15" hidden="false" customHeight="false" outlineLevel="0" collapsed="false">
      <c r="A12" s="9"/>
      <c r="B12" s="9" t="s">
        <v>86</v>
      </c>
      <c r="C12" s="9" t="s">
        <v>87</v>
      </c>
      <c r="D12" s="9" t="s">
        <v>88</v>
      </c>
      <c r="E12" s="9"/>
    </row>
    <row r="13" customFormat="false" ht="15" hidden="false" customHeight="false" outlineLevel="0" collapsed="false">
      <c r="A13" s="9"/>
      <c r="B13" s="9"/>
      <c r="C13" s="9" t="s">
        <v>89</v>
      </c>
      <c r="D13" s="9" t="s">
        <v>90</v>
      </c>
      <c r="E13" s="9"/>
    </row>
    <row r="14" customFormat="false" ht="15" hidden="false" customHeight="false" outlineLevel="0" collapsed="false">
      <c r="A14" s="9"/>
      <c r="B14" s="9"/>
      <c r="C14" s="9"/>
      <c r="D14" s="9" t="s">
        <v>91</v>
      </c>
      <c r="E14" s="9"/>
    </row>
    <row r="15" customFormat="false" ht="15" hidden="false" customHeight="false" outlineLevel="0" collapsed="false">
      <c r="A15" s="9"/>
      <c r="B15" s="9"/>
      <c r="C15" s="9"/>
      <c r="D15" s="9" t="s">
        <v>92</v>
      </c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  <row r="22" customFormat="false" ht="15" hidden="false" customHeight="false" outlineLevel="0" collapsed="false">
      <c r="A22" s="9"/>
      <c r="B22" s="9"/>
      <c r="C22" s="9"/>
      <c r="D22" s="9"/>
      <c r="E22" s="9"/>
    </row>
    <row r="23" customFormat="false" ht="15" hidden="false" customHeight="false" outlineLevel="0" collapsed="false">
      <c r="A23" s="9"/>
      <c r="B23" s="9"/>
      <c r="C23" s="9"/>
      <c r="D23" s="9"/>
      <c r="E23" s="9"/>
    </row>
    <row r="24" customFormat="false" ht="15" hidden="false" customHeight="false" outlineLevel="0" collapsed="false">
      <c r="A24" s="9"/>
      <c r="B24" s="9"/>
      <c r="C24" s="9"/>
      <c r="D24" s="9"/>
      <c r="E24" s="9"/>
    </row>
    <row r="25" customFormat="false" ht="15" hidden="false" customHeight="false" outlineLevel="0" collapsed="false">
      <c r="A25" s="9"/>
      <c r="B25" s="9"/>
      <c r="C25" s="9"/>
      <c r="D25" s="9"/>
      <c r="E25" s="9"/>
    </row>
    <row r="26" customFormat="false" ht="15" hidden="false" customHeight="false" outlineLevel="0" collapsed="false">
      <c r="A26" s="9"/>
      <c r="B26" s="9"/>
      <c r="C26" s="9"/>
      <c r="D26" s="9"/>
      <c r="E26" s="9"/>
    </row>
    <row r="27" customFormat="false" ht="15" hidden="false" customHeight="false" outlineLevel="0" collapsed="false">
      <c r="A27" s="9"/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0" customFormat="false" ht="15" hidden="false" customHeight="false" outlineLevel="0" collapsed="false">
      <c r="A30" s="9"/>
      <c r="B30" s="9"/>
      <c r="C30" s="9"/>
      <c r="D30" s="9"/>
      <c r="E30" s="9"/>
    </row>
    <row r="31" customFormat="false" ht="15" hidden="false" customHeight="false" outlineLevel="0" collapsed="false">
      <c r="A31" s="9"/>
      <c r="B31" s="9"/>
      <c r="C31" s="9"/>
      <c r="D31" s="9"/>
      <c r="E31" s="9"/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9"/>
      <c r="B34" s="9"/>
      <c r="C34" s="9"/>
      <c r="D34" s="9"/>
      <c r="E34" s="9"/>
    </row>
    <row r="35" customFormat="false" ht="15" hidden="false" customHeight="false" outlineLevel="0" collapsed="false">
      <c r="A35" s="9"/>
      <c r="B35" s="9"/>
      <c r="C35" s="9"/>
      <c r="D35" s="9"/>
      <c r="E35" s="9"/>
    </row>
    <row r="36" customFormat="false" ht="15" hidden="false" customHeight="false" outlineLevel="0" collapsed="false">
      <c r="A36" s="9"/>
      <c r="B36" s="9"/>
      <c r="C36" s="9"/>
      <c r="D36" s="9"/>
      <c r="E36" s="9"/>
    </row>
    <row r="37" customFormat="false" ht="15" hidden="false" customHeight="false" outlineLevel="0" collapsed="false">
      <c r="A37" s="9"/>
      <c r="B37" s="9"/>
      <c r="C37" s="9"/>
      <c r="D37" s="9"/>
      <c r="E37" s="9"/>
    </row>
    <row r="38" customFormat="false" ht="15" hidden="false" customHeight="false" outlineLevel="0" collapsed="false">
      <c r="A38" s="9"/>
      <c r="B38" s="9"/>
      <c r="C38" s="9"/>
      <c r="D38" s="9"/>
      <c r="E38" s="9"/>
    </row>
    <row r="39" customFormat="false" ht="15" hidden="false" customHeight="false" outlineLevel="0" collapsed="false">
      <c r="A39" s="9"/>
      <c r="B39" s="9"/>
      <c r="C39" s="9"/>
      <c r="D39" s="9"/>
      <c r="E39" s="9"/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28" min="11" style="0" width="4.5"/>
  </cols>
  <sheetData>
    <row r="1" customFormat="false" ht="17.35" hidden="false" customHeight="false" outlineLevel="0" collapsed="false">
      <c r="A1" s="1" t="s">
        <v>93</v>
      </c>
      <c r="D1" s="7" t="s">
        <v>94</v>
      </c>
    </row>
    <row r="2" customFormat="false" ht="15" hidden="false" customHeight="false" outlineLevel="0" collapsed="false">
      <c r="A2" s="10" t="s">
        <v>95</v>
      </c>
      <c r="C2" s="11" t="s">
        <v>96</v>
      </c>
    </row>
    <row r="3" customFormat="false" ht="15" hidden="false" customHeight="false" outlineLevel="0" collapsed="false">
      <c r="A3" s="10" t="s">
        <v>97</v>
      </c>
      <c r="C3" s="12" t="n">
        <v>46235</v>
      </c>
    </row>
    <row r="4" customFormat="false" ht="15" hidden="false" customHeight="false" outlineLevel="0" collapsed="false">
      <c r="A4" s="13" t="s">
        <v>98</v>
      </c>
    </row>
    <row r="5" customFormat="false" ht="31.5" hidden="false" customHeight="true" outlineLevel="0" collapsed="false">
      <c r="A5" s="8" t="s">
        <v>99</v>
      </c>
      <c r="B5" s="8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105</v>
      </c>
    </row>
    <row r="6" customFormat="false" ht="15" hidden="false" customHeight="false" outlineLevel="0" collapsed="false">
      <c r="A6" s="9" t="s">
        <v>106</v>
      </c>
      <c r="B6" s="9" t="s">
        <v>107</v>
      </c>
      <c r="C6" s="14" t="n">
        <v>46237</v>
      </c>
      <c r="D6" s="14" t="n">
        <v>46237</v>
      </c>
      <c r="E6" s="15" t="n">
        <f aca="false">IF(OR(C6="",D6=""),"",D6-C6)</f>
        <v>0</v>
      </c>
      <c r="F6" s="9" t="s">
        <v>78</v>
      </c>
      <c r="G6" s="16" t="str">
        <f aca="false">IF(E6="","",IF(E6&lt;=0,"En plazo",IF(E6&lt;=7,"Riesgo","Atrasado")))</f>
        <v>En plazo</v>
      </c>
    </row>
    <row r="7" customFormat="false" ht="15" hidden="false" customHeight="false" outlineLevel="0" collapsed="false">
      <c r="A7" s="9" t="s">
        <v>108</v>
      </c>
      <c r="B7" s="9" t="s">
        <v>109</v>
      </c>
      <c r="C7" s="14" t="n">
        <v>46297</v>
      </c>
      <c r="D7" s="14" t="n">
        <v>46304</v>
      </c>
      <c r="E7" s="15" t="n">
        <f aca="false">IF(OR(C7="",D7=""),"",D7-C7)</f>
        <v>7</v>
      </c>
      <c r="F7" s="9" t="s">
        <v>48</v>
      </c>
      <c r="G7" s="16" t="str">
        <f aca="false">IF(E7="","",IF(E7&lt;=0,"En plazo",IF(E7&lt;=7,"Riesgo","Atrasado")))</f>
        <v>Riesgo</v>
      </c>
    </row>
    <row r="8" customFormat="false" ht="15" hidden="false" customHeight="false" outlineLevel="0" collapsed="false">
      <c r="A8" s="9" t="s">
        <v>110</v>
      </c>
      <c r="B8" s="9" t="s">
        <v>111</v>
      </c>
      <c r="C8" s="14" t="n">
        <v>46444</v>
      </c>
      <c r="D8" s="14" t="n">
        <v>46451</v>
      </c>
      <c r="E8" s="15" t="n">
        <f aca="false">IF(OR(C8="",D8=""),"",D8-C8)</f>
        <v>7</v>
      </c>
      <c r="F8" s="9" t="s">
        <v>48</v>
      </c>
      <c r="G8" s="16" t="str">
        <f aca="false">IF(E8="","",IF(E8&lt;=0,"En plazo",IF(E8&lt;=7,"Riesgo","Atrasado")))</f>
        <v>Riesgo</v>
      </c>
    </row>
    <row r="9" customFormat="false" ht="15" hidden="false" customHeight="false" outlineLevel="0" collapsed="false">
      <c r="A9" s="9" t="s">
        <v>112</v>
      </c>
      <c r="B9" s="9" t="s">
        <v>113</v>
      </c>
      <c r="C9" s="14" t="n">
        <v>46535</v>
      </c>
      <c r="D9" s="14" t="n">
        <v>46535</v>
      </c>
      <c r="E9" s="15" t="n">
        <f aca="false">IF(OR(C9="",D9=""),"",D9-C9)</f>
        <v>0</v>
      </c>
      <c r="F9" s="9" t="s">
        <v>58</v>
      </c>
      <c r="G9" s="16" t="str">
        <f aca="false">IF(E9="","",IF(E9&lt;=0,"En plazo",IF(E9&lt;=7,"Riesgo","Atrasado")))</f>
        <v>En plazo</v>
      </c>
    </row>
    <row r="10" customFormat="false" ht="15" hidden="false" customHeight="false" outlineLevel="0" collapsed="false">
      <c r="A10" s="9" t="s">
        <v>114</v>
      </c>
      <c r="B10" s="9" t="s">
        <v>115</v>
      </c>
      <c r="C10" s="14" t="n">
        <v>46598</v>
      </c>
      <c r="D10" s="14" t="n">
        <v>46598</v>
      </c>
      <c r="E10" s="15" t="n">
        <f aca="false">IF(OR(C10="",D10=""),"",D10-C10)</f>
        <v>0</v>
      </c>
      <c r="F10" s="9" t="s">
        <v>78</v>
      </c>
      <c r="G10" s="16" t="str">
        <f aca="false">IF(E10="","",IF(E10&lt;=0,"En plazo",IF(E10&lt;=7,"Riesgo","Atrasado")))</f>
        <v>En plazo</v>
      </c>
    </row>
    <row r="11" customFormat="false" ht="15" hidden="false" customHeight="false" outlineLevel="0" collapsed="false">
      <c r="A11" s="9"/>
      <c r="B11" s="9"/>
      <c r="C11" s="14"/>
      <c r="D11" s="14"/>
      <c r="E11" s="15" t="str">
        <f aca="false">IF(OR(C11="",D11=""),"",D11-C11)</f>
        <v/>
      </c>
      <c r="F11" s="9"/>
      <c r="G11" s="16" t="str">
        <f aca="false">IF(E11="","",IF(E11&lt;=0,"En plazo",IF(E11&lt;=7,"Riesgo","Atrasado")))</f>
        <v/>
      </c>
    </row>
    <row r="12" customFormat="false" ht="15" hidden="false" customHeight="false" outlineLevel="0" collapsed="false">
      <c r="A12" s="9"/>
      <c r="B12" s="9"/>
      <c r="C12" s="14"/>
      <c r="D12" s="14"/>
      <c r="E12" s="15" t="str">
        <f aca="false">IF(OR(C12="",D12=""),"",D12-C12)</f>
        <v/>
      </c>
      <c r="F12" s="9"/>
      <c r="G12" s="16" t="str">
        <f aca="false">IF(E12="","",IF(E12&lt;=0,"En plazo",IF(E12&lt;=7,"Riesgo","Atrasado")))</f>
        <v/>
      </c>
    </row>
    <row r="13" customFormat="false" ht="15" hidden="false" customHeight="false" outlineLevel="0" collapsed="false">
      <c r="A13" s="9"/>
      <c r="B13" s="9"/>
      <c r="C13" s="14"/>
      <c r="D13" s="14"/>
      <c r="E13" s="15" t="str">
        <f aca="false">IF(OR(C13="",D13=""),"",D13-C13)</f>
        <v/>
      </c>
      <c r="F13" s="9"/>
      <c r="G13" s="16" t="str">
        <f aca="false">IF(E13="","",IF(E13&lt;=0,"En plazo",IF(E13&lt;=7,"Riesgo","Atrasado")))</f>
        <v/>
      </c>
    </row>
    <row r="14" customFormat="false" ht="15" hidden="false" customHeight="false" outlineLevel="0" collapsed="false">
      <c r="A14" s="9"/>
      <c r="B14" s="9"/>
      <c r="C14" s="14"/>
      <c r="D14" s="14"/>
      <c r="E14" s="15" t="str">
        <f aca="false">IF(OR(C14="",D14=""),"",D14-C14)</f>
        <v/>
      </c>
      <c r="F14" s="9"/>
      <c r="G14" s="16" t="str">
        <f aca="false">IF(E14="","",IF(E14&lt;=0,"En plazo",IF(E14&lt;=7,"Riesgo","Atrasado")))</f>
        <v/>
      </c>
    </row>
    <row r="15" customFormat="false" ht="15" hidden="false" customHeight="false" outlineLevel="0" collapsed="false">
      <c r="A15" s="9"/>
      <c r="B15" s="9"/>
      <c r="C15" s="14"/>
      <c r="D15" s="14"/>
      <c r="E15" s="15" t="str">
        <f aca="false">IF(OR(C15="",D15=""),"",D15-C15)</f>
        <v/>
      </c>
      <c r="F15" s="9"/>
      <c r="G15" s="16" t="str">
        <f aca="false">IF(E15="","",IF(E15&lt;=0,"En plazo",IF(E15&lt;=7,"Riesgo","Atrasado")))</f>
        <v/>
      </c>
    </row>
    <row r="17" customFormat="false" ht="15" hidden="false" customHeight="false" outlineLevel="0" collapsed="false">
      <c r="A17" s="13" t="s">
        <v>116</v>
      </c>
      <c r="K17" s="13" t="s">
        <v>117</v>
      </c>
    </row>
    <row r="18" customFormat="false" ht="31.5" hidden="false" customHeight="true" outlineLevel="0" collapsed="false">
      <c r="A18" s="8" t="s">
        <v>118</v>
      </c>
      <c r="B18" s="8" t="s">
        <v>119</v>
      </c>
      <c r="C18" s="8" t="s">
        <v>120</v>
      </c>
      <c r="D18" s="8" t="s">
        <v>121</v>
      </c>
      <c r="E18" s="8" t="s">
        <v>122</v>
      </c>
      <c r="F18" s="8" t="s">
        <v>123</v>
      </c>
      <c r="G18" s="8" t="s">
        <v>124</v>
      </c>
      <c r="H18" s="8" t="s">
        <v>125</v>
      </c>
      <c r="I18" s="8" t="s">
        <v>126</v>
      </c>
      <c r="J18" s="8" t="s">
        <v>105</v>
      </c>
      <c r="K18" s="17" t="n">
        <f aca="false">$C$3</f>
        <v>46235</v>
      </c>
      <c r="L18" s="17" t="n">
        <f aca="false">EDATE(K18,1)</f>
        <v>46266</v>
      </c>
      <c r="M18" s="17" t="n">
        <f aca="false">EDATE(L18,1)</f>
        <v>46296</v>
      </c>
      <c r="N18" s="17" t="n">
        <f aca="false">EDATE(M18,1)</f>
        <v>46327</v>
      </c>
      <c r="O18" s="17" t="n">
        <f aca="false">EDATE(N18,1)</f>
        <v>46357</v>
      </c>
      <c r="P18" s="17" t="n">
        <f aca="false">EDATE(O18,1)</f>
        <v>46388</v>
      </c>
      <c r="Q18" s="17" t="n">
        <f aca="false">EDATE(P18,1)</f>
        <v>46419</v>
      </c>
      <c r="R18" s="17" t="n">
        <f aca="false">EDATE(Q18,1)</f>
        <v>46447</v>
      </c>
      <c r="S18" s="17" t="n">
        <f aca="false">EDATE(R18,1)</f>
        <v>46478</v>
      </c>
      <c r="T18" s="17" t="n">
        <f aca="false">EDATE(S18,1)</f>
        <v>46508</v>
      </c>
      <c r="U18" s="17" t="n">
        <f aca="false">EDATE(T18,1)</f>
        <v>46539</v>
      </c>
      <c r="V18" s="17" t="n">
        <f aca="false">EDATE(U18,1)</f>
        <v>46569</v>
      </c>
      <c r="W18" s="17" t="n">
        <f aca="false">EDATE(V18,1)</f>
        <v>46600</v>
      </c>
      <c r="X18" s="17" t="n">
        <f aca="false">EDATE(W18,1)</f>
        <v>46631</v>
      </c>
      <c r="Y18" s="17" t="n">
        <f aca="false">EDATE(X18,1)</f>
        <v>46661</v>
      </c>
      <c r="Z18" s="17" t="n">
        <f aca="false">EDATE(Y18,1)</f>
        <v>46692</v>
      </c>
      <c r="AA18" s="17" t="n">
        <f aca="false">EDATE(Z18,1)</f>
        <v>46722</v>
      </c>
      <c r="AB18" s="17" t="n">
        <f aca="false">EDATE(AA18,1)</f>
        <v>46753</v>
      </c>
    </row>
    <row r="19" customFormat="false" ht="15" hidden="false" customHeight="false" outlineLevel="0" collapsed="false">
      <c r="A19" s="9" t="s">
        <v>127</v>
      </c>
      <c r="B19" s="9" t="s">
        <v>128</v>
      </c>
      <c r="C19" s="9" t="s">
        <v>106</v>
      </c>
      <c r="D19" s="14" t="n">
        <v>46237</v>
      </c>
      <c r="E19" s="14" t="n">
        <v>46255</v>
      </c>
      <c r="F19" s="15" t="n">
        <f aca="false">IF(OR(D19="",E19=""),"",NETWORKDAYS.INTL(D19,E19,11))</f>
        <v>17</v>
      </c>
      <c r="G19" s="9" t="s">
        <v>78</v>
      </c>
      <c r="H19" s="18" t="n">
        <f aca="false">IF(A19="","",COUNTIF(LOOKAHEAD!$C$5:$C$204,A19))</f>
        <v>0</v>
      </c>
      <c r="I19" s="19" t="n">
        <f aca="false">IF(A19="","",IFERROR(AVERAGEIF(LOOKAHEAD!$C$5:$C$204,A19,LOOKAHEAD!$N$5:$N$204),0))</f>
        <v>0</v>
      </c>
      <c r="J19" s="16" t="str">
        <f aca="true">IF(A19="","",IF(H19=0,IF(TODAY()&gt;E19,"Fin planificado",IF(TODAY()&gt;=D19,"En curso","Por iniciar")),IF(I19&gt;=1,"Terminada",IF(TODAY()&gt;E19,"Atrasada",IF(TODAY()&gt;=D19,"En curso","Por iniciar")))))</f>
        <v>Fin planificado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15" hidden="false" customHeight="false" outlineLevel="0" collapsed="false">
      <c r="A20" s="9" t="s">
        <v>129</v>
      </c>
      <c r="B20" s="9" t="s">
        <v>130</v>
      </c>
      <c r="C20" s="9" t="s">
        <v>108</v>
      </c>
      <c r="D20" s="14" t="n">
        <v>46251</v>
      </c>
      <c r="E20" s="14" t="n">
        <v>46276</v>
      </c>
      <c r="F20" s="15" t="n">
        <f aca="false">IF(OR(D20="",E20=""),"",NETWORKDAYS.INTL(D20,E20,11))</f>
        <v>23</v>
      </c>
      <c r="G20" s="9" t="s">
        <v>53</v>
      </c>
      <c r="H20" s="18" t="n">
        <f aca="false">IF(A20="","",COUNTIF(LOOKAHEAD!$C$5:$C$204,A20))</f>
        <v>0</v>
      </c>
      <c r="I20" s="19" t="n">
        <f aca="false">IF(A20="","",IFERROR(AVERAGEIF(LOOKAHEAD!$C$5:$C$204,A20,LOOKAHEAD!$N$5:$N$204),0))</f>
        <v>0</v>
      </c>
      <c r="J20" s="16" t="str">
        <f aca="true">IF(A20="","",IF(H20=0,IF(TODAY()&gt;E20,"Fin planificado",IF(TODAY()&gt;=D20,"En curso","Por iniciar")),IF(I20&gt;=1,"Terminada",IF(TODAY()&gt;E20,"Atrasada",IF(TODAY()&gt;=D20,"En curso","Por iniciar")))))</f>
        <v>Fin planificado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15" hidden="false" customHeight="false" outlineLevel="0" collapsed="false">
      <c r="A21" s="9" t="s">
        <v>131</v>
      </c>
      <c r="B21" s="9" t="s">
        <v>132</v>
      </c>
      <c r="C21" s="9" t="s">
        <v>108</v>
      </c>
      <c r="D21" s="14" t="n">
        <v>46272</v>
      </c>
      <c r="E21" s="14" t="n">
        <v>46304</v>
      </c>
      <c r="F21" s="15" t="n">
        <f aca="false">IF(OR(D21="",E21=""),"",NETWORKDAYS.INTL(D21,E21,11))</f>
        <v>29</v>
      </c>
      <c r="G21" s="9" t="s">
        <v>48</v>
      </c>
      <c r="H21" s="18" t="n">
        <f aca="false">IF(A21="","",COUNTIF(LOOKAHEAD!$C$5:$C$204,A21))</f>
        <v>1</v>
      </c>
      <c r="I21" s="19" t="n">
        <f aca="false">IF(A21="","",IFERROR(AVERAGEIF(LOOKAHEAD!$C$5:$C$204,A21,LOOKAHEAD!$N$5:$N$204),0))</f>
        <v>0.666666666666667</v>
      </c>
      <c r="J21" s="16" t="str">
        <f aca="true">IF(A21="","",IF(H21=0,IF(TODAY()&gt;E21,"Fin planificado",IF(TODAY()&gt;=D21,"En curso","Por iniciar")),IF(I21&gt;=1,"Terminada",IF(TODAY()&gt;E21,"Atrasada",IF(TODAY()&gt;=D21,"En curso","Por iniciar")))))</f>
        <v>En curso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15" hidden="false" customHeight="false" outlineLevel="0" collapsed="false">
      <c r="A22" s="9" t="s">
        <v>133</v>
      </c>
      <c r="B22" s="9" t="s">
        <v>134</v>
      </c>
      <c r="C22" s="9" t="s">
        <v>110</v>
      </c>
      <c r="D22" s="14" t="n">
        <v>46300</v>
      </c>
      <c r="E22" s="14" t="n">
        <v>46451</v>
      </c>
      <c r="F22" s="15" t="n">
        <f aca="false">IF(OR(D22="",E22=""),"",NETWORKDAYS.INTL(D22,E22,11))</f>
        <v>131</v>
      </c>
      <c r="G22" s="9" t="s">
        <v>48</v>
      </c>
      <c r="H22" s="18" t="n">
        <f aca="false">IF(A22="","",COUNTIF(LOOKAHEAD!$C$5:$C$204,A22))</f>
        <v>5</v>
      </c>
      <c r="I22" s="19" t="n">
        <f aca="false">IF(A22="","",IFERROR(AVERAGEIF(LOOKAHEAD!$C$5:$C$204,A22,LOOKAHEAD!$N$5:$N$204),0))</f>
        <v>0.217619047619048</v>
      </c>
      <c r="J22" s="16" t="str">
        <f aca="true">IF(A22="","",IF(H22=0,IF(TODAY()&gt;E22,"Fin planificado",IF(TODAY()&gt;=D22,"En curso","Por iniciar")),IF(I22&gt;=1,"Terminada",IF(TODAY()&gt;E22,"Atrasada",IF(TODAY()&gt;=D22,"En curso","Por iniciar")))))</f>
        <v>En curso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15" hidden="false" customHeight="false" outlineLevel="0" collapsed="false">
      <c r="A23" s="9" t="s">
        <v>135</v>
      </c>
      <c r="B23" s="9" t="s">
        <v>136</v>
      </c>
      <c r="C23" s="9" t="s">
        <v>112</v>
      </c>
      <c r="D23" s="14" t="n">
        <v>46342</v>
      </c>
      <c r="E23" s="14" t="n">
        <v>46535</v>
      </c>
      <c r="F23" s="15" t="n">
        <f aca="false">IF(OR(D23="",E23=""),"",NETWORKDAYS.INTL(D23,E23,11))</f>
        <v>167</v>
      </c>
      <c r="G23" s="9" t="s">
        <v>58</v>
      </c>
      <c r="H23" s="18" t="n">
        <f aca="false">IF(A23="","",COUNTIF(LOOKAHEAD!$C$5:$C$204,A23))</f>
        <v>2</v>
      </c>
      <c r="I23" s="19" t="n">
        <f aca="false">IF(A23="","",IFERROR(AVERAGEIF(LOOKAHEAD!$C$5:$C$204,A23,LOOKAHEAD!$N$5:$N$204),0))</f>
        <v>0</v>
      </c>
      <c r="J23" s="16" t="str">
        <f aca="true">IF(A23="","",IF(H23=0,IF(TODAY()&gt;E23,"Fin planificado",IF(TODAY()&gt;=D23,"En curso","Por iniciar")),IF(I23&gt;=1,"Terminada",IF(TODAY()&gt;E23,"Atrasada",IF(TODAY()&gt;=D23,"En curso","Por iniciar")))))</f>
        <v>Por iniciar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15" hidden="false" customHeight="false" outlineLevel="0" collapsed="false">
      <c r="A24" s="9" t="s">
        <v>137</v>
      </c>
      <c r="B24" s="9" t="s">
        <v>138</v>
      </c>
      <c r="C24" s="9" t="s">
        <v>114</v>
      </c>
      <c r="D24" s="14" t="n">
        <v>46419</v>
      </c>
      <c r="E24" s="14" t="n">
        <v>46591</v>
      </c>
      <c r="F24" s="15" t="n">
        <f aca="false">IF(OR(D24="",E24=""),"",NETWORKDAYS.INTL(D24,E24,11))</f>
        <v>149</v>
      </c>
      <c r="G24" s="9" t="s">
        <v>53</v>
      </c>
      <c r="H24" s="18" t="n">
        <f aca="false">IF(A24="","",COUNTIF(LOOKAHEAD!$C$5:$C$204,A24))</f>
        <v>0</v>
      </c>
      <c r="I24" s="19" t="n">
        <f aca="false">IF(A24="","",IFERROR(AVERAGEIF(LOOKAHEAD!$C$5:$C$204,A24,LOOKAHEAD!$N$5:$N$204),0))</f>
        <v>0</v>
      </c>
      <c r="J24" s="16" t="str">
        <f aca="true">IF(A24="","",IF(H24=0,IF(TODAY()&gt;E24,"Fin planificado",IF(TODAY()&gt;=D24,"En curso","Por iniciar")),IF(I24&gt;=1,"Terminada",IF(TODAY()&gt;E24,"Atrasada",IF(TODAY()&gt;=D24,"En curso","Por iniciar")))))</f>
        <v>Por iniciar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15" hidden="false" customHeight="false" outlineLevel="0" collapsed="false">
      <c r="A25" s="9"/>
      <c r="B25" s="9"/>
      <c r="C25" s="9"/>
      <c r="D25" s="14"/>
      <c r="E25" s="14"/>
      <c r="F25" s="15" t="str">
        <f aca="false">IF(OR(D25="",E25=""),"",NETWORKDAYS.INTL(D25,E25,11))</f>
        <v/>
      </c>
      <c r="G25" s="9"/>
      <c r="H25" s="18" t="str">
        <f aca="false">IF(A25="","",COUNTIF(LOOKAHEAD!$C$5:$C$204,A25))</f>
        <v/>
      </c>
      <c r="I25" s="19" t="str">
        <f aca="false">IF(A25="","",IFERROR(AVERAGEIF(LOOKAHEAD!$C$5:$C$204,A25,LOOKAHEAD!$N$5:$N$204),0))</f>
        <v/>
      </c>
      <c r="J25" s="16" t="str">
        <f aca="true">IF(A25="","",IF(H25=0,IF(TODAY()&gt;E25,"Fin planificado",IF(TODAY()&gt;=D25,"En curso","Por iniciar")),IF(I25&gt;=1,"Terminada",IF(TODAY()&gt;E25,"Atrasada",IF(TODAY()&gt;=D25,"En curso","Por iniciar")))))</f>
        <v/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15" hidden="false" customHeight="false" outlineLevel="0" collapsed="false">
      <c r="A26" s="9"/>
      <c r="B26" s="9"/>
      <c r="C26" s="9"/>
      <c r="D26" s="14"/>
      <c r="E26" s="14"/>
      <c r="F26" s="15" t="str">
        <f aca="false">IF(OR(D26="",E26=""),"",NETWORKDAYS.INTL(D26,E26,11))</f>
        <v/>
      </c>
      <c r="G26" s="9"/>
      <c r="H26" s="18" t="str">
        <f aca="false">IF(A26="","",COUNTIF(LOOKAHEAD!$C$5:$C$204,A26))</f>
        <v/>
      </c>
      <c r="I26" s="19" t="str">
        <f aca="false">IF(A26="","",IFERROR(AVERAGEIF(LOOKAHEAD!$C$5:$C$204,A26,LOOKAHEAD!$N$5:$N$204),0))</f>
        <v/>
      </c>
      <c r="J26" s="16" t="str">
        <f aca="true">IF(A26="","",IF(H26=0,IF(TODAY()&gt;E26,"Fin planificado",IF(TODAY()&gt;=D26,"En curso","Por iniciar")),IF(I26&gt;=1,"Terminada",IF(TODAY()&gt;E26,"Atrasada",IF(TODAY()&gt;=D26,"En curso","Por iniciar")))))</f>
        <v/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15" hidden="false" customHeight="false" outlineLevel="0" collapsed="false">
      <c r="A27" s="9"/>
      <c r="B27" s="9"/>
      <c r="C27" s="9"/>
      <c r="D27" s="14"/>
      <c r="E27" s="14"/>
      <c r="F27" s="15" t="str">
        <f aca="false">IF(OR(D27="",E27=""),"",NETWORKDAYS.INTL(D27,E27,11))</f>
        <v/>
      </c>
      <c r="G27" s="9"/>
      <c r="H27" s="18" t="str">
        <f aca="false">IF(A27="","",COUNTIF(LOOKAHEAD!$C$5:$C$204,A27))</f>
        <v/>
      </c>
      <c r="I27" s="19" t="str">
        <f aca="false">IF(A27="","",IFERROR(AVERAGEIF(LOOKAHEAD!$C$5:$C$204,A27,LOOKAHEAD!$N$5:$N$204),0))</f>
        <v/>
      </c>
      <c r="J27" s="16" t="str">
        <f aca="true">IF(A27="","",IF(H27=0,IF(TODAY()&gt;E27,"Fin planificado",IF(TODAY()&gt;=D27,"En curso","Por iniciar")),IF(I27&gt;=1,"Terminada",IF(TODAY()&gt;E27,"Atrasada",IF(TODAY()&gt;=D27,"En curso","Por iniciar")))))</f>
        <v/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15" hidden="false" customHeight="false" outlineLevel="0" collapsed="false">
      <c r="A28" s="9"/>
      <c r="B28" s="9"/>
      <c r="C28" s="9"/>
      <c r="D28" s="14"/>
      <c r="E28" s="14"/>
      <c r="F28" s="15" t="str">
        <f aca="false">IF(OR(D28="",E28=""),"",NETWORKDAYS.INTL(D28,E28,11))</f>
        <v/>
      </c>
      <c r="G28" s="9"/>
      <c r="H28" s="18" t="str">
        <f aca="false">IF(A28="","",COUNTIF(LOOKAHEAD!$C$5:$C$204,A28))</f>
        <v/>
      </c>
      <c r="I28" s="19" t="str">
        <f aca="false">IF(A28="","",IFERROR(AVERAGEIF(LOOKAHEAD!$C$5:$C$204,A28,LOOKAHEAD!$N$5:$N$204),0))</f>
        <v/>
      </c>
      <c r="J28" s="16" t="str">
        <f aca="true">IF(A28="","",IF(H28=0,IF(TODAY()&gt;E28,"Fin planificado",IF(TODAY()&gt;=D28,"En curso","Por iniciar")),IF(I28&gt;=1,"Terminada",IF(TODAY()&gt;E28,"Atrasada",IF(TODAY()&gt;=D28,"En curso","Por iniciar")))))</f>
        <v/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15" hidden="false" customHeight="false" outlineLevel="0" collapsed="false">
      <c r="A29" s="9"/>
      <c r="B29" s="9"/>
      <c r="C29" s="9"/>
      <c r="D29" s="14"/>
      <c r="E29" s="14"/>
      <c r="F29" s="15" t="str">
        <f aca="false">IF(OR(D29="",E29=""),"",NETWORKDAYS.INTL(D29,E29,11))</f>
        <v/>
      </c>
      <c r="G29" s="9"/>
      <c r="H29" s="18" t="str">
        <f aca="false">IF(A29="","",COUNTIF(LOOKAHEAD!$C$5:$C$204,A29))</f>
        <v/>
      </c>
      <c r="I29" s="19" t="str">
        <f aca="false">IF(A29="","",IFERROR(AVERAGEIF(LOOKAHEAD!$C$5:$C$204,A29,LOOKAHEAD!$N$5:$N$204),0))</f>
        <v/>
      </c>
      <c r="J29" s="16" t="str">
        <f aca="true">IF(A29="","",IF(H29=0,IF(TODAY()&gt;E29,"Fin planificado",IF(TODAY()&gt;=D29,"En curso","Por iniciar")),IF(I29&gt;=1,"Terminada",IF(TODAY()&gt;E29,"Atrasada",IF(TODAY()&gt;=D29,"En curso","Por iniciar")))))</f>
        <v/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15" hidden="false" customHeight="false" outlineLevel="0" collapsed="false">
      <c r="A30" s="9"/>
      <c r="B30" s="9"/>
      <c r="C30" s="9"/>
      <c r="D30" s="14"/>
      <c r="E30" s="14"/>
      <c r="F30" s="15" t="str">
        <f aca="false">IF(OR(D30="",E30=""),"",NETWORKDAYS.INTL(D30,E30,11))</f>
        <v/>
      </c>
      <c r="G30" s="9"/>
      <c r="H30" s="18" t="str">
        <f aca="false">IF(A30="","",COUNTIF(LOOKAHEAD!$C$5:$C$204,A30))</f>
        <v/>
      </c>
      <c r="I30" s="19" t="str">
        <f aca="false">IF(A30="","",IFERROR(AVERAGEIF(LOOKAHEAD!$C$5:$C$204,A30,LOOKAHEAD!$N$5:$N$204),0))</f>
        <v/>
      </c>
      <c r="J30" s="16" t="str">
        <f aca="true">IF(A30="","",IF(H30=0,IF(TODAY()&gt;E30,"Fin planificado",IF(TODAY()&gt;=D30,"En curso","Por iniciar")),IF(I30&gt;=1,"Terminada",IF(TODAY()&gt;E30,"Atrasada",IF(TODAY()&gt;=D30,"En curso","Por iniciar")))))</f>
        <v/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15" hidden="false" customHeight="false" outlineLevel="0" collapsed="false">
      <c r="A31" s="9"/>
      <c r="B31" s="9"/>
      <c r="C31" s="9"/>
      <c r="D31" s="14"/>
      <c r="E31" s="14"/>
      <c r="F31" s="15" t="str">
        <f aca="false">IF(OR(D31="",E31=""),"",NETWORKDAYS.INTL(D31,E31,11))</f>
        <v/>
      </c>
      <c r="G31" s="9"/>
      <c r="H31" s="18" t="str">
        <f aca="false">IF(A31="","",COUNTIF(LOOKAHEAD!$C$5:$C$204,A31))</f>
        <v/>
      </c>
      <c r="I31" s="19" t="str">
        <f aca="false">IF(A31="","",IFERROR(AVERAGEIF(LOOKAHEAD!$C$5:$C$204,A31,LOOKAHEAD!$N$5:$N$204),0))</f>
        <v/>
      </c>
      <c r="J31" s="16" t="str">
        <f aca="true">IF(A31="","",IF(H31=0,IF(TODAY()&gt;E31,"Fin planificado",IF(TODAY()&gt;=D31,"En curso","Por iniciar")),IF(I31&gt;=1,"Terminada",IF(TODAY()&gt;E31,"Atrasada",IF(TODAY()&gt;=D31,"En curso","Por iniciar")))))</f>
        <v/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15" hidden="false" customHeight="false" outlineLevel="0" collapsed="false">
      <c r="A32" s="9"/>
      <c r="B32" s="9"/>
      <c r="C32" s="9"/>
      <c r="D32" s="14"/>
      <c r="E32" s="14"/>
      <c r="F32" s="15" t="str">
        <f aca="false">IF(OR(D32="",E32=""),"",NETWORKDAYS.INTL(D32,E32,11))</f>
        <v/>
      </c>
      <c r="G32" s="9"/>
      <c r="H32" s="18" t="str">
        <f aca="false">IF(A32="","",COUNTIF(LOOKAHEAD!$C$5:$C$204,A32))</f>
        <v/>
      </c>
      <c r="I32" s="19" t="str">
        <f aca="false">IF(A32="","",IFERROR(AVERAGEIF(LOOKAHEAD!$C$5:$C$204,A32,LOOKAHEAD!$N$5:$N$204),0))</f>
        <v/>
      </c>
      <c r="J32" s="16" t="str">
        <f aca="true">IF(A32="","",IF(H32=0,IF(TODAY()&gt;E32,"Fin planificado",IF(TODAY()&gt;=D32,"En curso","Por iniciar")),IF(I32&gt;=1,"Terminada",IF(TODAY()&gt;E32,"Atrasada",IF(TODAY()&gt;=D32,"En curso","Por iniciar")))))</f>
        <v/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15" hidden="false" customHeight="false" outlineLevel="0" collapsed="false">
      <c r="A33" s="9"/>
      <c r="B33" s="9"/>
      <c r="C33" s="9"/>
      <c r="D33" s="14"/>
      <c r="E33" s="14"/>
      <c r="F33" s="15" t="str">
        <f aca="false">IF(OR(D33="",E33=""),"",NETWORKDAYS.INTL(D33,E33,11))</f>
        <v/>
      </c>
      <c r="G33" s="9"/>
      <c r="H33" s="18" t="str">
        <f aca="false">IF(A33="","",COUNTIF(LOOKAHEAD!$C$5:$C$204,A33))</f>
        <v/>
      </c>
      <c r="I33" s="19" t="str">
        <f aca="false">IF(A33="","",IFERROR(AVERAGEIF(LOOKAHEAD!$C$5:$C$204,A33,LOOKAHEAD!$N$5:$N$204),0))</f>
        <v/>
      </c>
      <c r="J33" s="16" t="str">
        <f aca="true">IF(A33="","",IF(H33=0,IF(TODAY()&gt;E33,"Fin planificado",IF(TODAY()&gt;=D33,"En curso","Por iniciar")),IF(I33&gt;=1,"Terminada",IF(TODAY()&gt;E33,"Atrasada",IF(TODAY()&gt;=D33,"En curso","Por iniciar")))))</f>
        <v/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15" hidden="false" customHeight="false" outlineLevel="0" collapsed="false">
      <c r="A34" s="9"/>
      <c r="B34" s="9"/>
      <c r="C34" s="9"/>
      <c r="D34" s="14"/>
      <c r="E34" s="14"/>
      <c r="F34" s="15" t="str">
        <f aca="false">IF(OR(D34="",E34=""),"",NETWORKDAYS.INTL(D34,E34,11))</f>
        <v/>
      </c>
      <c r="G34" s="9"/>
      <c r="H34" s="18" t="str">
        <f aca="false">IF(A34="","",COUNTIF(LOOKAHEAD!$C$5:$C$204,A34))</f>
        <v/>
      </c>
      <c r="I34" s="19" t="str">
        <f aca="false">IF(A34="","",IFERROR(AVERAGEIF(LOOKAHEAD!$C$5:$C$204,A34,LOOKAHEAD!$N$5:$N$204),0))</f>
        <v/>
      </c>
      <c r="J34" s="16" t="str">
        <f aca="true">IF(A34="","",IF(H34=0,IF(TODAY()&gt;E34,"Fin planificado",IF(TODAY()&gt;=D34,"En curso","Por iniciar")),IF(I34&gt;=1,"Terminada",IF(TODAY()&gt;E34,"Atrasada",IF(TODAY()&gt;=D34,"En curso","Por iniciar")))))</f>
        <v/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15" hidden="false" customHeight="false" outlineLevel="0" collapsed="false">
      <c r="A35" s="9"/>
      <c r="B35" s="9"/>
      <c r="C35" s="9"/>
      <c r="D35" s="14"/>
      <c r="E35" s="14"/>
      <c r="F35" s="15" t="str">
        <f aca="false">IF(OR(D35="",E35=""),"",NETWORKDAYS.INTL(D35,E35,11))</f>
        <v/>
      </c>
      <c r="G35" s="9"/>
      <c r="H35" s="18" t="str">
        <f aca="false">IF(A35="","",COUNTIF(LOOKAHEAD!$C$5:$C$204,A35))</f>
        <v/>
      </c>
      <c r="I35" s="19" t="str">
        <f aca="false">IF(A35="","",IFERROR(AVERAGEIF(LOOKAHEAD!$C$5:$C$204,A35,LOOKAHEAD!$N$5:$N$204),0))</f>
        <v/>
      </c>
      <c r="J35" s="16" t="str">
        <f aca="true">IF(A35="","",IF(H35=0,IF(TODAY()&gt;E35,"Fin planificado",IF(TODAY()&gt;=D35,"En curso","Por iniciar")),IF(I35&gt;=1,"Terminada",IF(TODAY()&gt;E35,"Atrasada",IF(TODAY()&gt;=D35,"En curso","Por iniciar")))))</f>
        <v/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15" hidden="false" customHeight="false" outlineLevel="0" collapsed="false">
      <c r="A36" s="9"/>
      <c r="B36" s="9"/>
      <c r="C36" s="9"/>
      <c r="D36" s="14"/>
      <c r="E36" s="14"/>
      <c r="F36" s="15" t="str">
        <f aca="false">IF(OR(D36="",E36=""),"",NETWORKDAYS.INTL(D36,E36,11))</f>
        <v/>
      </c>
      <c r="G36" s="9"/>
      <c r="H36" s="18" t="str">
        <f aca="false">IF(A36="","",COUNTIF(LOOKAHEAD!$C$5:$C$204,A36))</f>
        <v/>
      </c>
      <c r="I36" s="19" t="str">
        <f aca="false">IF(A36="","",IFERROR(AVERAGEIF(LOOKAHEAD!$C$5:$C$204,A36,LOOKAHEAD!$N$5:$N$204),0))</f>
        <v/>
      </c>
      <c r="J36" s="16" t="str">
        <f aca="true">IF(A36="","",IF(H36=0,IF(TODAY()&gt;E36,"Fin planificado",IF(TODAY()&gt;=D36,"En curso","Por iniciar")),IF(I36&gt;=1,"Terminada",IF(TODAY()&gt;E36,"Atrasada",IF(TODAY()&gt;=D36,"En curso","Por iniciar")))))</f>
        <v/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15" hidden="false" customHeight="false" outlineLevel="0" collapsed="false">
      <c r="A37" s="9"/>
      <c r="B37" s="9"/>
      <c r="C37" s="9"/>
      <c r="D37" s="14"/>
      <c r="E37" s="14"/>
      <c r="F37" s="15" t="str">
        <f aca="false">IF(OR(D37="",E37=""),"",NETWORKDAYS.INTL(D37,E37,11))</f>
        <v/>
      </c>
      <c r="G37" s="9"/>
      <c r="H37" s="18" t="str">
        <f aca="false">IF(A37="","",COUNTIF(LOOKAHEAD!$C$5:$C$204,A37))</f>
        <v/>
      </c>
      <c r="I37" s="19" t="str">
        <f aca="false">IF(A37="","",IFERROR(AVERAGEIF(LOOKAHEAD!$C$5:$C$204,A37,LOOKAHEAD!$N$5:$N$204),0))</f>
        <v/>
      </c>
      <c r="J37" s="16" t="str">
        <f aca="true">IF(A37="","",IF(H37=0,IF(TODAY()&gt;E37,"Fin planificado",IF(TODAY()&gt;=D37,"En curso","Por iniciar")),IF(I37&gt;=1,"Terminada",IF(TODAY()&gt;E37,"Atrasada",IF(TODAY()&gt;=D37,"En curso","Por iniciar")))))</f>
        <v/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15" hidden="false" customHeight="false" outlineLevel="0" collapsed="false">
      <c r="A38" s="9"/>
      <c r="B38" s="9"/>
      <c r="C38" s="9"/>
      <c r="D38" s="14"/>
      <c r="E38" s="14"/>
      <c r="F38" s="15" t="str">
        <f aca="false">IF(OR(D38="",E38=""),"",NETWORKDAYS.INTL(D38,E38,11))</f>
        <v/>
      </c>
      <c r="G38" s="9"/>
      <c r="H38" s="18" t="str">
        <f aca="false">IF(A38="","",COUNTIF(LOOKAHEAD!$C$5:$C$204,A38))</f>
        <v/>
      </c>
      <c r="I38" s="19" t="str">
        <f aca="false">IF(A38="","",IFERROR(AVERAGEIF(LOOKAHEAD!$C$5:$C$204,A38,LOOKAHEAD!$N$5:$N$204),0))</f>
        <v/>
      </c>
      <c r="J38" s="16" t="str">
        <f aca="true">IF(A38="","",IF(H38=0,IF(TODAY()&gt;E38,"Fin planificado",IF(TODAY()&gt;=D38,"En curso","Por iniciar")),IF(I38&gt;=1,"Terminada",IF(TODAY()&gt;E38,"Atrasada",IF(TODAY()&gt;=D38,"En curso","Por iniciar")))))</f>
        <v/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</sheetData>
  <conditionalFormatting sqref="G6:G15">
    <cfRule type="cellIs" priority="2" operator="equal" aboveAverage="0" equalAverage="0" bottom="0" percent="0" rank="0" text="" dxfId="0">
      <formula>"En plazo"</formula>
    </cfRule>
    <cfRule type="cellIs" priority="3" operator="equal" aboveAverage="0" equalAverage="0" bottom="0" percent="0" rank="0" text="" dxfId="1">
      <formula>"Riesgo"</formula>
    </cfRule>
    <cfRule type="cellIs" priority="4" operator="equal" aboveAverage="0" equalAverage="0" bottom="0" percent="0" rank="0" text="" dxfId="2">
      <formula>"Atrasado"</formula>
    </cfRule>
  </conditionalFormatting>
  <conditionalFormatting sqref="J19:J38">
    <cfRule type="cellIs" priority="5" operator="equal" aboveAverage="0" equalAverage="0" bottom="0" percent="0" rank="0" text="" dxfId="0">
      <formula>"Terminada"</formula>
    </cfRule>
    <cfRule type="cellIs" priority="6" operator="equal" aboveAverage="0" equalAverage="0" bottom="0" percent="0" rank="0" text="" dxfId="1">
      <formula>"En curso"</formula>
    </cfRule>
    <cfRule type="cellIs" priority="7" operator="equal" aboveAverage="0" equalAverage="0" bottom="0" percent="0" rank="0" text="" dxfId="2">
      <formula>"Atrasada"</formula>
    </cfRule>
  </conditionalFormatting>
  <conditionalFormatting sqref="K19:AB38">
    <cfRule type="expression" priority="8" aboveAverage="0" equalAverage="0" bottom="0" percent="0" rank="0" text="" dxfId="3">
      <formula>AND($D19&lt;&gt;"",K$18&lt;=$E19,EOMONTH(K$18,0)&gt;=$D19)</formula>
    </cfRule>
  </conditionalFormatting>
  <dataValidations count="3">
    <dataValidation allowBlank="true" errorStyle="stop" operator="between" showDropDown="false" showErrorMessage="true" showInputMessage="false" sqref="F6:F15" type="list">
      <formula1>Responsables</formula1>
      <formula2>0</formula2>
    </dataValidation>
    <dataValidation allowBlank="true" errorStyle="stop" operator="between" showDropDown="false" showErrorMessage="true" showInputMessage="false" sqref="C19:C38" type="list">
      <formula1>$A$6:$A$15</formula1>
      <formula2>0</formula2>
    </dataValidation>
    <dataValidation allowBlank="true" errorStyle="stop" operator="between" showDropDown="false" showErrorMessage="true" showInputMessage="false" sqref="G19:G38" type="list">
      <formula1>Responsables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U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20" min="15" style="0" width="9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139</v>
      </c>
      <c r="D1" s="7" t="s">
        <v>140</v>
      </c>
    </row>
    <row r="2" customFormat="false" ht="15" hidden="false" customHeight="false" outlineLevel="0" collapsed="false">
      <c r="A2" s="10" t="s">
        <v>141</v>
      </c>
      <c r="C2" s="21" t="n">
        <f aca="true">TODAY()-WEEKDAY(TODAY(),2)+1</f>
        <v>46300</v>
      </c>
      <c r="E2" s="10" t="s">
        <v>142</v>
      </c>
      <c r="G2" s="22" t="n">
        <f aca="false">COUNTIF($M$5:$M$204,"LISTA")</f>
        <v>3</v>
      </c>
      <c r="H2" s="10" t="s">
        <v>143</v>
      </c>
      <c r="J2" s="22" t="n">
        <f aca="false">COUNTIF($M$5:$M$204,"RESTRINGIDA")</f>
        <v>5</v>
      </c>
    </row>
    <row r="3" customFormat="false" ht="15" hidden="false" customHeight="false" outlineLevel="0" collapsed="false">
      <c r="O3" s="23" t="s">
        <v>144</v>
      </c>
    </row>
    <row r="4" customFormat="false" ht="31.5" hidden="false" customHeight="true" outlineLevel="0" collapsed="false">
      <c r="A4" s="8" t="s">
        <v>145</v>
      </c>
      <c r="B4" s="8" t="s">
        <v>146</v>
      </c>
      <c r="C4" s="8" t="s">
        <v>118</v>
      </c>
      <c r="D4" s="8" t="s">
        <v>119</v>
      </c>
      <c r="E4" s="8" t="s">
        <v>147</v>
      </c>
      <c r="F4" s="8" t="s">
        <v>148</v>
      </c>
      <c r="G4" s="8" t="s">
        <v>149</v>
      </c>
      <c r="H4" s="8" t="s">
        <v>150</v>
      </c>
      <c r="I4" s="8" t="s">
        <v>151</v>
      </c>
      <c r="J4" s="8" t="s">
        <v>152</v>
      </c>
      <c r="K4" s="8" t="s">
        <v>153</v>
      </c>
      <c r="L4" s="8" t="s">
        <v>154</v>
      </c>
      <c r="M4" s="8" t="s">
        <v>105</v>
      </c>
      <c r="N4" s="8" t="s">
        <v>155</v>
      </c>
      <c r="O4" s="24" t="n">
        <f aca="false">$C$2</f>
        <v>46300</v>
      </c>
      <c r="P4" s="24" t="n">
        <f aca="false">O4+7</f>
        <v>46307</v>
      </c>
      <c r="Q4" s="24" t="n">
        <f aca="false">P4+7</f>
        <v>46314</v>
      </c>
      <c r="R4" s="24" t="n">
        <f aca="false">Q4+7</f>
        <v>46321</v>
      </c>
      <c r="S4" s="24" t="n">
        <f aca="false">R4+7</f>
        <v>46328</v>
      </c>
      <c r="T4" s="24" t="n">
        <f aca="false">S4+7</f>
        <v>46335</v>
      </c>
      <c r="U4" s="8" t="s">
        <v>156</v>
      </c>
    </row>
    <row r="5" customFormat="false" ht="15" hidden="false" customHeight="false" outlineLevel="0" collapsed="false">
      <c r="A5" s="9" t="s">
        <v>157</v>
      </c>
      <c r="B5" s="9" t="s">
        <v>158</v>
      </c>
      <c r="C5" s="9" t="s">
        <v>131</v>
      </c>
      <c r="D5" s="18" t="str">
        <f aca="false">IF(C5="","",IFERROR(INDEX(MASTER!$B$19:$B$38,MATCH(C5,MASTER!$A$19:$A$38,0)),"ID no existe"))</f>
        <v>Fundaciones</v>
      </c>
      <c r="E5" s="9" t="s">
        <v>159</v>
      </c>
      <c r="F5" s="9" t="s">
        <v>64</v>
      </c>
      <c r="G5" s="9" t="s">
        <v>57</v>
      </c>
      <c r="H5" s="25" t="n">
        <v>45</v>
      </c>
      <c r="I5" s="14" t="n">
        <v>46300</v>
      </c>
      <c r="J5" s="14" t="n">
        <v>46304</v>
      </c>
      <c r="K5" s="18" t="n">
        <f aca="false">IF(A5="","",COUNTIF(RESTRICCIONES!$B$5:$B$304,A5))</f>
        <v>0</v>
      </c>
      <c r="L5" s="18" t="n">
        <f aca="false">IF(A5="","",COUNTIFS(RESTRICCIONES!$B$5:$B$304,A5,RESTRICCIONES!$L$5:$L$304,"Pendiente"))</f>
        <v>0</v>
      </c>
      <c r="M5" s="16" t="str">
        <f aca="false">IF(A5="","",IF(L5=0,"LISTA","RESTRINGIDA"))</f>
        <v>LISTA</v>
      </c>
      <c r="N5" s="19" t="n">
        <f aca="false">IF(OR(A5="",H5=""),"",IFERROR(MIN(1,SUMIF(SEMANAL!$C$7:$C$506,A5,SEMANAL!$W$7:$W$506)/H5),0))</f>
        <v>0.666666666666667</v>
      </c>
      <c r="O5" s="26"/>
      <c r="P5" s="26"/>
      <c r="Q5" s="26"/>
      <c r="R5" s="26"/>
      <c r="S5" s="26"/>
      <c r="T5" s="26"/>
      <c r="U5" s="9"/>
    </row>
    <row r="6" customFormat="false" ht="15" hidden="false" customHeight="false" outlineLevel="0" collapsed="false">
      <c r="A6" s="9" t="s">
        <v>160</v>
      </c>
      <c r="B6" s="9" t="s">
        <v>161</v>
      </c>
      <c r="C6" s="9" t="s">
        <v>133</v>
      </c>
      <c r="D6" s="18" t="str">
        <f aca="false">IF(C6="","",IFERROR(INDEX(MASTER!$B$19:$B$38,MATCH(C6,MASTER!$A$19:$A$38,0)),"ID no existe"))</f>
        <v>Obra gruesa (estructura pisos 1-5)</v>
      </c>
      <c r="E6" s="9" t="s">
        <v>162</v>
      </c>
      <c r="F6" s="9" t="s">
        <v>54</v>
      </c>
      <c r="G6" s="9" t="s">
        <v>67</v>
      </c>
      <c r="H6" s="25" t="n">
        <v>6000</v>
      </c>
      <c r="I6" s="14" t="n">
        <v>46300</v>
      </c>
      <c r="J6" s="14" t="n">
        <v>46311</v>
      </c>
      <c r="K6" s="18" t="n">
        <f aca="false">IF(A6="","",COUNTIF(RESTRICCIONES!$B$5:$B$304,A6))</f>
        <v>1</v>
      </c>
      <c r="L6" s="18" t="n">
        <f aca="false">IF(A6="","",COUNTIFS(RESTRICCIONES!$B$5:$B$304,A6,RESTRICCIONES!$L$5:$L$304,"Pendiente"))</f>
        <v>0</v>
      </c>
      <c r="M6" s="16" t="str">
        <f aca="false">IF(A6="","",IF(L6=0,"LISTA","RESTRINGIDA"))</f>
        <v>LISTA</v>
      </c>
      <c r="N6" s="19" t="n">
        <f aca="false">IF(OR(A6="",H6=""),"",IFERROR(MIN(1,SUMIF(SEMANAL!$C$7:$C$506,A6,SEMANAL!$W$7:$W$506)/H6),0))</f>
        <v>0.85</v>
      </c>
      <c r="O6" s="26"/>
      <c r="P6" s="26"/>
      <c r="Q6" s="26"/>
      <c r="R6" s="26"/>
      <c r="S6" s="26"/>
      <c r="T6" s="26"/>
      <c r="U6" s="9"/>
    </row>
    <row r="7" customFormat="false" ht="15" hidden="false" customHeight="false" outlineLevel="0" collapsed="false">
      <c r="A7" s="9" t="s">
        <v>163</v>
      </c>
      <c r="B7" s="9" t="s">
        <v>164</v>
      </c>
      <c r="C7" s="9" t="s">
        <v>133</v>
      </c>
      <c r="D7" s="18" t="str">
        <f aca="false">IF(C7="","",IFERROR(INDEX(MASTER!$B$19:$B$38,MATCH(C7,MASTER!$A$19:$A$38,0)),"ID no existe"))</f>
        <v>Obra gruesa (estructura pisos 1-5)</v>
      </c>
      <c r="E7" s="9" t="s">
        <v>162</v>
      </c>
      <c r="F7" s="9" t="s">
        <v>59</v>
      </c>
      <c r="G7" s="9" t="s">
        <v>52</v>
      </c>
      <c r="H7" s="25" t="n">
        <v>420</v>
      </c>
      <c r="I7" s="14" t="n">
        <v>46307</v>
      </c>
      <c r="J7" s="14" t="n">
        <v>46318</v>
      </c>
      <c r="K7" s="18" t="n">
        <f aca="false">IF(A7="","",COUNTIF(RESTRICCIONES!$B$5:$B$304,A7))</f>
        <v>1</v>
      </c>
      <c r="L7" s="18" t="n">
        <f aca="false">IF(A7="","",COUNTIFS(RESTRICCIONES!$B$5:$B$304,A7,RESTRICCIONES!$L$5:$L$304,"Pendiente"))</f>
        <v>0</v>
      </c>
      <c r="M7" s="16" t="str">
        <f aca="false">IF(A7="","",IF(L7=0,"LISTA","RESTRINGIDA"))</f>
        <v>LISTA</v>
      </c>
      <c r="N7" s="19" t="n">
        <f aca="false">IF(OR(A7="",H7=""),"",IFERROR(MIN(1,SUMIF(SEMANAL!$C$7:$C$506,A7,SEMANAL!$W$7:$W$506)/H7),0))</f>
        <v>0.238095238095238</v>
      </c>
      <c r="O7" s="26"/>
      <c r="P7" s="26"/>
      <c r="Q7" s="26"/>
      <c r="R7" s="26"/>
      <c r="S7" s="26"/>
      <c r="T7" s="26"/>
      <c r="U7" s="9"/>
    </row>
    <row r="8" customFormat="false" ht="15" hidden="false" customHeight="false" outlineLevel="0" collapsed="false">
      <c r="A8" s="9" t="s">
        <v>165</v>
      </c>
      <c r="B8" s="9" t="s">
        <v>166</v>
      </c>
      <c r="C8" s="9" t="s">
        <v>133</v>
      </c>
      <c r="D8" s="18" t="str">
        <f aca="false">IF(C8="","",IFERROR(INDEX(MASTER!$B$19:$B$38,MATCH(C8,MASTER!$A$19:$A$38,0)),"ID no existe"))</f>
        <v>Obra gruesa (estructura pisos 1-5)</v>
      </c>
      <c r="E8" s="9" t="s">
        <v>162</v>
      </c>
      <c r="F8" s="9" t="s">
        <v>64</v>
      </c>
      <c r="G8" s="9" t="s">
        <v>57</v>
      </c>
      <c r="H8" s="25" t="n">
        <v>60</v>
      </c>
      <c r="I8" s="14" t="n">
        <v>46314</v>
      </c>
      <c r="J8" s="14" t="n">
        <v>46319</v>
      </c>
      <c r="K8" s="18" t="n">
        <f aca="false">IF(A8="","",COUNTIF(RESTRICCIONES!$B$5:$B$304,A8))</f>
        <v>2</v>
      </c>
      <c r="L8" s="18" t="n">
        <f aca="false">IF(A8="","",COUNTIFS(RESTRICCIONES!$B$5:$B$304,A8,RESTRICCIONES!$L$5:$L$304,"Pendiente"))</f>
        <v>2</v>
      </c>
      <c r="M8" s="16" t="str">
        <f aca="false">IF(A8="","",IF(L8=0,"LISTA","RESTRINGIDA"))</f>
        <v>RESTRINGIDA</v>
      </c>
      <c r="N8" s="19" t="n">
        <f aca="false">IF(OR(A8="",H8=""),"",IFERROR(MIN(1,SUMIF(SEMANAL!$C$7:$C$506,A8,SEMANAL!$W$7:$W$506)/H8),0))</f>
        <v>0</v>
      </c>
      <c r="O8" s="26"/>
      <c r="P8" s="26"/>
      <c r="Q8" s="26"/>
      <c r="R8" s="26"/>
      <c r="S8" s="26"/>
      <c r="T8" s="26"/>
      <c r="U8" s="9"/>
    </row>
    <row r="9" customFormat="false" ht="15" hidden="false" customHeight="false" outlineLevel="0" collapsed="false">
      <c r="A9" s="9" t="s">
        <v>167</v>
      </c>
      <c r="B9" s="9" t="s">
        <v>168</v>
      </c>
      <c r="C9" s="9" t="s">
        <v>133</v>
      </c>
      <c r="D9" s="18" t="str">
        <f aca="false">IF(C9="","",IFERROR(INDEX(MASTER!$B$19:$B$38,MATCH(C9,MASTER!$A$19:$A$38,0)),"ID no existe"))</f>
        <v>Obra gruesa (estructura pisos 1-5)</v>
      </c>
      <c r="E9" s="9" t="s">
        <v>169</v>
      </c>
      <c r="F9" s="9" t="s">
        <v>59</v>
      </c>
      <c r="G9" s="9" t="s">
        <v>52</v>
      </c>
      <c r="H9" s="25" t="n">
        <v>380</v>
      </c>
      <c r="I9" s="14" t="n">
        <v>46321</v>
      </c>
      <c r="J9" s="14" t="n">
        <v>46332</v>
      </c>
      <c r="K9" s="18" t="n">
        <f aca="false">IF(A9="","",COUNTIF(RESTRICCIONES!$B$5:$B$304,A9))</f>
        <v>1</v>
      </c>
      <c r="L9" s="18" t="n">
        <f aca="false">IF(A9="","",COUNTIFS(RESTRICCIONES!$B$5:$B$304,A9,RESTRICCIONES!$L$5:$L$304,"Pendiente"))</f>
        <v>1</v>
      </c>
      <c r="M9" s="16" t="str">
        <f aca="false">IF(A9="","",IF(L9=0,"LISTA","RESTRINGIDA"))</f>
        <v>RESTRINGIDA</v>
      </c>
      <c r="N9" s="19" t="n">
        <f aca="false">IF(OR(A9="",H9=""),"",IFERROR(MIN(1,SUMIF(SEMANAL!$C$7:$C$506,A9,SEMANAL!$W$7:$W$506)/H9),0))</f>
        <v>0</v>
      </c>
      <c r="O9" s="26"/>
      <c r="P9" s="26"/>
      <c r="Q9" s="26"/>
      <c r="R9" s="26"/>
      <c r="S9" s="26"/>
      <c r="T9" s="26"/>
      <c r="U9" s="9"/>
    </row>
    <row r="10" customFormat="false" ht="15" hidden="false" customHeight="false" outlineLevel="0" collapsed="false">
      <c r="A10" s="9" t="s">
        <v>170</v>
      </c>
      <c r="B10" s="9" t="s">
        <v>171</v>
      </c>
      <c r="C10" s="9" t="s">
        <v>133</v>
      </c>
      <c r="D10" s="18" t="str">
        <f aca="false">IF(C10="","",IFERROR(INDEX(MASTER!$B$19:$B$38,MATCH(C10,MASTER!$A$19:$A$38,0)),"ID no existe"))</f>
        <v>Obra gruesa (estructura pisos 1-5)</v>
      </c>
      <c r="E10" s="9" t="s">
        <v>169</v>
      </c>
      <c r="F10" s="9" t="s">
        <v>64</v>
      </c>
      <c r="G10" s="9" t="s">
        <v>57</v>
      </c>
      <c r="H10" s="25" t="n">
        <v>55</v>
      </c>
      <c r="I10" s="14" t="n">
        <v>46333</v>
      </c>
      <c r="J10" s="14" t="n">
        <v>46334</v>
      </c>
      <c r="K10" s="18" t="n">
        <f aca="false">IF(A10="","",COUNTIF(RESTRICCIONES!$B$5:$B$304,A10))</f>
        <v>1</v>
      </c>
      <c r="L10" s="18" t="n">
        <f aca="false">IF(A10="","",COUNTIFS(RESTRICCIONES!$B$5:$B$304,A10,RESTRICCIONES!$L$5:$L$304,"Pendiente"))</f>
        <v>1</v>
      </c>
      <c r="M10" s="16" t="str">
        <f aca="false">IF(A10="","",IF(L10=0,"LISTA","RESTRINGIDA"))</f>
        <v>RESTRINGIDA</v>
      </c>
      <c r="N10" s="19" t="n">
        <f aca="false">IF(OR(A10="",H10=""),"",IFERROR(MIN(1,SUMIF(SEMANAL!$C$7:$C$506,A10,SEMANAL!$W$7:$W$506)/H10),0))</f>
        <v>0</v>
      </c>
      <c r="O10" s="26"/>
      <c r="P10" s="26"/>
      <c r="Q10" s="26"/>
      <c r="R10" s="26"/>
      <c r="S10" s="26"/>
      <c r="T10" s="26"/>
      <c r="U10" s="9"/>
    </row>
    <row r="11" customFormat="false" ht="15" hidden="false" customHeight="false" outlineLevel="0" collapsed="false">
      <c r="A11" s="9" t="s">
        <v>172</v>
      </c>
      <c r="B11" s="9" t="s">
        <v>173</v>
      </c>
      <c r="C11" s="9" t="s">
        <v>135</v>
      </c>
      <c r="D11" s="18" t="str">
        <f aca="false">IF(C11="","",IFERROR(INDEX(MASTER!$B$19:$B$38,MATCH(C11,MASTER!$A$19:$A$38,0)),"ID no existe"))</f>
        <v>Instalaciones (eléctrica, sanitaria, clima)</v>
      </c>
      <c r="E11" s="9" t="s">
        <v>169</v>
      </c>
      <c r="F11" s="9" t="s">
        <v>74</v>
      </c>
      <c r="G11" s="9" t="s">
        <v>62</v>
      </c>
      <c r="H11" s="25" t="n">
        <v>350</v>
      </c>
      <c r="I11" s="14" t="n">
        <v>46328</v>
      </c>
      <c r="J11" s="14" t="n">
        <v>46332</v>
      </c>
      <c r="K11" s="18" t="n">
        <f aca="false">IF(A11="","",COUNTIF(RESTRICCIONES!$B$5:$B$304,A11))</f>
        <v>1</v>
      </c>
      <c r="L11" s="18" t="n">
        <f aca="false">IF(A11="","",COUNTIFS(RESTRICCIONES!$B$5:$B$304,A11,RESTRICCIONES!$L$5:$L$304,"Pendiente"))</f>
        <v>1</v>
      </c>
      <c r="M11" s="16" t="str">
        <f aca="false">IF(A11="","",IF(L11=0,"LISTA","RESTRINGIDA"))</f>
        <v>RESTRINGIDA</v>
      </c>
      <c r="N11" s="19" t="n">
        <f aca="false">IF(OR(A11="",H11=""),"",IFERROR(MIN(1,SUMIF(SEMANAL!$C$7:$C$506,A11,SEMANAL!$W$7:$W$506)/H11),0))</f>
        <v>0</v>
      </c>
      <c r="O11" s="26"/>
      <c r="P11" s="26"/>
      <c r="Q11" s="26"/>
      <c r="R11" s="26"/>
      <c r="S11" s="26"/>
      <c r="T11" s="26"/>
      <c r="U11" s="9"/>
    </row>
    <row r="12" customFormat="false" ht="15" hidden="false" customHeight="false" outlineLevel="0" collapsed="false">
      <c r="A12" s="9" t="s">
        <v>174</v>
      </c>
      <c r="B12" s="9" t="s">
        <v>175</v>
      </c>
      <c r="C12" s="9" t="s">
        <v>135</v>
      </c>
      <c r="D12" s="18" t="str">
        <f aca="false">IF(C12="","",IFERROR(INDEX(MASTER!$B$19:$B$38,MATCH(C12,MASTER!$A$19:$A$38,0)),"ID no existe"))</f>
        <v>Instalaciones (eléctrica, sanitaria, clima)</v>
      </c>
      <c r="E12" s="9" t="s">
        <v>169</v>
      </c>
      <c r="F12" s="9" t="s">
        <v>79</v>
      </c>
      <c r="G12" s="9" t="s">
        <v>72</v>
      </c>
      <c r="H12" s="25" t="n">
        <v>24</v>
      </c>
      <c r="I12" s="14" t="n">
        <v>46328</v>
      </c>
      <c r="J12" s="14" t="n">
        <v>46332</v>
      </c>
      <c r="K12" s="18" t="n">
        <f aca="false">IF(A12="","",COUNTIF(RESTRICCIONES!$B$5:$B$304,A12))</f>
        <v>1</v>
      </c>
      <c r="L12" s="18" t="n">
        <f aca="false">IF(A12="","",COUNTIFS(RESTRICCIONES!$B$5:$B$304,A12,RESTRICCIONES!$L$5:$L$304,"Pendiente"))</f>
        <v>1</v>
      </c>
      <c r="M12" s="16" t="str">
        <f aca="false">IF(A12="","",IF(L12=0,"LISTA","RESTRINGIDA"))</f>
        <v>RESTRINGIDA</v>
      </c>
      <c r="N12" s="19" t="n">
        <f aca="false">IF(OR(A12="",H12=""),"",IFERROR(MIN(1,SUMIF(SEMANAL!$C$7:$C$506,A12,SEMANAL!$W$7:$W$506)/H12),0))</f>
        <v>0</v>
      </c>
      <c r="O12" s="26"/>
      <c r="P12" s="26"/>
      <c r="Q12" s="26"/>
      <c r="R12" s="26"/>
      <c r="S12" s="26"/>
      <c r="T12" s="26"/>
      <c r="U12" s="9"/>
    </row>
    <row r="13" customFormat="false" ht="15" hidden="false" customHeight="false" outlineLevel="0" collapsed="false">
      <c r="A13" s="9"/>
      <c r="B13" s="9"/>
      <c r="C13" s="9"/>
      <c r="D13" s="18" t="str">
        <f aca="false">IF(C13="","",IFERROR(INDEX(MASTER!$B$19:$B$38,MATCH(C13,MASTER!$A$19:$A$38,0)),"ID no existe"))</f>
        <v/>
      </c>
      <c r="E13" s="9"/>
      <c r="F13" s="9"/>
      <c r="G13" s="9"/>
      <c r="H13" s="25"/>
      <c r="I13" s="14"/>
      <c r="J13" s="14"/>
      <c r="K13" s="18" t="str">
        <f aca="false">IF(A13="","",COUNTIF(RESTRICCIONES!$B$5:$B$304,A13))</f>
        <v/>
      </c>
      <c r="L13" s="18" t="str">
        <f aca="false">IF(A13="","",COUNTIFS(RESTRICCIONES!$B$5:$B$304,A13,RESTRICCIONES!$L$5:$L$304,"Pendiente"))</f>
        <v/>
      </c>
      <c r="M13" s="16" t="str">
        <f aca="false">IF(A13="","",IF(L13=0,"LISTA","RESTRINGIDA"))</f>
        <v/>
      </c>
      <c r="N13" s="19" t="str">
        <f aca="false">IF(OR(A13="",H13=""),"",IFERROR(MIN(1,SUMIF(SEMANAL!$C$7:$C$506,A13,SEMANAL!$W$7:$W$506)/H13),0))</f>
        <v/>
      </c>
      <c r="O13" s="26"/>
      <c r="P13" s="26"/>
      <c r="Q13" s="26"/>
      <c r="R13" s="26"/>
      <c r="S13" s="26"/>
      <c r="T13" s="26"/>
      <c r="U13" s="9"/>
    </row>
    <row r="14" customFormat="false" ht="15" hidden="false" customHeight="false" outlineLevel="0" collapsed="false">
      <c r="A14" s="9"/>
      <c r="B14" s="9"/>
      <c r="C14" s="9"/>
      <c r="D14" s="18" t="str">
        <f aca="false">IF(C14="","",IFERROR(INDEX(MASTER!$B$19:$B$38,MATCH(C14,MASTER!$A$19:$A$38,0)),"ID no existe"))</f>
        <v/>
      </c>
      <c r="E14" s="9"/>
      <c r="F14" s="9"/>
      <c r="G14" s="9"/>
      <c r="H14" s="25"/>
      <c r="I14" s="14"/>
      <c r="J14" s="14"/>
      <c r="K14" s="18" t="str">
        <f aca="false">IF(A14="","",COUNTIF(RESTRICCIONES!$B$5:$B$304,A14))</f>
        <v/>
      </c>
      <c r="L14" s="18" t="str">
        <f aca="false">IF(A14="","",COUNTIFS(RESTRICCIONES!$B$5:$B$304,A14,RESTRICCIONES!$L$5:$L$304,"Pendiente"))</f>
        <v/>
      </c>
      <c r="M14" s="16" t="str">
        <f aca="false">IF(A14="","",IF(L14=0,"LISTA","RESTRINGIDA"))</f>
        <v/>
      </c>
      <c r="N14" s="19" t="str">
        <f aca="false">IF(OR(A14="",H14=""),"",IFERROR(MIN(1,SUMIF(SEMANAL!$C$7:$C$506,A14,SEMANAL!$W$7:$W$506)/H14),0))</f>
        <v/>
      </c>
      <c r="O14" s="26"/>
      <c r="P14" s="26"/>
      <c r="Q14" s="26"/>
      <c r="R14" s="26"/>
      <c r="S14" s="26"/>
      <c r="T14" s="26"/>
      <c r="U14" s="9"/>
    </row>
    <row r="15" customFormat="false" ht="15" hidden="false" customHeight="false" outlineLevel="0" collapsed="false">
      <c r="A15" s="9"/>
      <c r="B15" s="9"/>
      <c r="C15" s="9"/>
      <c r="D15" s="18" t="str">
        <f aca="false">IF(C15="","",IFERROR(INDEX(MASTER!$B$19:$B$38,MATCH(C15,MASTER!$A$19:$A$38,0)),"ID no existe"))</f>
        <v/>
      </c>
      <c r="E15" s="9"/>
      <c r="F15" s="9"/>
      <c r="G15" s="9"/>
      <c r="H15" s="25"/>
      <c r="I15" s="14"/>
      <c r="J15" s="14"/>
      <c r="K15" s="18" t="str">
        <f aca="false">IF(A15="","",COUNTIF(RESTRICCIONES!$B$5:$B$304,A15))</f>
        <v/>
      </c>
      <c r="L15" s="18" t="str">
        <f aca="false">IF(A15="","",COUNTIFS(RESTRICCIONES!$B$5:$B$304,A15,RESTRICCIONES!$L$5:$L$304,"Pendiente"))</f>
        <v/>
      </c>
      <c r="M15" s="16" t="str">
        <f aca="false">IF(A15="","",IF(L15=0,"LISTA","RESTRINGIDA"))</f>
        <v/>
      </c>
      <c r="N15" s="19" t="str">
        <f aca="false">IF(OR(A15="",H15=""),"",IFERROR(MIN(1,SUMIF(SEMANAL!$C$7:$C$506,A15,SEMANAL!$W$7:$W$506)/H15),0))</f>
        <v/>
      </c>
      <c r="O15" s="26"/>
      <c r="P15" s="26"/>
      <c r="Q15" s="26"/>
      <c r="R15" s="26"/>
      <c r="S15" s="26"/>
      <c r="T15" s="26"/>
      <c r="U15" s="9"/>
    </row>
    <row r="16" customFormat="false" ht="15" hidden="false" customHeight="false" outlineLevel="0" collapsed="false">
      <c r="A16" s="9"/>
      <c r="B16" s="9"/>
      <c r="C16" s="9"/>
      <c r="D16" s="18" t="str">
        <f aca="false">IF(C16="","",IFERROR(INDEX(MASTER!$B$19:$B$38,MATCH(C16,MASTER!$A$19:$A$38,0)),"ID no existe"))</f>
        <v/>
      </c>
      <c r="E16" s="9"/>
      <c r="F16" s="9"/>
      <c r="G16" s="9"/>
      <c r="H16" s="25"/>
      <c r="I16" s="14"/>
      <c r="J16" s="14"/>
      <c r="K16" s="18" t="str">
        <f aca="false">IF(A16="","",COUNTIF(RESTRICCIONES!$B$5:$B$304,A16))</f>
        <v/>
      </c>
      <c r="L16" s="18" t="str">
        <f aca="false">IF(A16="","",COUNTIFS(RESTRICCIONES!$B$5:$B$304,A16,RESTRICCIONES!$L$5:$L$304,"Pendiente"))</f>
        <v/>
      </c>
      <c r="M16" s="16" t="str">
        <f aca="false">IF(A16="","",IF(L16=0,"LISTA","RESTRINGIDA"))</f>
        <v/>
      </c>
      <c r="N16" s="19" t="str">
        <f aca="false">IF(OR(A16="",H16=""),"",IFERROR(MIN(1,SUMIF(SEMANAL!$C$7:$C$506,A16,SEMANAL!$W$7:$W$506)/H16),0))</f>
        <v/>
      </c>
      <c r="O16" s="26"/>
      <c r="P16" s="26"/>
      <c r="Q16" s="26"/>
      <c r="R16" s="26"/>
      <c r="S16" s="26"/>
      <c r="T16" s="26"/>
      <c r="U16" s="9"/>
    </row>
    <row r="17" customFormat="false" ht="15" hidden="false" customHeight="false" outlineLevel="0" collapsed="false">
      <c r="A17" s="9"/>
      <c r="B17" s="9"/>
      <c r="C17" s="9"/>
      <c r="D17" s="18" t="str">
        <f aca="false">IF(C17="","",IFERROR(INDEX(MASTER!$B$19:$B$38,MATCH(C17,MASTER!$A$19:$A$38,0)),"ID no existe"))</f>
        <v/>
      </c>
      <c r="E17" s="9"/>
      <c r="F17" s="9"/>
      <c r="G17" s="9"/>
      <c r="H17" s="25"/>
      <c r="I17" s="14"/>
      <c r="J17" s="14"/>
      <c r="K17" s="18" t="str">
        <f aca="false">IF(A17="","",COUNTIF(RESTRICCIONES!$B$5:$B$304,A17))</f>
        <v/>
      </c>
      <c r="L17" s="18" t="str">
        <f aca="false">IF(A17="","",COUNTIFS(RESTRICCIONES!$B$5:$B$304,A17,RESTRICCIONES!$L$5:$L$304,"Pendiente"))</f>
        <v/>
      </c>
      <c r="M17" s="16" t="str">
        <f aca="false">IF(A17="","",IF(L17=0,"LISTA","RESTRINGIDA"))</f>
        <v/>
      </c>
      <c r="N17" s="19" t="str">
        <f aca="false">IF(OR(A17="",H17=""),"",IFERROR(MIN(1,SUMIF(SEMANAL!$C$7:$C$506,A17,SEMANAL!$W$7:$W$506)/H17),0))</f>
        <v/>
      </c>
      <c r="O17" s="26"/>
      <c r="P17" s="26"/>
      <c r="Q17" s="26"/>
      <c r="R17" s="26"/>
      <c r="S17" s="26"/>
      <c r="T17" s="26"/>
      <c r="U17" s="9"/>
    </row>
    <row r="18" customFormat="false" ht="15" hidden="false" customHeight="false" outlineLevel="0" collapsed="false">
      <c r="A18" s="9"/>
      <c r="B18" s="9"/>
      <c r="C18" s="9"/>
      <c r="D18" s="18" t="str">
        <f aca="false">IF(C18="","",IFERROR(INDEX(MASTER!$B$19:$B$38,MATCH(C18,MASTER!$A$19:$A$38,0)),"ID no existe"))</f>
        <v/>
      </c>
      <c r="E18" s="9"/>
      <c r="F18" s="9"/>
      <c r="G18" s="9"/>
      <c r="H18" s="25"/>
      <c r="I18" s="14"/>
      <c r="J18" s="14"/>
      <c r="K18" s="18" t="str">
        <f aca="false">IF(A18="","",COUNTIF(RESTRICCIONES!$B$5:$B$304,A18))</f>
        <v/>
      </c>
      <c r="L18" s="18" t="str">
        <f aca="false">IF(A18="","",COUNTIFS(RESTRICCIONES!$B$5:$B$304,A18,RESTRICCIONES!$L$5:$L$304,"Pendiente"))</f>
        <v/>
      </c>
      <c r="M18" s="16" t="str">
        <f aca="false">IF(A18="","",IF(L18=0,"LISTA","RESTRINGIDA"))</f>
        <v/>
      </c>
      <c r="N18" s="19" t="str">
        <f aca="false">IF(OR(A18="",H18=""),"",IFERROR(MIN(1,SUMIF(SEMANAL!$C$7:$C$506,A18,SEMANAL!$W$7:$W$506)/H18),0))</f>
        <v/>
      </c>
      <c r="O18" s="26"/>
      <c r="P18" s="26"/>
      <c r="Q18" s="26"/>
      <c r="R18" s="26"/>
      <c r="S18" s="26"/>
      <c r="T18" s="26"/>
      <c r="U18" s="9"/>
    </row>
    <row r="19" customFormat="false" ht="15" hidden="false" customHeight="false" outlineLevel="0" collapsed="false">
      <c r="A19" s="9"/>
      <c r="B19" s="9"/>
      <c r="C19" s="9"/>
      <c r="D19" s="18" t="str">
        <f aca="false">IF(C19="","",IFERROR(INDEX(MASTER!$B$19:$B$38,MATCH(C19,MASTER!$A$19:$A$38,0)),"ID no existe"))</f>
        <v/>
      </c>
      <c r="E19" s="9"/>
      <c r="F19" s="9"/>
      <c r="G19" s="9"/>
      <c r="H19" s="25"/>
      <c r="I19" s="14"/>
      <c r="J19" s="14"/>
      <c r="K19" s="18" t="str">
        <f aca="false">IF(A19="","",COUNTIF(RESTRICCIONES!$B$5:$B$304,A19))</f>
        <v/>
      </c>
      <c r="L19" s="18" t="str">
        <f aca="false">IF(A19="","",COUNTIFS(RESTRICCIONES!$B$5:$B$304,A19,RESTRICCIONES!$L$5:$L$304,"Pendiente"))</f>
        <v/>
      </c>
      <c r="M19" s="16" t="str">
        <f aca="false">IF(A19="","",IF(L19=0,"LISTA","RESTRINGIDA"))</f>
        <v/>
      </c>
      <c r="N19" s="19" t="str">
        <f aca="false">IF(OR(A19="",H19=""),"",IFERROR(MIN(1,SUMIF(SEMANAL!$C$7:$C$506,A19,SEMANAL!$W$7:$W$506)/H19),0))</f>
        <v/>
      </c>
      <c r="O19" s="26"/>
      <c r="P19" s="26"/>
      <c r="Q19" s="26"/>
      <c r="R19" s="26"/>
      <c r="S19" s="26"/>
      <c r="T19" s="26"/>
      <c r="U19" s="9"/>
    </row>
    <row r="20" customFormat="false" ht="15" hidden="false" customHeight="false" outlineLevel="0" collapsed="false">
      <c r="A20" s="9"/>
      <c r="B20" s="9"/>
      <c r="C20" s="9"/>
      <c r="D20" s="18" t="str">
        <f aca="false">IF(C20="","",IFERROR(INDEX(MASTER!$B$19:$B$38,MATCH(C20,MASTER!$A$19:$A$38,0)),"ID no existe"))</f>
        <v/>
      </c>
      <c r="E20" s="9"/>
      <c r="F20" s="9"/>
      <c r="G20" s="9"/>
      <c r="H20" s="25"/>
      <c r="I20" s="14"/>
      <c r="J20" s="14"/>
      <c r="K20" s="18" t="str">
        <f aca="false">IF(A20="","",COUNTIF(RESTRICCIONES!$B$5:$B$304,A20))</f>
        <v/>
      </c>
      <c r="L20" s="18" t="str">
        <f aca="false">IF(A20="","",COUNTIFS(RESTRICCIONES!$B$5:$B$304,A20,RESTRICCIONES!$L$5:$L$304,"Pendiente"))</f>
        <v/>
      </c>
      <c r="M20" s="16" t="str">
        <f aca="false">IF(A20="","",IF(L20=0,"LISTA","RESTRINGIDA"))</f>
        <v/>
      </c>
      <c r="N20" s="19" t="str">
        <f aca="false">IF(OR(A20="",H20=""),"",IFERROR(MIN(1,SUMIF(SEMANAL!$C$7:$C$506,A20,SEMANAL!$W$7:$W$506)/H20),0))</f>
        <v/>
      </c>
      <c r="O20" s="26"/>
      <c r="P20" s="26"/>
      <c r="Q20" s="26"/>
      <c r="R20" s="26"/>
      <c r="S20" s="26"/>
      <c r="T20" s="26"/>
      <c r="U20" s="9"/>
    </row>
    <row r="21" customFormat="false" ht="15" hidden="false" customHeight="false" outlineLevel="0" collapsed="false">
      <c r="A21" s="9"/>
      <c r="B21" s="9"/>
      <c r="C21" s="9"/>
      <c r="D21" s="18" t="str">
        <f aca="false">IF(C21="","",IFERROR(INDEX(MASTER!$B$19:$B$38,MATCH(C21,MASTER!$A$19:$A$38,0)),"ID no existe"))</f>
        <v/>
      </c>
      <c r="E21" s="9"/>
      <c r="F21" s="9"/>
      <c r="G21" s="9"/>
      <c r="H21" s="25"/>
      <c r="I21" s="14"/>
      <c r="J21" s="14"/>
      <c r="K21" s="18" t="str">
        <f aca="false">IF(A21="","",COUNTIF(RESTRICCIONES!$B$5:$B$304,A21))</f>
        <v/>
      </c>
      <c r="L21" s="18" t="str">
        <f aca="false">IF(A21="","",COUNTIFS(RESTRICCIONES!$B$5:$B$304,A21,RESTRICCIONES!$L$5:$L$304,"Pendiente"))</f>
        <v/>
      </c>
      <c r="M21" s="16" t="str">
        <f aca="false">IF(A21="","",IF(L21=0,"LISTA","RESTRINGIDA"))</f>
        <v/>
      </c>
      <c r="N21" s="19" t="str">
        <f aca="false">IF(OR(A21="",H21=""),"",IFERROR(MIN(1,SUMIF(SEMANAL!$C$7:$C$506,A21,SEMANAL!$W$7:$W$506)/H21),0))</f>
        <v/>
      </c>
      <c r="O21" s="26"/>
      <c r="P21" s="26"/>
      <c r="Q21" s="26"/>
      <c r="R21" s="26"/>
      <c r="S21" s="26"/>
      <c r="T21" s="26"/>
      <c r="U21" s="9"/>
    </row>
    <row r="22" customFormat="false" ht="15" hidden="false" customHeight="false" outlineLevel="0" collapsed="false">
      <c r="A22" s="9"/>
      <c r="B22" s="9"/>
      <c r="C22" s="9"/>
      <c r="D22" s="18" t="str">
        <f aca="false">IF(C22="","",IFERROR(INDEX(MASTER!$B$19:$B$38,MATCH(C22,MASTER!$A$19:$A$38,0)),"ID no existe"))</f>
        <v/>
      </c>
      <c r="E22" s="9"/>
      <c r="F22" s="9"/>
      <c r="G22" s="9"/>
      <c r="H22" s="25"/>
      <c r="I22" s="14"/>
      <c r="J22" s="14"/>
      <c r="K22" s="18" t="str">
        <f aca="false">IF(A22="","",COUNTIF(RESTRICCIONES!$B$5:$B$304,A22))</f>
        <v/>
      </c>
      <c r="L22" s="18" t="str">
        <f aca="false">IF(A22="","",COUNTIFS(RESTRICCIONES!$B$5:$B$304,A22,RESTRICCIONES!$L$5:$L$304,"Pendiente"))</f>
        <v/>
      </c>
      <c r="M22" s="16" t="str">
        <f aca="false">IF(A22="","",IF(L22=0,"LISTA","RESTRINGIDA"))</f>
        <v/>
      </c>
      <c r="N22" s="19" t="str">
        <f aca="false">IF(OR(A22="",H22=""),"",IFERROR(MIN(1,SUMIF(SEMANAL!$C$7:$C$506,A22,SEMANAL!$W$7:$W$506)/H22),0))</f>
        <v/>
      </c>
      <c r="O22" s="26"/>
      <c r="P22" s="26"/>
      <c r="Q22" s="26"/>
      <c r="R22" s="26"/>
      <c r="S22" s="26"/>
      <c r="T22" s="26"/>
      <c r="U22" s="9"/>
    </row>
    <row r="23" customFormat="false" ht="15" hidden="false" customHeight="false" outlineLevel="0" collapsed="false">
      <c r="A23" s="9"/>
      <c r="B23" s="9"/>
      <c r="C23" s="9"/>
      <c r="D23" s="18" t="str">
        <f aca="false">IF(C23="","",IFERROR(INDEX(MASTER!$B$19:$B$38,MATCH(C23,MASTER!$A$19:$A$38,0)),"ID no existe"))</f>
        <v/>
      </c>
      <c r="E23" s="9"/>
      <c r="F23" s="9"/>
      <c r="G23" s="9"/>
      <c r="H23" s="25"/>
      <c r="I23" s="14"/>
      <c r="J23" s="14"/>
      <c r="K23" s="18" t="str">
        <f aca="false">IF(A23="","",COUNTIF(RESTRICCIONES!$B$5:$B$304,A23))</f>
        <v/>
      </c>
      <c r="L23" s="18" t="str">
        <f aca="false">IF(A23="","",COUNTIFS(RESTRICCIONES!$B$5:$B$304,A23,RESTRICCIONES!$L$5:$L$304,"Pendiente"))</f>
        <v/>
      </c>
      <c r="M23" s="16" t="str">
        <f aca="false">IF(A23="","",IF(L23=0,"LISTA","RESTRINGIDA"))</f>
        <v/>
      </c>
      <c r="N23" s="19" t="str">
        <f aca="false">IF(OR(A23="",H23=""),"",IFERROR(MIN(1,SUMIF(SEMANAL!$C$7:$C$506,A23,SEMANAL!$W$7:$W$506)/H23),0))</f>
        <v/>
      </c>
      <c r="O23" s="26"/>
      <c r="P23" s="26"/>
      <c r="Q23" s="26"/>
      <c r="R23" s="26"/>
      <c r="S23" s="26"/>
      <c r="T23" s="26"/>
      <c r="U23" s="9"/>
    </row>
    <row r="24" customFormat="false" ht="15" hidden="false" customHeight="false" outlineLevel="0" collapsed="false">
      <c r="A24" s="9"/>
      <c r="B24" s="9"/>
      <c r="C24" s="9"/>
      <c r="D24" s="18" t="str">
        <f aca="false">IF(C24="","",IFERROR(INDEX(MASTER!$B$19:$B$38,MATCH(C24,MASTER!$A$19:$A$38,0)),"ID no existe"))</f>
        <v/>
      </c>
      <c r="E24" s="9"/>
      <c r="F24" s="9"/>
      <c r="G24" s="9"/>
      <c r="H24" s="25"/>
      <c r="I24" s="14"/>
      <c r="J24" s="14"/>
      <c r="K24" s="18" t="str">
        <f aca="false">IF(A24="","",COUNTIF(RESTRICCIONES!$B$5:$B$304,A24))</f>
        <v/>
      </c>
      <c r="L24" s="18" t="str">
        <f aca="false">IF(A24="","",COUNTIFS(RESTRICCIONES!$B$5:$B$304,A24,RESTRICCIONES!$L$5:$L$304,"Pendiente"))</f>
        <v/>
      </c>
      <c r="M24" s="16" t="str">
        <f aca="false">IF(A24="","",IF(L24=0,"LISTA","RESTRINGIDA"))</f>
        <v/>
      </c>
      <c r="N24" s="19" t="str">
        <f aca="false">IF(OR(A24="",H24=""),"",IFERROR(MIN(1,SUMIF(SEMANAL!$C$7:$C$506,A24,SEMANAL!$W$7:$W$506)/H24),0))</f>
        <v/>
      </c>
      <c r="O24" s="26"/>
      <c r="P24" s="26"/>
      <c r="Q24" s="26"/>
      <c r="R24" s="26"/>
      <c r="S24" s="26"/>
      <c r="T24" s="26"/>
      <c r="U24" s="9"/>
    </row>
    <row r="25" customFormat="false" ht="15" hidden="false" customHeight="false" outlineLevel="0" collapsed="false">
      <c r="A25" s="9"/>
      <c r="B25" s="9"/>
      <c r="C25" s="9"/>
      <c r="D25" s="18" t="str">
        <f aca="false">IF(C25="","",IFERROR(INDEX(MASTER!$B$19:$B$38,MATCH(C25,MASTER!$A$19:$A$38,0)),"ID no existe"))</f>
        <v/>
      </c>
      <c r="E25" s="9"/>
      <c r="F25" s="9"/>
      <c r="G25" s="9"/>
      <c r="H25" s="25"/>
      <c r="I25" s="14"/>
      <c r="J25" s="14"/>
      <c r="K25" s="18" t="str">
        <f aca="false">IF(A25="","",COUNTIF(RESTRICCIONES!$B$5:$B$304,A25))</f>
        <v/>
      </c>
      <c r="L25" s="18" t="str">
        <f aca="false">IF(A25="","",COUNTIFS(RESTRICCIONES!$B$5:$B$304,A25,RESTRICCIONES!$L$5:$L$304,"Pendiente"))</f>
        <v/>
      </c>
      <c r="M25" s="16" t="str">
        <f aca="false">IF(A25="","",IF(L25=0,"LISTA","RESTRINGIDA"))</f>
        <v/>
      </c>
      <c r="N25" s="19" t="str">
        <f aca="false">IF(OR(A25="",H25=""),"",IFERROR(MIN(1,SUMIF(SEMANAL!$C$7:$C$506,A25,SEMANAL!$W$7:$W$506)/H25),0))</f>
        <v/>
      </c>
      <c r="O25" s="26"/>
      <c r="P25" s="26"/>
      <c r="Q25" s="26"/>
      <c r="R25" s="26"/>
      <c r="S25" s="26"/>
      <c r="T25" s="26"/>
      <c r="U25" s="9"/>
    </row>
    <row r="26" customFormat="false" ht="15" hidden="false" customHeight="false" outlineLevel="0" collapsed="false">
      <c r="A26" s="9"/>
      <c r="B26" s="9"/>
      <c r="C26" s="9"/>
      <c r="D26" s="18" t="str">
        <f aca="false">IF(C26="","",IFERROR(INDEX(MASTER!$B$19:$B$38,MATCH(C26,MASTER!$A$19:$A$38,0)),"ID no existe"))</f>
        <v/>
      </c>
      <c r="E26" s="9"/>
      <c r="F26" s="9"/>
      <c r="G26" s="9"/>
      <c r="H26" s="25"/>
      <c r="I26" s="14"/>
      <c r="J26" s="14"/>
      <c r="K26" s="18" t="str">
        <f aca="false">IF(A26="","",COUNTIF(RESTRICCIONES!$B$5:$B$304,A26))</f>
        <v/>
      </c>
      <c r="L26" s="18" t="str">
        <f aca="false">IF(A26="","",COUNTIFS(RESTRICCIONES!$B$5:$B$304,A26,RESTRICCIONES!$L$5:$L$304,"Pendiente"))</f>
        <v/>
      </c>
      <c r="M26" s="16" t="str">
        <f aca="false">IF(A26="","",IF(L26=0,"LISTA","RESTRINGIDA"))</f>
        <v/>
      </c>
      <c r="N26" s="19" t="str">
        <f aca="false">IF(OR(A26="",H26=""),"",IFERROR(MIN(1,SUMIF(SEMANAL!$C$7:$C$506,A26,SEMANAL!$W$7:$W$506)/H26),0))</f>
        <v/>
      </c>
      <c r="O26" s="26"/>
      <c r="P26" s="26"/>
      <c r="Q26" s="26"/>
      <c r="R26" s="26"/>
      <c r="S26" s="26"/>
      <c r="T26" s="26"/>
      <c r="U26" s="9"/>
    </row>
    <row r="27" customFormat="false" ht="15" hidden="false" customHeight="false" outlineLevel="0" collapsed="false">
      <c r="A27" s="9"/>
      <c r="B27" s="9"/>
      <c r="C27" s="9"/>
      <c r="D27" s="18" t="str">
        <f aca="false">IF(C27="","",IFERROR(INDEX(MASTER!$B$19:$B$38,MATCH(C27,MASTER!$A$19:$A$38,0)),"ID no existe"))</f>
        <v/>
      </c>
      <c r="E27" s="9"/>
      <c r="F27" s="9"/>
      <c r="G27" s="9"/>
      <c r="H27" s="25"/>
      <c r="I27" s="14"/>
      <c r="J27" s="14"/>
      <c r="K27" s="18" t="str">
        <f aca="false">IF(A27="","",COUNTIF(RESTRICCIONES!$B$5:$B$304,A27))</f>
        <v/>
      </c>
      <c r="L27" s="18" t="str">
        <f aca="false">IF(A27="","",COUNTIFS(RESTRICCIONES!$B$5:$B$304,A27,RESTRICCIONES!$L$5:$L$304,"Pendiente"))</f>
        <v/>
      </c>
      <c r="M27" s="16" t="str">
        <f aca="false">IF(A27="","",IF(L27=0,"LISTA","RESTRINGIDA"))</f>
        <v/>
      </c>
      <c r="N27" s="19" t="str">
        <f aca="false">IF(OR(A27="",H27=""),"",IFERROR(MIN(1,SUMIF(SEMANAL!$C$7:$C$506,A27,SEMANAL!$W$7:$W$506)/H27),0))</f>
        <v/>
      </c>
      <c r="O27" s="26"/>
      <c r="P27" s="26"/>
      <c r="Q27" s="26"/>
      <c r="R27" s="26"/>
      <c r="S27" s="26"/>
      <c r="T27" s="26"/>
      <c r="U27" s="9"/>
    </row>
    <row r="28" customFormat="false" ht="15" hidden="false" customHeight="false" outlineLevel="0" collapsed="false">
      <c r="A28" s="9"/>
      <c r="B28" s="9"/>
      <c r="C28" s="9"/>
      <c r="D28" s="18" t="str">
        <f aca="false">IF(C28="","",IFERROR(INDEX(MASTER!$B$19:$B$38,MATCH(C28,MASTER!$A$19:$A$38,0)),"ID no existe"))</f>
        <v/>
      </c>
      <c r="E28" s="9"/>
      <c r="F28" s="9"/>
      <c r="G28" s="9"/>
      <c r="H28" s="25"/>
      <c r="I28" s="14"/>
      <c r="J28" s="14"/>
      <c r="K28" s="18" t="str">
        <f aca="false">IF(A28="","",COUNTIF(RESTRICCIONES!$B$5:$B$304,A28))</f>
        <v/>
      </c>
      <c r="L28" s="18" t="str">
        <f aca="false">IF(A28="","",COUNTIFS(RESTRICCIONES!$B$5:$B$304,A28,RESTRICCIONES!$L$5:$L$304,"Pendiente"))</f>
        <v/>
      </c>
      <c r="M28" s="16" t="str">
        <f aca="false">IF(A28="","",IF(L28=0,"LISTA","RESTRINGIDA"))</f>
        <v/>
      </c>
      <c r="N28" s="19" t="str">
        <f aca="false">IF(OR(A28="",H28=""),"",IFERROR(MIN(1,SUMIF(SEMANAL!$C$7:$C$506,A28,SEMANAL!$W$7:$W$506)/H28),0))</f>
        <v/>
      </c>
      <c r="O28" s="26"/>
      <c r="P28" s="26"/>
      <c r="Q28" s="26"/>
      <c r="R28" s="26"/>
      <c r="S28" s="26"/>
      <c r="T28" s="26"/>
      <c r="U28" s="9"/>
    </row>
    <row r="29" customFormat="false" ht="15" hidden="false" customHeight="false" outlineLevel="0" collapsed="false">
      <c r="A29" s="9"/>
      <c r="B29" s="9"/>
      <c r="C29" s="9"/>
      <c r="D29" s="18" t="str">
        <f aca="false">IF(C29="","",IFERROR(INDEX(MASTER!$B$19:$B$38,MATCH(C29,MASTER!$A$19:$A$38,0)),"ID no existe"))</f>
        <v/>
      </c>
      <c r="E29" s="9"/>
      <c r="F29" s="9"/>
      <c r="G29" s="9"/>
      <c r="H29" s="25"/>
      <c r="I29" s="14"/>
      <c r="J29" s="14"/>
      <c r="K29" s="18" t="str">
        <f aca="false">IF(A29="","",COUNTIF(RESTRICCIONES!$B$5:$B$304,A29))</f>
        <v/>
      </c>
      <c r="L29" s="18" t="str">
        <f aca="false">IF(A29="","",COUNTIFS(RESTRICCIONES!$B$5:$B$304,A29,RESTRICCIONES!$L$5:$L$304,"Pendiente"))</f>
        <v/>
      </c>
      <c r="M29" s="16" t="str">
        <f aca="false">IF(A29="","",IF(L29=0,"LISTA","RESTRINGIDA"))</f>
        <v/>
      </c>
      <c r="N29" s="19" t="str">
        <f aca="false">IF(OR(A29="",H29=""),"",IFERROR(MIN(1,SUMIF(SEMANAL!$C$7:$C$506,A29,SEMANAL!$W$7:$W$506)/H29),0))</f>
        <v/>
      </c>
      <c r="O29" s="26"/>
      <c r="P29" s="26"/>
      <c r="Q29" s="26"/>
      <c r="R29" s="26"/>
      <c r="S29" s="26"/>
      <c r="T29" s="26"/>
      <c r="U29" s="9"/>
    </row>
    <row r="30" customFormat="false" ht="15" hidden="false" customHeight="false" outlineLevel="0" collapsed="false">
      <c r="A30" s="9"/>
      <c r="B30" s="9"/>
      <c r="C30" s="9"/>
      <c r="D30" s="18" t="str">
        <f aca="false">IF(C30="","",IFERROR(INDEX(MASTER!$B$19:$B$38,MATCH(C30,MASTER!$A$19:$A$38,0)),"ID no existe"))</f>
        <v/>
      </c>
      <c r="E30" s="9"/>
      <c r="F30" s="9"/>
      <c r="G30" s="9"/>
      <c r="H30" s="25"/>
      <c r="I30" s="14"/>
      <c r="J30" s="14"/>
      <c r="K30" s="18" t="str">
        <f aca="false">IF(A30="","",COUNTIF(RESTRICCIONES!$B$5:$B$304,A30))</f>
        <v/>
      </c>
      <c r="L30" s="18" t="str">
        <f aca="false">IF(A30="","",COUNTIFS(RESTRICCIONES!$B$5:$B$304,A30,RESTRICCIONES!$L$5:$L$304,"Pendiente"))</f>
        <v/>
      </c>
      <c r="M30" s="16" t="str">
        <f aca="false">IF(A30="","",IF(L30=0,"LISTA","RESTRINGIDA"))</f>
        <v/>
      </c>
      <c r="N30" s="19" t="str">
        <f aca="false">IF(OR(A30="",H30=""),"",IFERROR(MIN(1,SUMIF(SEMANAL!$C$7:$C$506,A30,SEMANAL!$W$7:$W$506)/H30),0))</f>
        <v/>
      </c>
      <c r="O30" s="26"/>
      <c r="P30" s="26"/>
      <c r="Q30" s="26"/>
      <c r="R30" s="26"/>
      <c r="S30" s="26"/>
      <c r="T30" s="26"/>
      <c r="U30" s="9"/>
    </row>
    <row r="31" customFormat="false" ht="15" hidden="false" customHeight="false" outlineLevel="0" collapsed="false">
      <c r="A31" s="9"/>
      <c r="B31" s="9"/>
      <c r="C31" s="9"/>
      <c r="D31" s="18" t="str">
        <f aca="false">IF(C31="","",IFERROR(INDEX(MASTER!$B$19:$B$38,MATCH(C31,MASTER!$A$19:$A$38,0)),"ID no existe"))</f>
        <v/>
      </c>
      <c r="E31" s="9"/>
      <c r="F31" s="9"/>
      <c r="G31" s="9"/>
      <c r="H31" s="25"/>
      <c r="I31" s="14"/>
      <c r="J31" s="14"/>
      <c r="K31" s="18" t="str">
        <f aca="false">IF(A31="","",COUNTIF(RESTRICCIONES!$B$5:$B$304,A31))</f>
        <v/>
      </c>
      <c r="L31" s="18" t="str">
        <f aca="false">IF(A31="","",COUNTIFS(RESTRICCIONES!$B$5:$B$304,A31,RESTRICCIONES!$L$5:$L$304,"Pendiente"))</f>
        <v/>
      </c>
      <c r="M31" s="16" t="str">
        <f aca="false">IF(A31="","",IF(L31=0,"LISTA","RESTRINGIDA"))</f>
        <v/>
      </c>
      <c r="N31" s="19" t="str">
        <f aca="false">IF(OR(A31="",H31=""),"",IFERROR(MIN(1,SUMIF(SEMANAL!$C$7:$C$506,A31,SEMANAL!$W$7:$W$506)/H31),0))</f>
        <v/>
      </c>
      <c r="O31" s="26"/>
      <c r="P31" s="26"/>
      <c r="Q31" s="26"/>
      <c r="R31" s="26"/>
      <c r="S31" s="26"/>
      <c r="T31" s="26"/>
      <c r="U31" s="9"/>
    </row>
    <row r="32" customFormat="false" ht="15" hidden="false" customHeight="false" outlineLevel="0" collapsed="false">
      <c r="A32" s="9"/>
      <c r="B32" s="9"/>
      <c r="C32" s="9"/>
      <c r="D32" s="18" t="str">
        <f aca="false">IF(C32="","",IFERROR(INDEX(MASTER!$B$19:$B$38,MATCH(C32,MASTER!$A$19:$A$38,0)),"ID no existe"))</f>
        <v/>
      </c>
      <c r="E32" s="9"/>
      <c r="F32" s="9"/>
      <c r="G32" s="9"/>
      <c r="H32" s="25"/>
      <c r="I32" s="14"/>
      <c r="J32" s="14"/>
      <c r="K32" s="18" t="str">
        <f aca="false">IF(A32="","",COUNTIF(RESTRICCIONES!$B$5:$B$304,A32))</f>
        <v/>
      </c>
      <c r="L32" s="18" t="str">
        <f aca="false">IF(A32="","",COUNTIFS(RESTRICCIONES!$B$5:$B$304,A32,RESTRICCIONES!$L$5:$L$304,"Pendiente"))</f>
        <v/>
      </c>
      <c r="M32" s="16" t="str">
        <f aca="false">IF(A32="","",IF(L32=0,"LISTA","RESTRINGIDA"))</f>
        <v/>
      </c>
      <c r="N32" s="19" t="str">
        <f aca="false">IF(OR(A32="",H32=""),"",IFERROR(MIN(1,SUMIF(SEMANAL!$C$7:$C$506,A32,SEMANAL!$W$7:$W$506)/H32),0))</f>
        <v/>
      </c>
      <c r="O32" s="26"/>
      <c r="P32" s="26"/>
      <c r="Q32" s="26"/>
      <c r="R32" s="26"/>
      <c r="S32" s="26"/>
      <c r="T32" s="26"/>
      <c r="U32" s="9"/>
    </row>
    <row r="33" customFormat="false" ht="15" hidden="false" customHeight="false" outlineLevel="0" collapsed="false">
      <c r="A33" s="9"/>
      <c r="B33" s="9"/>
      <c r="C33" s="9"/>
      <c r="D33" s="18" t="str">
        <f aca="false">IF(C33="","",IFERROR(INDEX(MASTER!$B$19:$B$38,MATCH(C33,MASTER!$A$19:$A$38,0)),"ID no existe"))</f>
        <v/>
      </c>
      <c r="E33" s="9"/>
      <c r="F33" s="9"/>
      <c r="G33" s="9"/>
      <c r="H33" s="25"/>
      <c r="I33" s="14"/>
      <c r="J33" s="14"/>
      <c r="K33" s="18" t="str">
        <f aca="false">IF(A33="","",COUNTIF(RESTRICCIONES!$B$5:$B$304,A33))</f>
        <v/>
      </c>
      <c r="L33" s="18" t="str">
        <f aca="false">IF(A33="","",COUNTIFS(RESTRICCIONES!$B$5:$B$304,A33,RESTRICCIONES!$L$5:$L$304,"Pendiente"))</f>
        <v/>
      </c>
      <c r="M33" s="16" t="str">
        <f aca="false">IF(A33="","",IF(L33=0,"LISTA","RESTRINGIDA"))</f>
        <v/>
      </c>
      <c r="N33" s="19" t="str">
        <f aca="false">IF(OR(A33="",H33=""),"",IFERROR(MIN(1,SUMIF(SEMANAL!$C$7:$C$506,A33,SEMANAL!$W$7:$W$506)/H33),0))</f>
        <v/>
      </c>
      <c r="O33" s="26"/>
      <c r="P33" s="26"/>
      <c r="Q33" s="26"/>
      <c r="R33" s="26"/>
      <c r="S33" s="26"/>
      <c r="T33" s="26"/>
      <c r="U33" s="9"/>
    </row>
    <row r="34" customFormat="false" ht="15" hidden="false" customHeight="false" outlineLevel="0" collapsed="false">
      <c r="A34" s="9"/>
      <c r="B34" s="9"/>
      <c r="C34" s="9"/>
      <c r="D34" s="18" t="str">
        <f aca="false">IF(C34="","",IFERROR(INDEX(MASTER!$B$19:$B$38,MATCH(C34,MASTER!$A$19:$A$38,0)),"ID no existe"))</f>
        <v/>
      </c>
      <c r="E34" s="9"/>
      <c r="F34" s="9"/>
      <c r="G34" s="9"/>
      <c r="H34" s="25"/>
      <c r="I34" s="14"/>
      <c r="J34" s="14"/>
      <c r="K34" s="18" t="str">
        <f aca="false">IF(A34="","",COUNTIF(RESTRICCIONES!$B$5:$B$304,A34))</f>
        <v/>
      </c>
      <c r="L34" s="18" t="str">
        <f aca="false">IF(A34="","",COUNTIFS(RESTRICCIONES!$B$5:$B$304,A34,RESTRICCIONES!$L$5:$L$304,"Pendiente"))</f>
        <v/>
      </c>
      <c r="M34" s="16" t="str">
        <f aca="false">IF(A34="","",IF(L34=0,"LISTA","RESTRINGIDA"))</f>
        <v/>
      </c>
      <c r="N34" s="19" t="str">
        <f aca="false">IF(OR(A34="",H34=""),"",IFERROR(MIN(1,SUMIF(SEMANAL!$C$7:$C$506,A34,SEMANAL!$W$7:$W$506)/H34),0))</f>
        <v/>
      </c>
      <c r="O34" s="26"/>
      <c r="P34" s="26"/>
      <c r="Q34" s="26"/>
      <c r="R34" s="26"/>
      <c r="S34" s="26"/>
      <c r="T34" s="26"/>
      <c r="U34" s="9"/>
    </row>
    <row r="35" customFormat="false" ht="15" hidden="false" customHeight="false" outlineLevel="0" collapsed="false">
      <c r="A35" s="9"/>
      <c r="B35" s="9"/>
      <c r="C35" s="9"/>
      <c r="D35" s="18" t="str">
        <f aca="false">IF(C35="","",IFERROR(INDEX(MASTER!$B$19:$B$38,MATCH(C35,MASTER!$A$19:$A$38,0)),"ID no existe"))</f>
        <v/>
      </c>
      <c r="E35" s="9"/>
      <c r="F35" s="9"/>
      <c r="G35" s="9"/>
      <c r="H35" s="25"/>
      <c r="I35" s="14"/>
      <c r="J35" s="14"/>
      <c r="K35" s="18" t="str">
        <f aca="false">IF(A35="","",COUNTIF(RESTRICCIONES!$B$5:$B$304,A35))</f>
        <v/>
      </c>
      <c r="L35" s="18" t="str">
        <f aca="false">IF(A35="","",COUNTIFS(RESTRICCIONES!$B$5:$B$304,A35,RESTRICCIONES!$L$5:$L$304,"Pendiente"))</f>
        <v/>
      </c>
      <c r="M35" s="16" t="str">
        <f aca="false">IF(A35="","",IF(L35=0,"LISTA","RESTRINGIDA"))</f>
        <v/>
      </c>
      <c r="N35" s="19" t="str">
        <f aca="false">IF(OR(A35="",H35=""),"",IFERROR(MIN(1,SUMIF(SEMANAL!$C$7:$C$506,A35,SEMANAL!$W$7:$W$506)/H35),0))</f>
        <v/>
      </c>
      <c r="O35" s="26"/>
      <c r="P35" s="26"/>
      <c r="Q35" s="26"/>
      <c r="R35" s="26"/>
      <c r="S35" s="26"/>
      <c r="T35" s="26"/>
      <c r="U35" s="9"/>
    </row>
    <row r="36" customFormat="false" ht="15" hidden="false" customHeight="false" outlineLevel="0" collapsed="false">
      <c r="A36" s="9"/>
      <c r="B36" s="9"/>
      <c r="C36" s="9"/>
      <c r="D36" s="18" t="str">
        <f aca="false">IF(C36="","",IFERROR(INDEX(MASTER!$B$19:$B$38,MATCH(C36,MASTER!$A$19:$A$38,0)),"ID no existe"))</f>
        <v/>
      </c>
      <c r="E36" s="9"/>
      <c r="F36" s="9"/>
      <c r="G36" s="9"/>
      <c r="H36" s="25"/>
      <c r="I36" s="14"/>
      <c r="J36" s="14"/>
      <c r="K36" s="18" t="str">
        <f aca="false">IF(A36="","",COUNTIF(RESTRICCIONES!$B$5:$B$304,A36))</f>
        <v/>
      </c>
      <c r="L36" s="18" t="str">
        <f aca="false">IF(A36="","",COUNTIFS(RESTRICCIONES!$B$5:$B$304,A36,RESTRICCIONES!$L$5:$L$304,"Pendiente"))</f>
        <v/>
      </c>
      <c r="M36" s="16" t="str">
        <f aca="false">IF(A36="","",IF(L36=0,"LISTA","RESTRINGIDA"))</f>
        <v/>
      </c>
      <c r="N36" s="19" t="str">
        <f aca="false">IF(OR(A36="",H36=""),"",IFERROR(MIN(1,SUMIF(SEMANAL!$C$7:$C$506,A36,SEMANAL!$W$7:$W$506)/H36),0))</f>
        <v/>
      </c>
      <c r="O36" s="26"/>
      <c r="P36" s="26"/>
      <c r="Q36" s="26"/>
      <c r="R36" s="26"/>
      <c r="S36" s="26"/>
      <c r="T36" s="26"/>
      <c r="U36" s="9"/>
    </row>
    <row r="37" customFormat="false" ht="15" hidden="false" customHeight="false" outlineLevel="0" collapsed="false">
      <c r="A37" s="9"/>
      <c r="B37" s="9"/>
      <c r="C37" s="9"/>
      <c r="D37" s="18" t="str">
        <f aca="false">IF(C37="","",IFERROR(INDEX(MASTER!$B$19:$B$38,MATCH(C37,MASTER!$A$19:$A$38,0)),"ID no existe"))</f>
        <v/>
      </c>
      <c r="E37" s="9"/>
      <c r="F37" s="9"/>
      <c r="G37" s="9"/>
      <c r="H37" s="25"/>
      <c r="I37" s="14"/>
      <c r="J37" s="14"/>
      <c r="K37" s="18" t="str">
        <f aca="false">IF(A37="","",COUNTIF(RESTRICCIONES!$B$5:$B$304,A37))</f>
        <v/>
      </c>
      <c r="L37" s="18" t="str">
        <f aca="false">IF(A37="","",COUNTIFS(RESTRICCIONES!$B$5:$B$304,A37,RESTRICCIONES!$L$5:$L$304,"Pendiente"))</f>
        <v/>
      </c>
      <c r="M37" s="16" t="str">
        <f aca="false">IF(A37="","",IF(L37=0,"LISTA","RESTRINGIDA"))</f>
        <v/>
      </c>
      <c r="N37" s="19" t="str">
        <f aca="false">IF(OR(A37="",H37=""),"",IFERROR(MIN(1,SUMIF(SEMANAL!$C$7:$C$506,A37,SEMANAL!$W$7:$W$506)/H37),0))</f>
        <v/>
      </c>
      <c r="O37" s="26"/>
      <c r="P37" s="26"/>
      <c r="Q37" s="26"/>
      <c r="R37" s="26"/>
      <c r="S37" s="26"/>
      <c r="T37" s="26"/>
      <c r="U37" s="9"/>
    </row>
    <row r="38" customFormat="false" ht="15" hidden="false" customHeight="false" outlineLevel="0" collapsed="false">
      <c r="A38" s="9"/>
      <c r="B38" s="9"/>
      <c r="C38" s="9"/>
      <c r="D38" s="18" t="str">
        <f aca="false">IF(C38="","",IFERROR(INDEX(MASTER!$B$19:$B$38,MATCH(C38,MASTER!$A$19:$A$38,0)),"ID no existe"))</f>
        <v/>
      </c>
      <c r="E38" s="9"/>
      <c r="F38" s="9"/>
      <c r="G38" s="9"/>
      <c r="H38" s="25"/>
      <c r="I38" s="14"/>
      <c r="J38" s="14"/>
      <c r="K38" s="18" t="str">
        <f aca="false">IF(A38="","",COUNTIF(RESTRICCIONES!$B$5:$B$304,A38))</f>
        <v/>
      </c>
      <c r="L38" s="18" t="str">
        <f aca="false">IF(A38="","",COUNTIFS(RESTRICCIONES!$B$5:$B$304,A38,RESTRICCIONES!$L$5:$L$304,"Pendiente"))</f>
        <v/>
      </c>
      <c r="M38" s="16" t="str">
        <f aca="false">IF(A38="","",IF(L38=0,"LISTA","RESTRINGIDA"))</f>
        <v/>
      </c>
      <c r="N38" s="19" t="str">
        <f aca="false">IF(OR(A38="",H38=""),"",IFERROR(MIN(1,SUMIF(SEMANAL!$C$7:$C$506,A38,SEMANAL!$W$7:$W$506)/H38),0))</f>
        <v/>
      </c>
      <c r="O38" s="26"/>
      <c r="P38" s="26"/>
      <c r="Q38" s="26"/>
      <c r="R38" s="26"/>
      <c r="S38" s="26"/>
      <c r="T38" s="26"/>
      <c r="U38" s="9"/>
    </row>
    <row r="39" customFormat="false" ht="15" hidden="false" customHeight="false" outlineLevel="0" collapsed="false">
      <c r="A39" s="9"/>
      <c r="B39" s="9"/>
      <c r="C39" s="9"/>
      <c r="D39" s="18" t="str">
        <f aca="false">IF(C39="","",IFERROR(INDEX(MASTER!$B$19:$B$38,MATCH(C39,MASTER!$A$19:$A$38,0)),"ID no existe"))</f>
        <v/>
      </c>
      <c r="E39" s="9"/>
      <c r="F39" s="9"/>
      <c r="G39" s="9"/>
      <c r="H39" s="25"/>
      <c r="I39" s="14"/>
      <c r="J39" s="14"/>
      <c r="K39" s="18" t="str">
        <f aca="false">IF(A39="","",COUNTIF(RESTRICCIONES!$B$5:$B$304,A39))</f>
        <v/>
      </c>
      <c r="L39" s="18" t="str">
        <f aca="false">IF(A39="","",COUNTIFS(RESTRICCIONES!$B$5:$B$304,A39,RESTRICCIONES!$L$5:$L$304,"Pendiente"))</f>
        <v/>
      </c>
      <c r="M39" s="16" t="str">
        <f aca="false">IF(A39="","",IF(L39=0,"LISTA","RESTRINGIDA"))</f>
        <v/>
      </c>
      <c r="N39" s="19" t="str">
        <f aca="false">IF(OR(A39="",H39=""),"",IFERROR(MIN(1,SUMIF(SEMANAL!$C$7:$C$506,A39,SEMANAL!$W$7:$W$506)/H39),0))</f>
        <v/>
      </c>
      <c r="O39" s="26"/>
      <c r="P39" s="26"/>
      <c r="Q39" s="26"/>
      <c r="R39" s="26"/>
      <c r="S39" s="26"/>
      <c r="T39" s="26"/>
      <c r="U39" s="9"/>
    </row>
    <row r="40" customFormat="false" ht="15" hidden="false" customHeight="false" outlineLevel="0" collapsed="false">
      <c r="A40" s="9"/>
      <c r="B40" s="9"/>
      <c r="C40" s="9"/>
      <c r="D40" s="18" t="str">
        <f aca="false">IF(C40="","",IFERROR(INDEX(MASTER!$B$19:$B$38,MATCH(C40,MASTER!$A$19:$A$38,0)),"ID no existe"))</f>
        <v/>
      </c>
      <c r="E40" s="9"/>
      <c r="F40" s="9"/>
      <c r="G40" s="9"/>
      <c r="H40" s="25"/>
      <c r="I40" s="14"/>
      <c r="J40" s="14"/>
      <c r="K40" s="18" t="str">
        <f aca="false">IF(A40="","",COUNTIF(RESTRICCIONES!$B$5:$B$304,A40))</f>
        <v/>
      </c>
      <c r="L40" s="18" t="str">
        <f aca="false">IF(A40="","",COUNTIFS(RESTRICCIONES!$B$5:$B$304,A40,RESTRICCIONES!$L$5:$L$304,"Pendiente"))</f>
        <v/>
      </c>
      <c r="M40" s="16" t="str">
        <f aca="false">IF(A40="","",IF(L40=0,"LISTA","RESTRINGIDA"))</f>
        <v/>
      </c>
      <c r="N40" s="19" t="str">
        <f aca="false">IF(OR(A40="",H40=""),"",IFERROR(MIN(1,SUMIF(SEMANAL!$C$7:$C$506,A40,SEMANAL!$W$7:$W$506)/H40),0))</f>
        <v/>
      </c>
      <c r="O40" s="26"/>
      <c r="P40" s="26"/>
      <c r="Q40" s="26"/>
      <c r="R40" s="26"/>
      <c r="S40" s="26"/>
      <c r="T40" s="26"/>
      <c r="U40" s="9"/>
    </row>
    <row r="41" customFormat="false" ht="15" hidden="false" customHeight="false" outlineLevel="0" collapsed="false">
      <c r="A41" s="9"/>
      <c r="B41" s="9"/>
      <c r="C41" s="9"/>
      <c r="D41" s="18" t="str">
        <f aca="false">IF(C41="","",IFERROR(INDEX(MASTER!$B$19:$B$38,MATCH(C41,MASTER!$A$19:$A$38,0)),"ID no existe"))</f>
        <v/>
      </c>
      <c r="E41" s="9"/>
      <c r="F41" s="9"/>
      <c r="G41" s="9"/>
      <c r="H41" s="25"/>
      <c r="I41" s="14"/>
      <c r="J41" s="14"/>
      <c r="K41" s="18" t="str">
        <f aca="false">IF(A41="","",COUNTIF(RESTRICCIONES!$B$5:$B$304,A41))</f>
        <v/>
      </c>
      <c r="L41" s="18" t="str">
        <f aca="false">IF(A41="","",COUNTIFS(RESTRICCIONES!$B$5:$B$304,A41,RESTRICCIONES!$L$5:$L$304,"Pendiente"))</f>
        <v/>
      </c>
      <c r="M41" s="16" t="str">
        <f aca="false">IF(A41="","",IF(L41=0,"LISTA","RESTRINGIDA"))</f>
        <v/>
      </c>
      <c r="N41" s="19" t="str">
        <f aca="false">IF(OR(A41="",H41=""),"",IFERROR(MIN(1,SUMIF(SEMANAL!$C$7:$C$506,A41,SEMANAL!$W$7:$W$506)/H41),0))</f>
        <v/>
      </c>
      <c r="O41" s="26"/>
      <c r="P41" s="26"/>
      <c r="Q41" s="26"/>
      <c r="R41" s="26"/>
      <c r="S41" s="26"/>
      <c r="T41" s="26"/>
      <c r="U41" s="9"/>
    </row>
    <row r="42" customFormat="false" ht="15" hidden="false" customHeight="false" outlineLevel="0" collapsed="false">
      <c r="A42" s="9"/>
      <c r="B42" s="9"/>
      <c r="C42" s="9"/>
      <c r="D42" s="18" t="str">
        <f aca="false">IF(C42="","",IFERROR(INDEX(MASTER!$B$19:$B$38,MATCH(C42,MASTER!$A$19:$A$38,0)),"ID no existe"))</f>
        <v/>
      </c>
      <c r="E42" s="9"/>
      <c r="F42" s="9"/>
      <c r="G42" s="9"/>
      <c r="H42" s="25"/>
      <c r="I42" s="14"/>
      <c r="J42" s="14"/>
      <c r="K42" s="18" t="str">
        <f aca="false">IF(A42="","",COUNTIF(RESTRICCIONES!$B$5:$B$304,A42))</f>
        <v/>
      </c>
      <c r="L42" s="18" t="str">
        <f aca="false">IF(A42="","",COUNTIFS(RESTRICCIONES!$B$5:$B$304,A42,RESTRICCIONES!$L$5:$L$304,"Pendiente"))</f>
        <v/>
      </c>
      <c r="M42" s="16" t="str">
        <f aca="false">IF(A42="","",IF(L42=0,"LISTA","RESTRINGIDA"))</f>
        <v/>
      </c>
      <c r="N42" s="19" t="str">
        <f aca="false">IF(OR(A42="",H42=""),"",IFERROR(MIN(1,SUMIF(SEMANAL!$C$7:$C$506,A42,SEMANAL!$W$7:$W$506)/H42),0))</f>
        <v/>
      </c>
      <c r="O42" s="26"/>
      <c r="P42" s="26"/>
      <c r="Q42" s="26"/>
      <c r="R42" s="26"/>
      <c r="S42" s="26"/>
      <c r="T42" s="26"/>
      <c r="U42" s="9"/>
    </row>
    <row r="43" customFormat="false" ht="15" hidden="false" customHeight="false" outlineLevel="0" collapsed="false">
      <c r="A43" s="9"/>
      <c r="B43" s="9"/>
      <c r="C43" s="9"/>
      <c r="D43" s="18" t="str">
        <f aca="false">IF(C43="","",IFERROR(INDEX(MASTER!$B$19:$B$38,MATCH(C43,MASTER!$A$19:$A$38,0)),"ID no existe"))</f>
        <v/>
      </c>
      <c r="E43" s="9"/>
      <c r="F43" s="9"/>
      <c r="G43" s="9"/>
      <c r="H43" s="25"/>
      <c r="I43" s="14"/>
      <c r="J43" s="14"/>
      <c r="K43" s="18" t="str">
        <f aca="false">IF(A43="","",COUNTIF(RESTRICCIONES!$B$5:$B$304,A43))</f>
        <v/>
      </c>
      <c r="L43" s="18" t="str">
        <f aca="false">IF(A43="","",COUNTIFS(RESTRICCIONES!$B$5:$B$304,A43,RESTRICCIONES!$L$5:$L$304,"Pendiente"))</f>
        <v/>
      </c>
      <c r="M43" s="16" t="str">
        <f aca="false">IF(A43="","",IF(L43=0,"LISTA","RESTRINGIDA"))</f>
        <v/>
      </c>
      <c r="N43" s="19" t="str">
        <f aca="false">IF(OR(A43="",H43=""),"",IFERROR(MIN(1,SUMIF(SEMANAL!$C$7:$C$506,A43,SEMANAL!$W$7:$W$506)/H43),0))</f>
        <v/>
      </c>
      <c r="O43" s="26"/>
      <c r="P43" s="26"/>
      <c r="Q43" s="26"/>
      <c r="R43" s="26"/>
      <c r="S43" s="26"/>
      <c r="T43" s="26"/>
      <c r="U43" s="9"/>
    </row>
    <row r="44" customFormat="false" ht="15" hidden="false" customHeight="false" outlineLevel="0" collapsed="false">
      <c r="A44" s="9"/>
      <c r="B44" s="9"/>
      <c r="C44" s="9"/>
      <c r="D44" s="18" t="str">
        <f aca="false">IF(C44="","",IFERROR(INDEX(MASTER!$B$19:$B$38,MATCH(C44,MASTER!$A$19:$A$38,0)),"ID no existe"))</f>
        <v/>
      </c>
      <c r="E44" s="9"/>
      <c r="F44" s="9"/>
      <c r="G44" s="9"/>
      <c r="H44" s="25"/>
      <c r="I44" s="14"/>
      <c r="J44" s="14"/>
      <c r="K44" s="18" t="str">
        <f aca="false">IF(A44="","",COUNTIF(RESTRICCIONES!$B$5:$B$304,A44))</f>
        <v/>
      </c>
      <c r="L44" s="18" t="str">
        <f aca="false">IF(A44="","",COUNTIFS(RESTRICCIONES!$B$5:$B$304,A44,RESTRICCIONES!$L$5:$L$304,"Pendiente"))</f>
        <v/>
      </c>
      <c r="M44" s="16" t="str">
        <f aca="false">IF(A44="","",IF(L44=0,"LISTA","RESTRINGIDA"))</f>
        <v/>
      </c>
      <c r="N44" s="19" t="str">
        <f aca="false">IF(OR(A44="",H44=""),"",IFERROR(MIN(1,SUMIF(SEMANAL!$C$7:$C$506,A44,SEMANAL!$W$7:$W$506)/H44),0))</f>
        <v/>
      </c>
      <c r="O44" s="26"/>
      <c r="P44" s="26"/>
      <c r="Q44" s="26"/>
      <c r="R44" s="26"/>
      <c r="S44" s="26"/>
      <c r="T44" s="26"/>
      <c r="U44" s="9"/>
    </row>
    <row r="45" customFormat="false" ht="15" hidden="false" customHeight="false" outlineLevel="0" collapsed="false">
      <c r="A45" s="9"/>
      <c r="B45" s="9"/>
      <c r="C45" s="9"/>
      <c r="D45" s="18" t="str">
        <f aca="false">IF(C45="","",IFERROR(INDEX(MASTER!$B$19:$B$38,MATCH(C45,MASTER!$A$19:$A$38,0)),"ID no existe"))</f>
        <v/>
      </c>
      <c r="E45" s="9"/>
      <c r="F45" s="9"/>
      <c r="G45" s="9"/>
      <c r="H45" s="25"/>
      <c r="I45" s="14"/>
      <c r="J45" s="14"/>
      <c r="K45" s="18" t="str">
        <f aca="false">IF(A45="","",COUNTIF(RESTRICCIONES!$B$5:$B$304,A45))</f>
        <v/>
      </c>
      <c r="L45" s="18" t="str">
        <f aca="false">IF(A45="","",COUNTIFS(RESTRICCIONES!$B$5:$B$304,A45,RESTRICCIONES!$L$5:$L$304,"Pendiente"))</f>
        <v/>
      </c>
      <c r="M45" s="16" t="str">
        <f aca="false">IF(A45="","",IF(L45=0,"LISTA","RESTRINGIDA"))</f>
        <v/>
      </c>
      <c r="N45" s="19" t="str">
        <f aca="false">IF(OR(A45="",H45=""),"",IFERROR(MIN(1,SUMIF(SEMANAL!$C$7:$C$506,A45,SEMANAL!$W$7:$W$506)/H45),0))</f>
        <v/>
      </c>
      <c r="O45" s="26"/>
      <c r="P45" s="26"/>
      <c r="Q45" s="26"/>
      <c r="R45" s="26"/>
      <c r="S45" s="26"/>
      <c r="T45" s="26"/>
      <c r="U45" s="9"/>
    </row>
    <row r="46" customFormat="false" ht="15" hidden="false" customHeight="false" outlineLevel="0" collapsed="false">
      <c r="A46" s="9"/>
      <c r="B46" s="9"/>
      <c r="C46" s="9"/>
      <c r="D46" s="18" t="str">
        <f aca="false">IF(C46="","",IFERROR(INDEX(MASTER!$B$19:$B$38,MATCH(C46,MASTER!$A$19:$A$38,0)),"ID no existe"))</f>
        <v/>
      </c>
      <c r="E46" s="9"/>
      <c r="F46" s="9"/>
      <c r="G46" s="9"/>
      <c r="H46" s="25"/>
      <c r="I46" s="14"/>
      <c r="J46" s="14"/>
      <c r="K46" s="18" t="str">
        <f aca="false">IF(A46="","",COUNTIF(RESTRICCIONES!$B$5:$B$304,A46))</f>
        <v/>
      </c>
      <c r="L46" s="18" t="str">
        <f aca="false">IF(A46="","",COUNTIFS(RESTRICCIONES!$B$5:$B$304,A46,RESTRICCIONES!$L$5:$L$304,"Pendiente"))</f>
        <v/>
      </c>
      <c r="M46" s="16" t="str">
        <f aca="false">IF(A46="","",IF(L46=0,"LISTA","RESTRINGIDA"))</f>
        <v/>
      </c>
      <c r="N46" s="19" t="str">
        <f aca="false">IF(OR(A46="",H46=""),"",IFERROR(MIN(1,SUMIF(SEMANAL!$C$7:$C$506,A46,SEMANAL!$W$7:$W$506)/H46),0))</f>
        <v/>
      </c>
      <c r="O46" s="26"/>
      <c r="P46" s="26"/>
      <c r="Q46" s="26"/>
      <c r="R46" s="26"/>
      <c r="S46" s="26"/>
      <c r="T46" s="26"/>
      <c r="U46" s="9"/>
    </row>
    <row r="47" customFormat="false" ht="15" hidden="false" customHeight="false" outlineLevel="0" collapsed="false">
      <c r="A47" s="9"/>
      <c r="B47" s="9"/>
      <c r="C47" s="9"/>
      <c r="D47" s="18" t="str">
        <f aca="false">IF(C47="","",IFERROR(INDEX(MASTER!$B$19:$B$38,MATCH(C47,MASTER!$A$19:$A$38,0)),"ID no existe"))</f>
        <v/>
      </c>
      <c r="E47" s="9"/>
      <c r="F47" s="9"/>
      <c r="G47" s="9"/>
      <c r="H47" s="25"/>
      <c r="I47" s="14"/>
      <c r="J47" s="14"/>
      <c r="K47" s="18" t="str">
        <f aca="false">IF(A47="","",COUNTIF(RESTRICCIONES!$B$5:$B$304,A47))</f>
        <v/>
      </c>
      <c r="L47" s="18" t="str">
        <f aca="false">IF(A47="","",COUNTIFS(RESTRICCIONES!$B$5:$B$304,A47,RESTRICCIONES!$L$5:$L$304,"Pendiente"))</f>
        <v/>
      </c>
      <c r="M47" s="16" t="str">
        <f aca="false">IF(A47="","",IF(L47=0,"LISTA","RESTRINGIDA"))</f>
        <v/>
      </c>
      <c r="N47" s="19" t="str">
        <f aca="false">IF(OR(A47="",H47=""),"",IFERROR(MIN(1,SUMIF(SEMANAL!$C$7:$C$506,A47,SEMANAL!$W$7:$W$506)/H47),0))</f>
        <v/>
      </c>
      <c r="O47" s="26"/>
      <c r="P47" s="26"/>
      <c r="Q47" s="26"/>
      <c r="R47" s="26"/>
      <c r="S47" s="26"/>
      <c r="T47" s="26"/>
      <c r="U47" s="9"/>
    </row>
    <row r="48" customFormat="false" ht="15" hidden="false" customHeight="false" outlineLevel="0" collapsed="false">
      <c r="A48" s="9"/>
      <c r="B48" s="9"/>
      <c r="C48" s="9"/>
      <c r="D48" s="18" t="str">
        <f aca="false">IF(C48="","",IFERROR(INDEX(MASTER!$B$19:$B$38,MATCH(C48,MASTER!$A$19:$A$38,0)),"ID no existe"))</f>
        <v/>
      </c>
      <c r="E48" s="9"/>
      <c r="F48" s="9"/>
      <c r="G48" s="9"/>
      <c r="H48" s="25"/>
      <c r="I48" s="14"/>
      <c r="J48" s="14"/>
      <c r="K48" s="18" t="str">
        <f aca="false">IF(A48="","",COUNTIF(RESTRICCIONES!$B$5:$B$304,A48))</f>
        <v/>
      </c>
      <c r="L48" s="18" t="str">
        <f aca="false">IF(A48="","",COUNTIFS(RESTRICCIONES!$B$5:$B$304,A48,RESTRICCIONES!$L$5:$L$304,"Pendiente"))</f>
        <v/>
      </c>
      <c r="M48" s="16" t="str">
        <f aca="false">IF(A48="","",IF(L48=0,"LISTA","RESTRINGIDA"))</f>
        <v/>
      </c>
      <c r="N48" s="19" t="str">
        <f aca="false">IF(OR(A48="",H48=""),"",IFERROR(MIN(1,SUMIF(SEMANAL!$C$7:$C$506,A48,SEMANAL!$W$7:$W$506)/H48),0))</f>
        <v/>
      </c>
      <c r="O48" s="26"/>
      <c r="P48" s="26"/>
      <c r="Q48" s="26"/>
      <c r="R48" s="26"/>
      <c r="S48" s="26"/>
      <c r="T48" s="26"/>
      <c r="U48" s="9"/>
    </row>
    <row r="49" customFormat="false" ht="15" hidden="false" customHeight="false" outlineLevel="0" collapsed="false">
      <c r="A49" s="9"/>
      <c r="B49" s="9"/>
      <c r="C49" s="9"/>
      <c r="D49" s="18" t="str">
        <f aca="false">IF(C49="","",IFERROR(INDEX(MASTER!$B$19:$B$38,MATCH(C49,MASTER!$A$19:$A$38,0)),"ID no existe"))</f>
        <v/>
      </c>
      <c r="E49" s="9"/>
      <c r="F49" s="9"/>
      <c r="G49" s="9"/>
      <c r="H49" s="25"/>
      <c r="I49" s="14"/>
      <c r="J49" s="14"/>
      <c r="K49" s="18" t="str">
        <f aca="false">IF(A49="","",COUNTIF(RESTRICCIONES!$B$5:$B$304,A49))</f>
        <v/>
      </c>
      <c r="L49" s="18" t="str">
        <f aca="false">IF(A49="","",COUNTIFS(RESTRICCIONES!$B$5:$B$304,A49,RESTRICCIONES!$L$5:$L$304,"Pendiente"))</f>
        <v/>
      </c>
      <c r="M49" s="16" t="str">
        <f aca="false">IF(A49="","",IF(L49=0,"LISTA","RESTRINGIDA"))</f>
        <v/>
      </c>
      <c r="N49" s="19" t="str">
        <f aca="false">IF(OR(A49="",H49=""),"",IFERROR(MIN(1,SUMIF(SEMANAL!$C$7:$C$506,A49,SEMANAL!$W$7:$W$506)/H49),0))</f>
        <v/>
      </c>
      <c r="O49" s="26"/>
      <c r="P49" s="26"/>
      <c r="Q49" s="26"/>
      <c r="R49" s="26"/>
      <c r="S49" s="26"/>
      <c r="T49" s="26"/>
      <c r="U49" s="9"/>
    </row>
    <row r="50" customFormat="false" ht="15" hidden="false" customHeight="false" outlineLevel="0" collapsed="false">
      <c r="A50" s="9"/>
      <c r="B50" s="9"/>
      <c r="C50" s="9"/>
      <c r="D50" s="18" t="str">
        <f aca="false">IF(C50="","",IFERROR(INDEX(MASTER!$B$19:$B$38,MATCH(C50,MASTER!$A$19:$A$38,0)),"ID no existe"))</f>
        <v/>
      </c>
      <c r="E50" s="9"/>
      <c r="F50" s="9"/>
      <c r="G50" s="9"/>
      <c r="H50" s="25"/>
      <c r="I50" s="14"/>
      <c r="J50" s="14"/>
      <c r="K50" s="18" t="str">
        <f aca="false">IF(A50="","",COUNTIF(RESTRICCIONES!$B$5:$B$304,A50))</f>
        <v/>
      </c>
      <c r="L50" s="18" t="str">
        <f aca="false">IF(A50="","",COUNTIFS(RESTRICCIONES!$B$5:$B$304,A50,RESTRICCIONES!$L$5:$L$304,"Pendiente"))</f>
        <v/>
      </c>
      <c r="M50" s="16" t="str">
        <f aca="false">IF(A50="","",IF(L50=0,"LISTA","RESTRINGIDA"))</f>
        <v/>
      </c>
      <c r="N50" s="19" t="str">
        <f aca="false">IF(OR(A50="",H50=""),"",IFERROR(MIN(1,SUMIF(SEMANAL!$C$7:$C$506,A50,SEMANAL!$W$7:$W$506)/H50),0))</f>
        <v/>
      </c>
      <c r="O50" s="26"/>
      <c r="P50" s="26"/>
      <c r="Q50" s="26"/>
      <c r="R50" s="26"/>
      <c r="S50" s="26"/>
      <c r="T50" s="26"/>
      <c r="U50" s="9"/>
    </row>
    <row r="51" customFormat="false" ht="15" hidden="false" customHeight="false" outlineLevel="0" collapsed="false">
      <c r="A51" s="9"/>
      <c r="B51" s="9"/>
      <c r="C51" s="9"/>
      <c r="D51" s="18" t="str">
        <f aca="false">IF(C51="","",IFERROR(INDEX(MASTER!$B$19:$B$38,MATCH(C51,MASTER!$A$19:$A$38,0)),"ID no existe"))</f>
        <v/>
      </c>
      <c r="E51" s="9"/>
      <c r="F51" s="9"/>
      <c r="G51" s="9"/>
      <c r="H51" s="25"/>
      <c r="I51" s="14"/>
      <c r="J51" s="14"/>
      <c r="K51" s="18" t="str">
        <f aca="false">IF(A51="","",COUNTIF(RESTRICCIONES!$B$5:$B$304,A51))</f>
        <v/>
      </c>
      <c r="L51" s="18" t="str">
        <f aca="false">IF(A51="","",COUNTIFS(RESTRICCIONES!$B$5:$B$304,A51,RESTRICCIONES!$L$5:$L$304,"Pendiente"))</f>
        <v/>
      </c>
      <c r="M51" s="16" t="str">
        <f aca="false">IF(A51="","",IF(L51=0,"LISTA","RESTRINGIDA"))</f>
        <v/>
      </c>
      <c r="N51" s="19" t="str">
        <f aca="false">IF(OR(A51="",H51=""),"",IFERROR(MIN(1,SUMIF(SEMANAL!$C$7:$C$506,A51,SEMANAL!$W$7:$W$506)/H51),0))</f>
        <v/>
      </c>
      <c r="O51" s="26"/>
      <c r="P51" s="26"/>
      <c r="Q51" s="26"/>
      <c r="R51" s="26"/>
      <c r="S51" s="26"/>
      <c r="T51" s="26"/>
      <c r="U51" s="9"/>
    </row>
    <row r="52" customFormat="false" ht="15" hidden="false" customHeight="false" outlineLevel="0" collapsed="false">
      <c r="A52" s="9"/>
      <c r="B52" s="9"/>
      <c r="C52" s="9"/>
      <c r="D52" s="18" t="str">
        <f aca="false">IF(C52="","",IFERROR(INDEX(MASTER!$B$19:$B$38,MATCH(C52,MASTER!$A$19:$A$38,0)),"ID no existe"))</f>
        <v/>
      </c>
      <c r="E52" s="9"/>
      <c r="F52" s="9"/>
      <c r="G52" s="9"/>
      <c r="H52" s="25"/>
      <c r="I52" s="14"/>
      <c r="J52" s="14"/>
      <c r="K52" s="18" t="str">
        <f aca="false">IF(A52="","",COUNTIF(RESTRICCIONES!$B$5:$B$304,A52))</f>
        <v/>
      </c>
      <c r="L52" s="18" t="str">
        <f aca="false">IF(A52="","",COUNTIFS(RESTRICCIONES!$B$5:$B$304,A52,RESTRICCIONES!$L$5:$L$304,"Pendiente"))</f>
        <v/>
      </c>
      <c r="M52" s="16" t="str">
        <f aca="false">IF(A52="","",IF(L52=0,"LISTA","RESTRINGIDA"))</f>
        <v/>
      </c>
      <c r="N52" s="19" t="str">
        <f aca="false">IF(OR(A52="",H52=""),"",IFERROR(MIN(1,SUMIF(SEMANAL!$C$7:$C$506,A52,SEMANAL!$W$7:$W$506)/H52),0))</f>
        <v/>
      </c>
      <c r="O52" s="26"/>
      <c r="P52" s="26"/>
      <c r="Q52" s="26"/>
      <c r="R52" s="26"/>
      <c r="S52" s="26"/>
      <c r="T52" s="26"/>
      <c r="U52" s="9"/>
    </row>
    <row r="53" customFormat="false" ht="15" hidden="false" customHeight="false" outlineLevel="0" collapsed="false">
      <c r="A53" s="9"/>
      <c r="B53" s="9"/>
      <c r="C53" s="9"/>
      <c r="D53" s="18" t="str">
        <f aca="false">IF(C53="","",IFERROR(INDEX(MASTER!$B$19:$B$38,MATCH(C53,MASTER!$A$19:$A$38,0)),"ID no existe"))</f>
        <v/>
      </c>
      <c r="E53" s="9"/>
      <c r="F53" s="9"/>
      <c r="G53" s="9"/>
      <c r="H53" s="25"/>
      <c r="I53" s="14"/>
      <c r="J53" s="14"/>
      <c r="K53" s="18" t="str">
        <f aca="false">IF(A53="","",COUNTIF(RESTRICCIONES!$B$5:$B$304,A53))</f>
        <v/>
      </c>
      <c r="L53" s="18" t="str">
        <f aca="false">IF(A53="","",COUNTIFS(RESTRICCIONES!$B$5:$B$304,A53,RESTRICCIONES!$L$5:$L$304,"Pendiente"))</f>
        <v/>
      </c>
      <c r="M53" s="16" t="str">
        <f aca="false">IF(A53="","",IF(L53=0,"LISTA","RESTRINGIDA"))</f>
        <v/>
      </c>
      <c r="N53" s="19" t="str">
        <f aca="false">IF(OR(A53="",H53=""),"",IFERROR(MIN(1,SUMIF(SEMANAL!$C$7:$C$506,A53,SEMANAL!$W$7:$W$506)/H53),0))</f>
        <v/>
      </c>
      <c r="O53" s="26"/>
      <c r="P53" s="26"/>
      <c r="Q53" s="26"/>
      <c r="R53" s="26"/>
      <c r="S53" s="26"/>
      <c r="T53" s="26"/>
      <c r="U53" s="9"/>
    </row>
    <row r="54" customFormat="false" ht="15" hidden="false" customHeight="false" outlineLevel="0" collapsed="false">
      <c r="A54" s="9"/>
      <c r="B54" s="9"/>
      <c r="C54" s="9"/>
      <c r="D54" s="18" t="str">
        <f aca="false">IF(C54="","",IFERROR(INDEX(MASTER!$B$19:$B$38,MATCH(C54,MASTER!$A$19:$A$38,0)),"ID no existe"))</f>
        <v/>
      </c>
      <c r="E54" s="9"/>
      <c r="F54" s="9"/>
      <c r="G54" s="9"/>
      <c r="H54" s="25"/>
      <c r="I54" s="14"/>
      <c r="J54" s="14"/>
      <c r="K54" s="18" t="str">
        <f aca="false">IF(A54="","",COUNTIF(RESTRICCIONES!$B$5:$B$304,A54))</f>
        <v/>
      </c>
      <c r="L54" s="18" t="str">
        <f aca="false">IF(A54="","",COUNTIFS(RESTRICCIONES!$B$5:$B$304,A54,RESTRICCIONES!$L$5:$L$304,"Pendiente"))</f>
        <v/>
      </c>
      <c r="M54" s="16" t="str">
        <f aca="false">IF(A54="","",IF(L54=0,"LISTA","RESTRINGIDA"))</f>
        <v/>
      </c>
      <c r="N54" s="19" t="str">
        <f aca="false">IF(OR(A54="",H54=""),"",IFERROR(MIN(1,SUMIF(SEMANAL!$C$7:$C$506,A54,SEMANAL!$W$7:$W$506)/H54),0))</f>
        <v/>
      </c>
      <c r="O54" s="26"/>
      <c r="P54" s="26"/>
      <c r="Q54" s="26"/>
      <c r="R54" s="26"/>
      <c r="S54" s="26"/>
      <c r="T54" s="26"/>
      <c r="U54" s="9"/>
    </row>
    <row r="55" customFormat="false" ht="15" hidden="false" customHeight="false" outlineLevel="0" collapsed="false">
      <c r="A55" s="9"/>
      <c r="B55" s="9"/>
      <c r="C55" s="9"/>
      <c r="D55" s="18" t="str">
        <f aca="false">IF(C55="","",IFERROR(INDEX(MASTER!$B$19:$B$38,MATCH(C55,MASTER!$A$19:$A$38,0)),"ID no existe"))</f>
        <v/>
      </c>
      <c r="E55" s="9"/>
      <c r="F55" s="9"/>
      <c r="G55" s="9"/>
      <c r="H55" s="25"/>
      <c r="I55" s="14"/>
      <c r="J55" s="14"/>
      <c r="K55" s="18" t="str">
        <f aca="false">IF(A55="","",COUNTIF(RESTRICCIONES!$B$5:$B$304,A55))</f>
        <v/>
      </c>
      <c r="L55" s="18" t="str">
        <f aca="false">IF(A55="","",COUNTIFS(RESTRICCIONES!$B$5:$B$304,A55,RESTRICCIONES!$L$5:$L$304,"Pendiente"))</f>
        <v/>
      </c>
      <c r="M55" s="16" t="str">
        <f aca="false">IF(A55="","",IF(L55=0,"LISTA","RESTRINGIDA"))</f>
        <v/>
      </c>
      <c r="N55" s="19" t="str">
        <f aca="false">IF(OR(A55="",H55=""),"",IFERROR(MIN(1,SUMIF(SEMANAL!$C$7:$C$506,A55,SEMANAL!$W$7:$W$506)/H55),0))</f>
        <v/>
      </c>
      <c r="O55" s="26"/>
      <c r="P55" s="26"/>
      <c r="Q55" s="26"/>
      <c r="R55" s="26"/>
      <c r="S55" s="26"/>
      <c r="T55" s="26"/>
      <c r="U55" s="9"/>
    </row>
    <row r="56" customFormat="false" ht="15" hidden="false" customHeight="false" outlineLevel="0" collapsed="false">
      <c r="A56" s="9"/>
      <c r="B56" s="9"/>
      <c r="C56" s="9"/>
      <c r="D56" s="18" t="str">
        <f aca="false">IF(C56="","",IFERROR(INDEX(MASTER!$B$19:$B$38,MATCH(C56,MASTER!$A$19:$A$38,0)),"ID no existe"))</f>
        <v/>
      </c>
      <c r="E56" s="9"/>
      <c r="F56" s="9"/>
      <c r="G56" s="9"/>
      <c r="H56" s="25"/>
      <c r="I56" s="14"/>
      <c r="J56" s="14"/>
      <c r="K56" s="18" t="str">
        <f aca="false">IF(A56="","",COUNTIF(RESTRICCIONES!$B$5:$B$304,A56))</f>
        <v/>
      </c>
      <c r="L56" s="18" t="str">
        <f aca="false">IF(A56="","",COUNTIFS(RESTRICCIONES!$B$5:$B$304,A56,RESTRICCIONES!$L$5:$L$304,"Pendiente"))</f>
        <v/>
      </c>
      <c r="M56" s="16" t="str">
        <f aca="false">IF(A56="","",IF(L56=0,"LISTA","RESTRINGIDA"))</f>
        <v/>
      </c>
      <c r="N56" s="19" t="str">
        <f aca="false">IF(OR(A56="",H56=""),"",IFERROR(MIN(1,SUMIF(SEMANAL!$C$7:$C$506,A56,SEMANAL!$W$7:$W$506)/H56),0))</f>
        <v/>
      </c>
      <c r="O56" s="26"/>
      <c r="P56" s="26"/>
      <c r="Q56" s="26"/>
      <c r="R56" s="26"/>
      <c r="S56" s="26"/>
      <c r="T56" s="26"/>
      <c r="U56" s="9"/>
    </row>
    <row r="57" customFormat="false" ht="15" hidden="false" customHeight="false" outlineLevel="0" collapsed="false">
      <c r="A57" s="9"/>
      <c r="B57" s="9"/>
      <c r="C57" s="9"/>
      <c r="D57" s="18" t="str">
        <f aca="false">IF(C57="","",IFERROR(INDEX(MASTER!$B$19:$B$38,MATCH(C57,MASTER!$A$19:$A$38,0)),"ID no existe"))</f>
        <v/>
      </c>
      <c r="E57" s="9"/>
      <c r="F57" s="9"/>
      <c r="G57" s="9"/>
      <c r="H57" s="25"/>
      <c r="I57" s="14"/>
      <c r="J57" s="14"/>
      <c r="K57" s="18" t="str">
        <f aca="false">IF(A57="","",COUNTIF(RESTRICCIONES!$B$5:$B$304,A57))</f>
        <v/>
      </c>
      <c r="L57" s="18" t="str">
        <f aca="false">IF(A57="","",COUNTIFS(RESTRICCIONES!$B$5:$B$304,A57,RESTRICCIONES!$L$5:$L$304,"Pendiente"))</f>
        <v/>
      </c>
      <c r="M57" s="16" t="str">
        <f aca="false">IF(A57="","",IF(L57=0,"LISTA","RESTRINGIDA"))</f>
        <v/>
      </c>
      <c r="N57" s="19" t="str">
        <f aca="false">IF(OR(A57="",H57=""),"",IFERROR(MIN(1,SUMIF(SEMANAL!$C$7:$C$506,A57,SEMANAL!$W$7:$W$506)/H57),0))</f>
        <v/>
      </c>
      <c r="O57" s="26"/>
      <c r="P57" s="26"/>
      <c r="Q57" s="26"/>
      <c r="R57" s="26"/>
      <c r="S57" s="26"/>
      <c r="T57" s="26"/>
      <c r="U57" s="9"/>
    </row>
    <row r="58" customFormat="false" ht="15" hidden="false" customHeight="false" outlineLevel="0" collapsed="false">
      <c r="A58" s="9"/>
      <c r="B58" s="9"/>
      <c r="C58" s="9"/>
      <c r="D58" s="18" t="str">
        <f aca="false">IF(C58="","",IFERROR(INDEX(MASTER!$B$19:$B$38,MATCH(C58,MASTER!$A$19:$A$38,0)),"ID no existe"))</f>
        <v/>
      </c>
      <c r="E58" s="9"/>
      <c r="F58" s="9"/>
      <c r="G58" s="9"/>
      <c r="H58" s="25"/>
      <c r="I58" s="14"/>
      <c r="J58" s="14"/>
      <c r="K58" s="18" t="str">
        <f aca="false">IF(A58="","",COUNTIF(RESTRICCIONES!$B$5:$B$304,A58))</f>
        <v/>
      </c>
      <c r="L58" s="18" t="str">
        <f aca="false">IF(A58="","",COUNTIFS(RESTRICCIONES!$B$5:$B$304,A58,RESTRICCIONES!$L$5:$L$304,"Pendiente"))</f>
        <v/>
      </c>
      <c r="M58" s="16" t="str">
        <f aca="false">IF(A58="","",IF(L58=0,"LISTA","RESTRINGIDA"))</f>
        <v/>
      </c>
      <c r="N58" s="19" t="str">
        <f aca="false">IF(OR(A58="",H58=""),"",IFERROR(MIN(1,SUMIF(SEMANAL!$C$7:$C$506,A58,SEMANAL!$W$7:$W$506)/H58),0))</f>
        <v/>
      </c>
      <c r="O58" s="26"/>
      <c r="P58" s="26"/>
      <c r="Q58" s="26"/>
      <c r="R58" s="26"/>
      <c r="S58" s="26"/>
      <c r="T58" s="26"/>
      <c r="U58" s="9"/>
    </row>
    <row r="59" customFormat="false" ht="15" hidden="false" customHeight="false" outlineLevel="0" collapsed="false">
      <c r="A59" s="9"/>
      <c r="B59" s="9"/>
      <c r="C59" s="9"/>
      <c r="D59" s="18" t="str">
        <f aca="false">IF(C59="","",IFERROR(INDEX(MASTER!$B$19:$B$38,MATCH(C59,MASTER!$A$19:$A$38,0)),"ID no existe"))</f>
        <v/>
      </c>
      <c r="E59" s="9"/>
      <c r="F59" s="9"/>
      <c r="G59" s="9"/>
      <c r="H59" s="25"/>
      <c r="I59" s="14"/>
      <c r="J59" s="14"/>
      <c r="K59" s="18" t="str">
        <f aca="false">IF(A59="","",COUNTIF(RESTRICCIONES!$B$5:$B$304,A59))</f>
        <v/>
      </c>
      <c r="L59" s="18" t="str">
        <f aca="false">IF(A59="","",COUNTIFS(RESTRICCIONES!$B$5:$B$304,A59,RESTRICCIONES!$L$5:$L$304,"Pendiente"))</f>
        <v/>
      </c>
      <c r="M59" s="16" t="str">
        <f aca="false">IF(A59="","",IF(L59=0,"LISTA","RESTRINGIDA"))</f>
        <v/>
      </c>
      <c r="N59" s="19" t="str">
        <f aca="false">IF(OR(A59="",H59=""),"",IFERROR(MIN(1,SUMIF(SEMANAL!$C$7:$C$506,A59,SEMANAL!$W$7:$W$506)/H59),0))</f>
        <v/>
      </c>
      <c r="O59" s="26"/>
      <c r="P59" s="26"/>
      <c r="Q59" s="26"/>
      <c r="R59" s="26"/>
      <c r="S59" s="26"/>
      <c r="T59" s="26"/>
      <c r="U59" s="9"/>
    </row>
    <row r="60" customFormat="false" ht="15" hidden="false" customHeight="false" outlineLevel="0" collapsed="false">
      <c r="A60" s="9"/>
      <c r="B60" s="9"/>
      <c r="C60" s="9"/>
      <c r="D60" s="18" t="str">
        <f aca="false">IF(C60="","",IFERROR(INDEX(MASTER!$B$19:$B$38,MATCH(C60,MASTER!$A$19:$A$38,0)),"ID no existe"))</f>
        <v/>
      </c>
      <c r="E60" s="9"/>
      <c r="F60" s="9"/>
      <c r="G60" s="9"/>
      <c r="H60" s="25"/>
      <c r="I60" s="14"/>
      <c r="J60" s="14"/>
      <c r="K60" s="18" t="str">
        <f aca="false">IF(A60="","",COUNTIF(RESTRICCIONES!$B$5:$B$304,A60))</f>
        <v/>
      </c>
      <c r="L60" s="18" t="str">
        <f aca="false">IF(A60="","",COUNTIFS(RESTRICCIONES!$B$5:$B$304,A60,RESTRICCIONES!$L$5:$L$304,"Pendiente"))</f>
        <v/>
      </c>
      <c r="M60" s="16" t="str">
        <f aca="false">IF(A60="","",IF(L60=0,"LISTA","RESTRINGIDA"))</f>
        <v/>
      </c>
      <c r="N60" s="19" t="str">
        <f aca="false">IF(OR(A60="",H60=""),"",IFERROR(MIN(1,SUMIF(SEMANAL!$C$7:$C$506,A60,SEMANAL!$W$7:$W$506)/H60),0))</f>
        <v/>
      </c>
      <c r="O60" s="26"/>
      <c r="P60" s="26"/>
      <c r="Q60" s="26"/>
      <c r="R60" s="26"/>
      <c r="S60" s="26"/>
      <c r="T60" s="26"/>
      <c r="U60" s="9"/>
    </row>
    <row r="61" customFormat="false" ht="15" hidden="false" customHeight="false" outlineLevel="0" collapsed="false">
      <c r="A61" s="9"/>
      <c r="B61" s="9"/>
      <c r="C61" s="9"/>
      <c r="D61" s="18" t="str">
        <f aca="false">IF(C61="","",IFERROR(INDEX(MASTER!$B$19:$B$38,MATCH(C61,MASTER!$A$19:$A$38,0)),"ID no existe"))</f>
        <v/>
      </c>
      <c r="E61" s="9"/>
      <c r="F61" s="9"/>
      <c r="G61" s="9"/>
      <c r="H61" s="25"/>
      <c r="I61" s="14"/>
      <c r="J61" s="14"/>
      <c r="K61" s="18" t="str">
        <f aca="false">IF(A61="","",COUNTIF(RESTRICCIONES!$B$5:$B$304,A61))</f>
        <v/>
      </c>
      <c r="L61" s="18" t="str">
        <f aca="false">IF(A61="","",COUNTIFS(RESTRICCIONES!$B$5:$B$304,A61,RESTRICCIONES!$L$5:$L$304,"Pendiente"))</f>
        <v/>
      </c>
      <c r="M61" s="16" t="str">
        <f aca="false">IF(A61="","",IF(L61=0,"LISTA","RESTRINGIDA"))</f>
        <v/>
      </c>
      <c r="N61" s="19" t="str">
        <f aca="false">IF(OR(A61="",H61=""),"",IFERROR(MIN(1,SUMIF(SEMANAL!$C$7:$C$506,A61,SEMANAL!$W$7:$W$506)/H61),0))</f>
        <v/>
      </c>
      <c r="O61" s="26"/>
      <c r="P61" s="26"/>
      <c r="Q61" s="26"/>
      <c r="R61" s="26"/>
      <c r="S61" s="26"/>
      <c r="T61" s="26"/>
      <c r="U61" s="9"/>
    </row>
    <row r="62" customFormat="false" ht="15" hidden="false" customHeight="false" outlineLevel="0" collapsed="false">
      <c r="A62" s="9"/>
      <c r="B62" s="9"/>
      <c r="C62" s="9"/>
      <c r="D62" s="18" t="str">
        <f aca="false">IF(C62="","",IFERROR(INDEX(MASTER!$B$19:$B$38,MATCH(C62,MASTER!$A$19:$A$38,0)),"ID no existe"))</f>
        <v/>
      </c>
      <c r="E62" s="9"/>
      <c r="F62" s="9"/>
      <c r="G62" s="9"/>
      <c r="H62" s="25"/>
      <c r="I62" s="14"/>
      <c r="J62" s="14"/>
      <c r="K62" s="18" t="str">
        <f aca="false">IF(A62="","",COUNTIF(RESTRICCIONES!$B$5:$B$304,A62))</f>
        <v/>
      </c>
      <c r="L62" s="18" t="str">
        <f aca="false">IF(A62="","",COUNTIFS(RESTRICCIONES!$B$5:$B$304,A62,RESTRICCIONES!$L$5:$L$304,"Pendiente"))</f>
        <v/>
      </c>
      <c r="M62" s="16" t="str">
        <f aca="false">IF(A62="","",IF(L62=0,"LISTA","RESTRINGIDA"))</f>
        <v/>
      </c>
      <c r="N62" s="19" t="str">
        <f aca="false">IF(OR(A62="",H62=""),"",IFERROR(MIN(1,SUMIF(SEMANAL!$C$7:$C$506,A62,SEMANAL!$W$7:$W$506)/H62),0))</f>
        <v/>
      </c>
      <c r="O62" s="26"/>
      <c r="P62" s="26"/>
      <c r="Q62" s="26"/>
      <c r="R62" s="26"/>
      <c r="S62" s="26"/>
      <c r="T62" s="26"/>
      <c r="U62" s="9"/>
    </row>
    <row r="63" customFormat="false" ht="15" hidden="false" customHeight="false" outlineLevel="0" collapsed="false">
      <c r="A63" s="9"/>
      <c r="B63" s="9"/>
      <c r="C63" s="9"/>
      <c r="D63" s="18" t="str">
        <f aca="false">IF(C63="","",IFERROR(INDEX(MASTER!$B$19:$B$38,MATCH(C63,MASTER!$A$19:$A$38,0)),"ID no existe"))</f>
        <v/>
      </c>
      <c r="E63" s="9"/>
      <c r="F63" s="9"/>
      <c r="G63" s="9"/>
      <c r="H63" s="25"/>
      <c r="I63" s="14"/>
      <c r="J63" s="14"/>
      <c r="K63" s="18" t="str">
        <f aca="false">IF(A63="","",COUNTIF(RESTRICCIONES!$B$5:$B$304,A63))</f>
        <v/>
      </c>
      <c r="L63" s="18" t="str">
        <f aca="false">IF(A63="","",COUNTIFS(RESTRICCIONES!$B$5:$B$304,A63,RESTRICCIONES!$L$5:$L$304,"Pendiente"))</f>
        <v/>
      </c>
      <c r="M63" s="16" t="str">
        <f aca="false">IF(A63="","",IF(L63=0,"LISTA","RESTRINGIDA"))</f>
        <v/>
      </c>
      <c r="N63" s="19" t="str">
        <f aca="false">IF(OR(A63="",H63=""),"",IFERROR(MIN(1,SUMIF(SEMANAL!$C$7:$C$506,A63,SEMANAL!$W$7:$W$506)/H63),0))</f>
        <v/>
      </c>
      <c r="O63" s="26"/>
      <c r="P63" s="26"/>
      <c r="Q63" s="26"/>
      <c r="R63" s="26"/>
      <c r="S63" s="26"/>
      <c r="T63" s="26"/>
      <c r="U63" s="9"/>
    </row>
    <row r="64" customFormat="false" ht="15" hidden="false" customHeight="false" outlineLevel="0" collapsed="false">
      <c r="A64" s="9"/>
      <c r="B64" s="9"/>
      <c r="C64" s="9"/>
      <c r="D64" s="18" t="str">
        <f aca="false">IF(C64="","",IFERROR(INDEX(MASTER!$B$19:$B$38,MATCH(C64,MASTER!$A$19:$A$38,0)),"ID no existe"))</f>
        <v/>
      </c>
      <c r="E64" s="9"/>
      <c r="F64" s="9"/>
      <c r="G64" s="9"/>
      <c r="H64" s="25"/>
      <c r="I64" s="14"/>
      <c r="J64" s="14"/>
      <c r="K64" s="18" t="str">
        <f aca="false">IF(A64="","",COUNTIF(RESTRICCIONES!$B$5:$B$304,A64))</f>
        <v/>
      </c>
      <c r="L64" s="18" t="str">
        <f aca="false">IF(A64="","",COUNTIFS(RESTRICCIONES!$B$5:$B$304,A64,RESTRICCIONES!$L$5:$L$304,"Pendiente"))</f>
        <v/>
      </c>
      <c r="M64" s="16" t="str">
        <f aca="false">IF(A64="","",IF(L64=0,"LISTA","RESTRINGIDA"))</f>
        <v/>
      </c>
      <c r="N64" s="19" t="str">
        <f aca="false">IF(OR(A64="",H64=""),"",IFERROR(MIN(1,SUMIF(SEMANAL!$C$7:$C$506,A64,SEMANAL!$W$7:$W$506)/H64),0))</f>
        <v/>
      </c>
      <c r="O64" s="26"/>
      <c r="P64" s="26"/>
      <c r="Q64" s="26"/>
      <c r="R64" s="26"/>
      <c r="S64" s="26"/>
      <c r="T64" s="26"/>
      <c r="U64" s="9"/>
    </row>
    <row r="65" customFormat="false" ht="15" hidden="false" customHeight="false" outlineLevel="0" collapsed="false">
      <c r="A65" s="9"/>
      <c r="B65" s="9"/>
      <c r="C65" s="9"/>
      <c r="D65" s="18" t="str">
        <f aca="false">IF(C65="","",IFERROR(INDEX(MASTER!$B$19:$B$38,MATCH(C65,MASTER!$A$19:$A$38,0)),"ID no existe"))</f>
        <v/>
      </c>
      <c r="E65" s="9"/>
      <c r="F65" s="9"/>
      <c r="G65" s="9"/>
      <c r="H65" s="25"/>
      <c r="I65" s="14"/>
      <c r="J65" s="14"/>
      <c r="K65" s="18" t="str">
        <f aca="false">IF(A65="","",COUNTIF(RESTRICCIONES!$B$5:$B$304,A65))</f>
        <v/>
      </c>
      <c r="L65" s="18" t="str">
        <f aca="false">IF(A65="","",COUNTIFS(RESTRICCIONES!$B$5:$B$304,A65,RESTRICCIONES!$L$5:$L$304,"Pendiente"))</f>
        <v/>
      </c>
      <c r="M65" s="16" t="str">
        <f aca="false">IF(A65="","",IF(L65=0,"LISTA","RESTRINGIDA"))</f>
        <v/>
      </c>
      <c r="N65" s="19" t="str">
        <f aca="false">IF(OR(A65="",H65=""),"",IFERROR(MIN(1,SUMIF(SEMANAL!$C$7:$C$506,A65,SEMANAL!$W$7:$W$506)/H65),0))</f>
        <v/>
      </c>
      <c r="O65" s="26"/>
      <c r="P65" s="26"/>
      <c r="Q65" s="26"/>
      <c r="R65" s="26"/>
      <c r="S65" s="26"/>
      <c r="T65" s="26"/>
      <c r="U65" s="9"/>
    </row>
    <row r="66" customFormat="false" ht="15" hidden="false" customHeight="false" outlineLevel="0" collapsed="false">
      <c r="A66" s="9"/>
      <c r="B66" s="9"/>
      <c r="C66" s="9"/>
      <c r="D66" s="18" t="str">
        <f aca="false">IF(C66="","",IFERROR(INDEX(MASTER!$B$19:$B$38,MATCH(C66,MASTER!$A$19:$A$38,0)),"ID no existe"))</f>
        <v/>
      </c>
      <c r="E66" s="9"/>
      <c r="F66" s="9"/>
      <c r="G66" s="9"/>
      <c r="H66" s="25"/>
      <c r="I66" s="14"/>
      <c r="J66" s="14"/>
      <c r="K66" s="18" t="str">
        <f aca="false">IF(A66="","",COUNTIF(RESTRICCIONES!$B$5:$B$304,A66))</f>
        <v/>
      </c>
      <c r="L66" s="18" t="str">
        <f aca="false">IF(A66="","",COUNTIFS(RESTRICCIONES!$B$5:$B$304,A66,RESTRICCIONES!$L$5:$L$304,"Pendiente"))</f>
        <v/>
      </c>
      <c r="M66" s="16" t="str">
        <f aca="false">IF(A66="","",IF(L66=0,"LISTA","RESTRINGIDA"))</f>
        <v/>
      </c>
      <c r="N66" s="19" t="str">
        <f aca="false">IF(OR(A66="",H66=""),"",IFERROR(MIN(1,SUMIF(SEMANAL!$C$7:$C$506,A66,SEMANAL!$W$7:$W$506)/H66),0))</f>
        <v/>
      </c>
      <c r="O66" s="26"/>
      <c r="P66" s="26"/>
      <c r="Q66" s="26"/>
      <c r="R66" s="26"/>
      <c r="S66" s="26"/>
      <c r="T66" s="26"/>
      <c r="U66" s="9"/>
    </row>
    <row r="67" customFormat="false" ht="15" hidden="false" customHeight="false" outlineLevel="0" collapsed="false">
      <c r="A67" s="9"/>
      <c r="B67" s="9"/>
      <c r="C67" s="9"/>
      <c r="D67" s="18" t="str">
        <f aca="false">IF(C67="","",IFERROR(INDEX(MASTER!$B$19:$B$38,MATCH(C67,MASTER!$A$19:$A$38,0)),"ID no existe"))</f>
        <v/>
      </c>
      <c r="E67" s="9"/>
      <c r="F67" s="9"/>
      <c r="G67" s="9"/>
      <c r="H67" s="25"/>
      <c r="I67" s="14"/>
      <c r="J67" s="14"/>
      <c r="K67" s="18" t="str">
        <f aca="false">IF(A67="","",COUNTIF(RESTRICCIONES!$B$5:$B$304,A67))</f>
        <v/>
      </c>
      <c r="L67" s="18" t="str">
        <f aca="false">IF(A67="","",COUNTIFS(RESTRICCIONES!$B$5:$B$304,A67,RESTRICCIONES!$L$5:$L$304,"Pendiente"))</f>
        <v/>
      </c>
      <c r="M67" s="16" t="str">
        <f aca="false">IF(A67="","",IF(L67=0,"LISTA","RESTRINGIDA"))</f>
        <v/>
      </c>
      <c r="N67" s="19" t="str">
        <f aca="false">IF(OR(A67="",H67=""),"",IFERROR(MIN(1,SUMIF(SEMANAL!$C$7:$C$506,A67,SEMANAL!$W$7:$W$506)/H67),0))</f>
        <v/>
      </c>
      <c r="O67" s="26"/>
      <c r="P67" s="26"/>
      <c r="Q67" s="26"/>
      <c r="R67" s="26"/>
      <c r="S67" s="26"/>
      <c r="T67" s="26"/>
      <c r="U67" s="9"/>
    </row>
    <row r="68" customFormat="false" ht="15" hidden="false" customHeight="false" outlineLevel="0" collapsed="false">
      <c r="A68" s="9"/>
      <c r="B68" s="9"/>
      <c r="C68" s="9"/>
      <c r="D68" s="18" t="str">
        <f aca="false">IF(C68="","",IFERROR(INDEX(MASTER!$B$19:$B$38,MATCH(C68,MASTER!$A$19:$A$38,0)),"ID no existe"))</f>
        <v/>
      </c>
      <c r="E68" s="9"/>
      <c r="F68" s="9"/>
      <c r="G68" s="9"/>
      <c r="H68" s="25"/>
      <c r="I68" s="14"/>
      <c r="J68" s="14"/>
      <c r="K68" s="18" t="str">
        <f aca="false">IF(A68="","",COUNTIF(RESTRICCIONES!$B$5:$B$304,A68))</f>
        <v/>
      </c>
      <c r="L68" s="18" t="str">
        <f aca="false">IF(A68="","",COUNTIFS(RESTRICCIONES!$B$5:$B$304,A68,RESTRICCIONES!$L$5:$L$304,"Pendiente"))</f>
        <v/>
      </c>
      <c r="M68" s="16" t="str">
        <f aca="false">IF(A68="","",IF(L68=0,"LISTA","RESTRINGIDA"))</f>
        <v/>
      </c>
      <c r="N68" s="19" t="str">
        <f aca="false">IF(OR(A68="",H68=""),"",IFERROR(MIN(1,SUMIF(SEMANAL!$C$7:$C$506,A68,SEMANAL!$W$7:$W$506)/H68),0))</f>
        <v/>
      </c>
      <c r="O68" s="26"/>
      <c r="P68" s="26"/>
      <c r="Q68" s="26"/>
      <c r="R68" s="26"/>
      <c r="S68" s="26"/>
      <c r="T68" s="26"/>
      <c r="U68" s="9"/>
    </row>
    <row r="69" customFormat="false" ht="15" hidden="false" customHeight="false" outlineLevel="0" collapsed="false">
      <c r="A69" s="9"/>
      <c r="B69" s="9"/>
      <c r="C69" s="9"/>
      <c r="D69" s="18" t="str">
        <f aca="false">IF(C69="","",IFERROR(INDEX(MASTER!$B$19:$B$38,MATCH(C69,MASTER!$A$19:$A$38,0)),"ID no existe"))</f>
        <v/>
      </c>
      <c r="E69" s="9"/>
      <c r="F69" s="9"/>
      <c r="G69" s="9"/>
      <c r="H69" s="25"/>
      <c r="I69" s="14"/>
      <c r="J69" s="14"/>
      <c r="K69" s="18" t="str">
        <f aca="false">IF(A69="","",COUNTIF(RESTRICCIONES!$B$5:$B$304,A69))</f>
        <v/>
      </c>
      <c r="L69" s="18" t="str">
        <f aca="false">IF(A69="","",COUNTIFS(RESTRICCIONES!$B$5:$B$304,A69,RESTRICCIONES!$L$5:$L$304,"Pendiente"))</f>
        <v/>
      </c>
      <c r="M69" s="16" t="str">
        <f aca="false">IF(A69="","",IF(L69=0,"LISTA","RESTRINGIDA"))</f>
        <v/>
      </c>
      <c r="N69" s="19" t="str">
        <f aca="false">IF(OR(A69="",H69=""),"",IFERROR(MIN(1,SUMIF(SEMANAL!$C$7:$C$506,A69,SEMANAL!$W$7:$W$506)/H69),0))</f>
        <v/>
      </c>
      <c r="O69" s="26"/>
      <c r="P69" s="26"/>
      <c r="Q69" s="26"/>
      <c r="R69" s="26"/>
      <c r="S69" s="26"/>
      <c r="T69" s="26"/>
      <c r="U69" s="9"/>
    </row>
    <row r="70" customFormat="false" ht="15" hidden="false" customHeight="false" outlineLevel="0" collapsed="false">
      <c r="A70" s="9"/>
      <c r="B70" s="9"/>
      <c r="C70" s="9"/>
      <c r="D70" s="18" t="str">
        <f aca="false">IF(C70="","",IFERROR(INDEX(MASTER!$B$19:$B$38,MATCH(C70,MASTER!$A$19:$A$38,0)),"ID no existe"))</f>
        <v/>
      </c>
      <c r="E70" s="9"/>
      <c r="F70" s="9"/>
      <c r="G70" s="9"/>
      <c r="H70" s="25"/>
      <c r="I70" s="14"/>
      <c r="J70" s="14"/>
      <c r="K70" s="18" t="str">
        <f aca="false">IF(A70="","",COUNTIF(RESTRICCIONES!$B$5:$B$304,A70))</f>
        <v/>
      </c>
      <c r="L70" s="18" t="str">
        <f aca="false">IF(A70="","",COUNTIFS(RESTRICCIONES!$B$5:$B$304,A70,RESTRICCIONES!$L$5:$L$304,"Pendiente"))</f>
        <v/>
      </c>
      <c r="M70" s="16" t="str">
        <f aca="false">IF(A70="","",IF(L70=0,"LISTA","RESTRINGIDA"))</f>
        <v/>
      </c>
      <c r="N70" s="19" t="str">
        <f aca="false">IF(OR(A70="",H70=""),"",IFERROR(MIN(1,SUMIF(SEMANAL!$C$7:$C$506,A70,SEMANAL!$W$7:$W$506)/H70),0))</f>
        <v/>
      </c>
      <c r="O70" s="26"/>
      <c r="P70" s="26"/>
      <c r="Q70" s="26"/>
      <c r="R70" s="26"/>
      <c r="S70" s="26"/>
      <c r="T70" s="26"/>
      <c r="U70" s="9"/>
    </row>
    <row r="71" customFormat="false" ht="15" hidden="false" customHeight="false" outlineLevel="0" collapsed="false">
      <c r="A71" s="9"/>
      <c r="B71" s="9"/>
      <c r="C71" s="9"/>
      <c r="D71" s="18" t="str">
        <f aca="false">IF(C71="","",IFERROR(INDEX(MASTER!$B$19:$B$38,MATCH(C71,MASTER!$A$19:$A$38,0)),"ID no existe"))</f>
        <v/>
      </c>
      <c r="E71" s="9"/>
      <c r="F71" s="9"/>
      <c r="G71" s="9"/>
      <c r="H71" s="25"/>
      <c r="I71" s="14"/>
      <c r="J71" s="14"/>
      <c r="K71" s="18" t="str">
        <f aca="false">IF(A71="","",COUNTIF(RESTRICCIONES!$B$5:$B$304,A71))</f>
        <v/>
      </c>
      <c r="L71" s="18" t="str">
        <f aca="false">IF(A71="","",COUNTIFS(RESTRICCIONES!$B$5:$B$304,A71,RESTRICCIONES!$L$5:$L$304,"Pendiente"))</f>
        <v/>
      </c>
      <c r="M71" s="16" t="str">
        <f aca="false">IF(A71="","",IF(L71=0,"LISTA","RESTRINGIDA"))</f>
        <v/>
      </c>
      <c r="N71" s="19" t="str">
        <f aca="false">IF(OR(A71="",H71=""),"",IFERROR(MIN(1,SUMIF(SEMANAL!$C$7:$C$506,A71,SEMANAL!$W$7:$W$506)/H71),0))</f>
        <v/>
      </c>
      <c r="O71" s="26"/>
      <c r="P71" s="26"/>
      <c r="Q71" s="26"/>
      <c r="R71" s="26"/>
      <c r="S71" s="26"/>
      <c r="T71" s="26"/>
      <c r="U71" s="9"/>
    </row>
    <row r="72" customFormat="false" ht="15" hidden="false" customHeight="false" outlineLevel="0" collapsed="false">
      <c r="A72" s="9"/>
      <c r="B72" s="9"/>
      <c r="C72" s="9"/>
      <c r="D72" s="18" t="str">
        <f aca="false">IF(C72="","",IFERROR(INDEX(MASTER!$B$19:$B$38,MATCH(C72,MASTER!$A$19:$A$38,0)),"ID no existe"))</f>
        <v/>
      </c>
      <c r="E72" s="9"/>
      <c r="F72" s="9"/>
      <c r="G72" s="9"/>
      <c r="H72" s="25"/>
      <c r="I72" s="14"/>
      <c r="J72" s="14"/>
      <c r="K72" s="18" t="str">
        <f aca="false">IF(A72="","",COUNTIF(RESTRICCIONES!$B$5:$B$304,A72))</f>
        <v/>
      </c>
      <c r="L72" s="18" t="str">
        <f aca="false">IF(A72="","",COUNTIFS(RESTRICCIONES!$B$5:$B$304,A72,RESTRICCIONES!$L$5:$L$304,"Pendiente"))</f>
        <v/>
      </c>
      <c r="M72" s="16" t="str">
        <f aca="false">IF(A72="","",IF(L72=0,"LISTA","RESTRINGIDA"))</f>
        <v/>
      </c>
      <c r="N72" s="19" t="str">
        <f aca="false">IF(OR(A72="",H72=""),"",IFERROR(MIN(1,SUMIF(SEMANAL!$C$7:$C$506,A72,SEMANAL!$W$7:$W$506)/H72),0))</f>
        <v/>
      </c>
      <c r="O72" s="26"/>
      <c r="P72" s="26"/>
      <c r="Q72" s="26"/>
      <c r="R72" s="26"/>
      <c r="S72" s="26"/>
      <c r="T72" s="26"/>
      <c r="U72" s="9"/>
    </row>
    <row r="73" customFormat="false" ht="15" hidden="false" customHeight="false" outlineLevel="0" collapsed="false">
      <c r="A73" s="9"/>
      <c r="B73" s="9"/>
      <c r="C73" s="9"/>
      <c r="D73" s="18" t="str">
        <f aca="false">IF(C73="","",IFERROR(INDEX(MASTER!$B$19:$B$38,MATCH(C73,MASTER!$A$19:$A$38,0)),"ID no existe"))</f>
        <v/>
      </c>
      <c r="E73" s="9"/>
      <c r="F73" s="9"/>
      <c r="G73" s="9"/>
      <c r="H73" s="25"/>
      <c r="I73" s="14"/>
      <c r="J73" s="14"/>
      <c r="K73" s="18" t="str">
        <f aca="false">IF(A73="","",COUNTIF(RESTRICCIONES!$B$5:$B$304,A73))</f>
        <v/>
      </c>
      <c r="L73" s="18" t="str">
        <f aca="false">IF(A73="","",COUNTIFS(RESTRICCIONES!$B$5:$B$304,A73,RESTRICCIONES!$L$5:$L$304,"Pendiente"))</f>
        <v/>
      </c>
      <c r="M73" s="16" t="str">
        <f aca="false">IF(A73="","",IF(L73=0,"LISTA","RESTRINGIDA"))</f>
        <v/>
      </c>
      <c r="N73" s="19" t="str">
        <f aca="false">IF(OR(A73="",H73=""),"",IFERROR(MIN(1,SUMIF(SEMANAL!$C$7:$C$506,A73,SEMANAL!$W$7:$W$506)/H73),0))</f>
        <v/>
      </c>
      <c r="O73" s="26"/>
      <c r="P73" s="26"/>
      <c r="Q73" s="26"/>
      <c r="R73" s="26"/>
      <c r="S73" s="26"/>
      <c r="T73" s="26"/>
      <c r="U73" s="9"/>
    </row>
    <row r="74" customFormat="false" ht="15" hidden="false" customHeight="false" outlineLevel="0" collapsed="false">
      <c r="A74" s="9"/>
      <c r="B74" s="9"/>
      <c r="C74" s="9"/>
      <c r="D74" s="18" t="str">
        <f aca="false">IF(C74="","",IFERROR(INDEX(MASTER!$B$19:$B$38,MATCH(C74,MASTER!$A$19:$A$38,0)),"ID no existe"))</f>
        <v/>
      </c>
      <c r="E74" s="9"/>
      <c r="F74" s="9"/>
      <c r="G74" s="9"/>
      <c r="H74" s="25"/>
      <c r="I74" s="14"/>
      <c r="J74" s="14"/>
      <c r="K74" s="18" t="str">
        <f aca="false">IF(A74="","",COUNTIF(RESTRICCIONES!$B$5:$B$304,A74))</f>
        <v/>
      </c>
      <c r="L74" s="18" t="str">
        <f aca="false">IF(A74="","",COUNTIFS(RESTRICCIONES!$B$5:$B$304,A74,RESTRICCIONES!$L$5:$L$304,"Pendiente"))</f>
        <v/>
      </c>
      <c r="M74" s="16" t="str">
        <f aca="false">IF(A74="","",IF(L74=0,"LISTA","RESTRINGIDA"))</f>
        <v/>
      </c>
      <c r="N74" s="19" t="str">
        <f aca="false">IF(OR(A74="",H74=""),"",IFERROR(MIN(1,SUMIF(SEMANAL!$C$7:$C$506,A74,SEMANAL!$W$7:$W$506)/H74),0))</f>
        <v/>
      </c>
      <c r="O74" s="26"/>
      <c r="P74" s="26"/>
      <c r="Q74" s="26"/>
      <c r="R74" s="26"/>
      <c r="S74" s="26"/>
      <c r="T74" s="26"/>
      <c r="U74" s="9"/>
    </row>
    <row r="75" customFormat="false" ht="15" hidden="false" customHeight="false" outlineLevel="0" collapsed="false">
      <c r="A75" s="9"/>
      <c r="B75" s="9"/>
      <c r="C75" s="9"/>
      <c r="D75" s="18" t="str">
        <f aca="false">IF(C75="","",IFERROR(INDEX(MASTER!$B$19:$B$38,MATCH(C75,MASTER!$A$19:$A$38,0)),"ID no existe"))</f>
        <v/>
      </c>
      <c r="E75" s="9"/>
      <c r="F75" s="9"/>
      <c r="G75" s="9"/>
      <c r="H75" s="25"/>
      <c r="I75" s="14"/>
      <c r="J75" s="14"/>
      <c r="K75" s="18" t="str">
        <f aca="false">IF(A75="","",COUNTIF(RESTRICCIONES!$B$5:$B$304,A75))</f>
        <v/>
      </c>
      <c r="L75" s="18" t="str">
        <f aca="false">IF(A75="","",COUNTIFS(RESTRICCIONES!$B$5:$B$304,A75,RESTRICCIONES!$L$5:$L$304,"Pendiente"))</f>
        <v/>
      </c>
      <c r="M75" s="16" t="str">
        <f aca="false">IF(A75="","",IF(L75=0,"LISTA","RESTRINGIDA"))</f>
        <v/>
      </c>
      <c r="N75" s="19" t="str">
        <f aca="false">IF(OR(A75="",H75=""),"",IFERROR(MIN(1,SUMIF(SEMANAL!$C$7:$C$506,A75,SEMANAL!$W$7:$W$506)/H75),0))</f>
        <v/>
      </c>
      <c r="O75" s="26"/>
      <c r="P75" s="26"/>
      <c r="Q75" s="26"/>
      <c r="R75" s="26"/>
      <c r="S75" s="26"/>
      <c r="T75" s="26"/>
      <c r="U75" s="9"/>
    </row>
    <row r="76" customFormat="false" ht="15" hidden="false" customHeight="false" outlineLevel="0" collapsed="false">
      <c r="A76" s="9"/>
      <c r="B76" s="9"/>
      <c r="C76" s="9"/>
      <c r="D76" s="18" t="str">
        <f aca="false">IF(C76="","",IFERROR(INDEX(MASTER!$B$19:$B$38,MATCH(C76,MASTER!$A$19:$A$38,0)),"ID no existe"))</f>
        <v/>
      </c>
      <c r="E76" s="9"/>
      <c r="F76" s="9"/>
      <c r="G76" s="9"/>
      <c r="H76" s="25"/>
      <c r="I76" s="14"/>
      <c r="J76" s="14"/>
      <c r="K76" s="18" t="str">
        <f aca="false">IF(A76="","",COUNTIF(RESTRICCIONES!$B$5:$B$304,A76))</f>
        <v/>
      </c>
      <c r="L76" s="18" t="str">
        <f aca="false">IF(A76="","",COUNTIFS(RESTRICCIONES!$B$5:$B$304,A76,RESTRICCIONES!$L$5:$L$304,"Pendiente"))</f>
        <v/>
      </c>
      <c r="M76" s="16" t="str">
        <f aca="false">IF(A76="","",IF(L76=0,"LISTA","RESTRINGIDA"))</f>
        <v/>
      </c>
      <c r="N76" s="19" t="str">
        <f aca="false">IF(OR(A76="",H76=""),"",IFERROR(MIN(1,SUMIF(SEMANAL!$C$7:$C$506,A76,SEMANAL!$W$7:$W$506)/H76),0))</f>
        <v/>
      </c>
      <c r="O76" s="26"/>
      <c r="P76" s="26"/>
      <c r="Q76" s="26"/>
      <c r="R76" s="26"/>
      <c r="S76" s="26"/>
      <c r="T76" s="26"/>
      <c r="U76" s="9"/>
    </row>
    <row r="77" customFormat="false" ht="15" hidden="false" customHeight="false" outlineLevel="0" collapsed="false">
      <c r="A77" s="9"/>
      <c r="B77" s="9"/>
      <c r="C77" s="9"/>
      <c r="D77" s="18" t="str">
        <f aca="false">IF(C77="","",IFERROR(INDEX(MASTER!$B$19:$B$38,MATCH(C77,MASTER!$A$19:$A$38,0)),"ID no existe"))</f>
        <v/>
      </c>
      <c r="E77" s="9"/>
      <c r="F77" s="9"/>
      <c r="G77" s="9"/>
      <c r="H77" s="25"/>
      <c r="I77" s="14"/>
      <c r="J77" s="14"/>
      <c r="K77" s="18" t="str">
        <f aca="false">IF(A77="","",COUNTIF(RESTRICCIONES!$B$5:$B$304,A77))</f>
        <v/>
      </c>
      <c r="L77" s="18" t="str">
        <f aca="false">IF(A77="","",COUNTIFS(RESTRICCIONES!$B$5:$B$304,A77,RESTRICCIONES!$L$5:$L$304,"Pendiente"))</f>
        <v/>
      </c>
      <c r="M77" s="16" t="str">
        <f aca="false">IF(A77="","",IF(L77=0,"LISTA","RESTRINGIDA"))</f>
        <v/>
      </c>
      <c r="N77" s="19" t="str">
        <f aca="false">IF(OR(A77="",H77=""),"",IFERROR(MIN(1,SUMIF(SEMANAL!$C$7:$C$506,A77,SEMANAL!$W$7:$W$506)/H77),0))</f>
        <v/>
      </c>
      <c r="O77" s="26"/>
      <c r="P77" s="26"/>
      <c r="Q77" s="26"/>
      <c r="R77" s="26"/>
      <c r="S77" s="26"/>
      <c r="T77" s="26"/>
      <c r="U77" s="9"/>
    </row>
    <row r="78" customFormat="false" ht="15" hidden="false" customHeight="false" outlineLevel="0" collapsed="false">
      <c r="A78" s="9"/>
      <c r="B78" s="9"/>
      <c r="C78" s="9"/>
      <c r="D78" s="18" t="str">
        <f aca="false">IF(C78="","",IFERROR(INDEX(MASTER!$B$19:$B$38,MATCH(C78,MASTER!$A$19:$A$38,0)),"ID no existe"))</f>
        <v/>
      </c>
      <c r="E78" s="9"/>
      <c r="F78" s="9"/>
      <c r="G78" s="9"/>
      <c r="H78" s="25"/>
      <c r="I78" s="14"/>
      <c r="J78" s="14"/>
      <c r="K78" s="18" t="str">
        <f aca="false">IF(A78="","",COUNTIF(RESTRICCIONES!$B$5:$B$304,A78))</f>
        <v/>
      </c>
      <c r="L78" s="18" t="str">
        <f aca="false">IF(A78="","",COUNTIFS(RESTRICCIONES!$B$5:$B$304,A78,RESTRICCIONES!$L$5:$L$304,"Pendiente"))</f>
        <v/>
      </c>
      <c r="M78" s="16" t="str">
        <f aca="false">IF(A78="","",IF(L78=0,"LISTA","RESTRINGIDA"))</f>
        <v/>
      </c>
      <c r="N78" s="19" t="str">
        <f aca="false">IF(OR(A78="",H78=""),"",IFERROR(MIN(1,SUMIF(SEMANAL!$C$7:$C$506,A78,SEMANAL!$W$7:$W$506)/H78),0))</f>
        <v/>
      </c>
      <c r="O78" s="26"/>
      <c r="P78" s="26"/>
      <c r="Q78" s="26"/>
      <c r="R78" s="26"/>
      <c r="S78" s="26"/>
      <c r="T78" s="26"/>
      <c r="U78" s="9"/>
    </row>
    <row r="79" customFormat="false" ht="15" hidden="false" customHeight="false" outlineLevel="0" collapsed="false">
      <c r="A79" s="9"/>
      <c r="B79" s="9"/>
      <c r="C79" s="9"/>
      <c r="D79" s="18" t="str">
        <f aca="false">IF(C79="","",IFERROR(INDEX(MASTER!$B$19:$B$38,MATCH(C79,MASTER!$A$19:$A$38,0)),"ID no existe"))</f>
        <v/>
      </c>
      <c r="E79" s="9"/>
      <c r="F79" s="9"/>
      <c r="G79" s="9"/>
      <c r="H79" s="25"/>
      <c r="I79" s="14"/>
      <c r="J79" s="14"/>
      <c r="K79" s="18" t="str">
        <f aca="false">IF(A79="","",COUNTIF(RESTRICCIONES!$B$5:$B$304,A79))</f>
        <v/>
      </c>
      <c r="L79" s="18" t="str">
        <f aca="false">IF(A79="","",COUNTIFS(RESTRICCIONES!$B$5:$B$304,A79,RESTRICCIONES!$L$5:$L$304,"Pendiente"))</f>
        <v/>
      </c>
      <c r="M79" s="16" t="str">
        <f aca="false">IF(A79="","",IF(L79=0,"LISTA","RESTRINGIDA"))</f>
        <v/>
      </c>
      <c r="N79" s="19" t="str">
        <f aca="false">IF(OR(A79="",H79=""),"",IFERROR(MIN(1,SUMIF(SEMANAL!$C$7:$C$506,A79,SEMANAL!$W$7:$W$506)/H79),0))</f>
        <v/>
      </c>
      <c r="O79" s="26"/>
      <c r="P79" s="26"/>
      <c r="Q79" s="26"/>
      <c r="R79" s="26"/>
      <c r="S79" s="26"/>
      <c r="T79" s="26"/>
      <c r="U79" s="9"/>
    </row>
    <row r="80" customFormat="false" ht="15" hidden="false" customHeight="false" outlineLevel="0" collapsed="false">
      <c r="A80" s="9"/>
      <c r="B80" s="9"/>
      <c r="C80" s="9"/>
      <c r="D80" s="18" t="str">
        <f aca="false">IF(C80="","",IFERROR(INDEX(MASTER!$B$19:$B$38,MATCH(C80,MASTER!$A$19:$A$38,0)),"ID no existe"))</f>
        <v/>
      </c>
      <c r="E80" s="9"/>
      <c r="F80" s="9"/>
      <c r="G80" s="9"/>
      <c r="H80" s="25"/>
      <c r="I80" s="14"/>
      <c r="J80" s="14"/>
      <c r="K80" s="18" t="str">
        <f aca="false">IF(A80="","",COUNTIF(RESTRICCIONES!$B$5:$B$304,A80))</f>
        <v/>
      </c>
      <c r="L80" s="18" t="str">
        <f aca="false">IF(A80="","",COUNTIFS(RESTRICCIONES!$B$5:$B$304,A80,RESTRICCIONES!$L$5:$L$304,"Pendiente"))</f>
        <v/>
      </c>
      <c r="M80" s="16" t="str">
        <f aca="false">IF(A80="","",IF(L80=0,"LISTA","RESTRINGIDA"))</f>
        <v/>
      </c>
      <c r="N80" s="19" t="str">
        <f aca="false">IF(OR(A80="",H80=""),"",IFERROR(MIN(1,SUMIF(SEMANAL!$C$7:$C$506,A80,SEMANAL!$W$7:$W$506)/H80),0))</f>
        <v/>
      </c>
      <c r="O80" s="26"/>
      <c r="P80" s="26"/>
      <c r="Q80" s="26"/>
      <c r="R80" s="26"/>
      <c r="S80" s="26"/>
      <c r="T80" s="26"/>
      <c r="U80" s="9"/>
    </row>
    <row r="81" customFormat="false" ht="15" hidden="false" customHeight="false" outlineLevel="0" collapsed="false">
      <c r="A81" s="9"/>
      <c r="B81" s="9"/>
      <c r="C81" s="9"/>
      <c r="D81" s="18" t="str">
        <f aca="false">IF(C81="","",IFERROR(INDEX(MASTER!$B$19:$B$38,MATCH(C81,MASTER!$A$19:$A$38,0)),"ID no existe"))</f>
        <v/>
      </c>
      <c r="E81" s="9"/>
      <c r="F81" s="9"/>
      <c r="G81" s="9"/>
      <c r="H81" s="25"/>
      <c r="I81" s="14"/>
      <c r="J81" s="14"/>
      <c r="K81" s="18" t="str">
        <f aca="false">IF(A81="","",COUNTIF(RESTRICCIONES!$B$5:$B$304,A81))</f>
        <v/>
      </c>
      <c r="L81" s="18" t="str">
        <f aca="false">IF(A81="","",COUNTIFS(RESTRICCIONES!$B$5:$B$304,A81,RESTRICCIONES!$L$5:$L$304,"Pendiente"))</f>
        <v/>
      </c>
      <c r="M81" s="16" t="str">
        <f aca="false">IF(A81="","",IF(L81=0,"LISTA","RESTRINGIDA"))</f>
        <v/>
      </c>
      <c r="N81" s="19" t="str">
        <f aca="false">IF(OR(A81="",H81=""),"",IFERROR(MIN(1,SUMIF(SEMANAL!$C$7:$C$506,A81,SEMANAL!$W$7:$W$506)/H81),0))</f>
        <v/>
      </c>
      <c r="O81" s="26"/>
      <c r="P81" s="26"/>
      <c r="Q81" s="26"/>
      <c r="R81" s="26"/>
      <c r="S81" s="26"/>
      <c r="T81" s="26"/>
      <c r="U81" s="9"/>
    </row>
    <row r="82" customFormat="false" ht="15" hidden="false" customHeight="false" outlineLevel="0" collapsed="false">
      <c r="A82" s="9"/>
      <c r="B82" s="9"/>
      <c r="C82" s="9"/>
      <c r="D82" s="18" t="str">
        <f aca="false">IF(C82="","",IFERROR(INDEX(MASTER!$B$19:$B$38,MATCH(C82,MASTER!$A$19:$A$38,0)),"ID no existe"))</f>
        <v/>
      </c>
      <c r="E82" s="9"/>
      <c r="F82" s="9"/>
      <c r="G82" s="9"/>
      <c r="H82" s="25"/>
      <c r="I82" s="14"/>
      <c r="J82" s="14"/>
      <c r="K82" s="18" t="str">
        <f aca="false">IF(A82="","",COUNTIF(RESTRICCIONES!$B$5:$B$304,A82))</f>
        <v/>
      </c>
      <c r="L82" s="18" t="str">
        <f aca="false">IF(A82="","",COUNTIFS(RESTRICCIONES!$B$5:$B$304,A82,RESTRICCIONES!$L$5:$L$304,"Pendiente"))</f>
        <v/>
      </c>
      <c r="M82" s="16" t="str">
        <f aca="false">IF(A82="","",IF(L82=0,"LISTA","RESTRINGIDA"))</f>
        <v/>
      </c>
      <c r="N82" s="19" t="str">
        <f aca="false">IF(OR(A82="",H82=""),"",IFERROR(MIN(1,SUMIF(SEMANAL!$C$7:$C$506,A82,SEMANAL!$W$7:$W$506)/H82),0))</f>
        <v/>
      </c>
      <c r="O82" s="26"/>
      <c r="P82" s="26"/>
      <c r="Q82" s="26"/>
      <c r="R82" s="26"/>
      <c r="S82" s="26"/>
      <c r="T82" s="26"/>
      <c r="U82" s="9"/>
    </row>
    <row r="83" customFormat="false" ht="15" hidden="false" customHeight="false" outlineLevel="0" collapsed="false">
      <c r="A83" s="9"/>
      <c r="B83" s="9"/>
      <c r="C83" s="9"/>
      <c r="D83" s="18" t="str">
        <f aca="false">IF(C83="","",IFERROR(INDEX(MASTER!$B$19:$B$38,MATCH(C83,MASTER!$A$19:$A$38,0)),"ID no existe"))</f>
        <v/>
      </c>
      <c r="E83" s="9"/>
      <c r="F83" s="9"/>
      <c r="G83" s="9"/>
      <c r="H83" s="25"/>
      <c r="I83" s="14"/>
      <c r="J83" s="14"/>
      <c r="K83" s="18" t="str">
        <f aca="false">IF(A83="","",COUNTIF(RESTRICCIONES!$B$5:$B$304,A83))</f>
        <v/>
      </c>
      <c r="L83" s="18" t="str">
        <f aca="false">IF(A83="","",COUNTIFS(RESTRICCIONES!$B$5:$B$304,A83,RESTRICCIONES!$L$5:$L$304,"Pendiente"))</f>
        <v/>
      </c>
      <c r="M83" s="16" t="str">
        <f aca="false">IF(A83="","",IF(L83=0,"LISTA","RESTRINGIDA"))</f>
        <v/>
      </c>
      <c r="N83" s="19" t="str">
        <f aca="false">IF(OR(A83="",H83=""),"",IFERROR(MIN(1,SUMIF(SEMANAL!$C$7:$C$506,A83,SEMANAL!$W$7:$W$506)/H83),0))</f>
        <v/>
      </c>
      <c r="O83" s="26"/>
      <c r="P83" s="26"/>
      <c r="Q83" s="26"/>
      <c r="R83" s="26"/>
      <c r="S83" s="26"/>
      <c r="T83" s="26"/>
      <c r="U83" s="9"/>
    </row>
    <row r="84" customFormat="false" ht="15" hidden="false" customHeight="false" outlineLevel="0" collapsed="false">
      <c r="A84" s="9"/>
      <c r="B84" s="9"/>
      <c r="C84" s="9"/>
      <c r="D84" s="18" t="str">
        <f aca="false">IF(C84="","",IFERROR(INDEX(MASTER!$B$19:$B$38,MATCH(C84,MASTER!$A$19:$A$38,0)),"ID no existe"))</f>
        <v/>
      </c>
      <c r="E84" s="9"/>
      <c r="F84" s="9"/>
      <c r="G84" s="9"/>
      <c r="H84" s="25"/>
      <c r="I84" s="14"/>
      <c r="J84" s="14"/>
      <c r="K84" s="18" t="str">
        <f aca="false">IF(A84="","",COUNTIF(RESTRICCIONES!$B$5:$B$304,A84))</f>
        <v/>
      </c>
      <c r="L84" s="18" t="str">
        <f aca="false">IF(A84="","",COUNTIFS(RESTRICCIONES!$B$5:$B$304,A84,RESTRICCIONES!$L$5:$L$304,"Pendiente"))</f>
        <v/>
      </c>
      <c r="M84" s="16" t="str">
        <f aca="false">IF(A84="","",IF(L84=0,"LISTA","RESTRINGIDA"))</f>
        <v/>
      </c>
      <c r="N84" s="19" t="str">
        <f aca="false">IF(OR(A84="",H84=""),"",IFERROR(MIN(1,SUMIF(SEMANAL!$C$7:$C$506,A84,SEMANAL!$W$7:$W$506)/H84),0))</f>
        <v/>
      </c>
      <c r="O84" s="26"/>
      <c r="P84" s="26"/>
      <c r="Q84" s="26"/>
      <c r="R84" s="26"/>
      <c r="S84" s="26"/>
      <c r="T84" s="26"/>
      <c r="U84" s="9"/>
    </row>
    <row r="85" customFormat="false" ht="15" hidden="false" customHeight="false" outlineLevel="0" collapsed="false">
      <c r="A85" s="9"/>
      <c r="B85" s="9"/>
      <c r="C85" s="9"/>
      <c r="D85" s="18" t="str">
        <f aca="false">IF(C85="","",IFERROR(INDEX(MASTER!$B$19:$B$38,MATCH(C85,MASTER!$A$19:$A$38,0)),"ID no existe"))</f>
        <v/>
      </c>
      <c r="E85" s="9"/>
      <c r="F85" s="9"/>
      <c r="G85" s="9"/>
      <c r="H85" s="25"/>
      <c r="I85" s="14"/>
      <c r="J85" s="14"/>
      <c r="K85" s="18" t="str">
        <f aca="false">IF(A85="","",COUNTIF(RESTRICCIONES!$B$5:$B$304,A85))</f>
        <v/>
      </c>
      <c r="L85" s="18" t="str">
        <f aca="false">IF(A85="","",COUNTIFS(RESTRICCIONES!$B$5:$B$304,A85,RESTRICCIONES!$L$5:$L$304,"Pendiente"))</f>
        <v/>
      </c>
      <c r="M85" s="16" t="str">
        <f aca="false">IF(A85="","",IF(L85=0,"LISTA","RESTRINGIDA"))</f>
        <v/>
      </c>
      <c r="N85" s="19" t="str">
        <f aca="false">IF(OR(A85="",H85=""),"",IFERROR(MIN(1,SUMIF(SEMANAL!$C$7:$C$506,A85,SEMANAL!$W$7:$W$506)/H85),0))</f>
        <v/>
      </c>
      <c r="O85" s="26"/>
      <c r="P85" s="26"/>
      <c r="Q85" s="26"/>
      <c r="R85" s="26"/>
      <c r="S85" s="26"/>
      <c r="T85" s="26"/>
      <c r="U85" s="9"/>
    </row>
    <row r="86" customFormat="false" ht="15" hidden="false" customHeight="false" outlineLevel="0" collapsed="false">
      <c r="A86" s="9"/>
      <c r="B86" s="9"/>
      <c r="C86" s="9"/>
      <c r="D86" s="18" t="str">
        <f aca="false">IF(C86="","",IFERROR(INDEX(MASTER!$B$19:$B$38,MATCH(C86,MASTER!$A$19:$A$38,0)),"ID no existe"))</f>
        <v/>
      </c>
      <c r="E86" s="9"/>
      <c r="F86" s="9"/>
      <c r="G86" s="9"/>
      <c r="H86" s="25"/>
      <c r="I86" s="14"/>
      <c r="J86" s="14"/>
      <c r="K86" s="18" t="str">
        <f aca="false">IF(A86="","",COUNTIF(RESTRICCIONES!$B$5:$B$304,A86))</f>
        <v/>
      </c>
      <c r="L86" s="18" t="str">
        <f aca="false">IF(A86="","",COUNTIFS(RESTRICCIONES!$B$5:$B$304,A86,RESTRICCIONES!$L$5:$L$304,"Pendiente"))</f>
        <v/>
      </c>
      <c r="M86" s="16" t="str">
        <f aca="false">IF(A86="","",IF(L86=0,"LISTA","RESTRINGIDA"))</f>
        <v/>
      </c>
      <c r="N86" s="19" t="str">
        <f aca="false">IF(OR(A86="",H86=""),"",IFERROR(MIN(1,SUMIF(SEMANAL!$C$7:$C$506,A86,SEMANAL!$W$7:$W$506)/H86),0))</f>
        <v/>
      </c>
      <c r="O86" s="26"/>
      <c r="P86" s="26"/>
      <c r="Q86" s="26"/>
      <c r="R86" s="26"/>
      <c r="S86" s="26"/>
      <c r="T86" s="26"/>
      <c r="U86" s="9"/>
    </row>
    <row r="87" customFormat="false" ht="15" hidden="false" customHeight="false" outlineLevel="0" collapsed="false">
      <c r="A87" s="9"/>
      <c r="B87" s="9"/>
      <c r="C87" s="9"/>
      <c r="D87" s="18" t="str">
        <f aca="false">IF(C87="","",IFERROR(INDEX(MASTER!$B$19:$B$38,MATCH(C87,MASTER!$A$19:$A$38,0)),"ID no existe"))</f>
        <v/>
      </c>
      <c r="E87" s="9"/>
      <c r="F87" s="9"/>
      <c r="G87" s="9"/>
      <c r="H87" s="25"/>
      <c r="I87" s="14"/>
      <c r="J87" s="14"/>
      <c r="K87" s="18" t="str">
        <f aca="false">IF(A87="","",COUNTIF(RESTRICCIONES!$B$5:$B$304,A87))</f>
        <v/>
      </c>
      <c r="L87" s="18" t="str">
        <f aca="false">IF(A87="","",COUNTIFS(RESTRICCIONES!$B$5:$B$304,A87,RESTRICCIONES!$L$5:$L$304,"Pendiente"))</f>
        <v/>
      </c>
      <c r="M87" s="16" t="str">
        <f aca="false">IF(A87="","",IF(L87=0,"LISTA","RESTRINGIDA"))</f>
        <v/>
      </c>
      <c r="N87" s="19" t="str">
        <f aca="false">IF(OR(A87="",H87=""),"",IFERROR(MIN(1,SUMIF(SEMANAL!$C$7:$C$506,A87,SEMANAL!$W$7:$W$506)/H87),0))</f>
        <v/>
      </c>
      <c r="O87" s="26"/>
      <c r="P87" s="26"/>
      <c r="Q87" s="26"/>
      <c r="R87" s="26"/>
      <c r="S87" s="26"/>
      <c r="T87" s="26"/>
      <c r="U87" s="9"/>
    </row>
    <row r="88" customFormat="false" ht="15" hidden="false" customHeight="false" outlineLevel="0" collapsed="false">
      <c r="A88" s="9"/>
      <c r="B88" s="9"/>
      <c r="C88" s="9"/>
      <c r="D88" s="18" t="str">
        <f aca="false">IF(C88="","",IFERROR(INDEX(MASTER!$B$19:$B$38,MATCH(C88,MASTER!$A$19:$A$38,0)),"ID no existe"))</f>
        <v/>
      </c>
      <c r="E88" s="9"/>
      <c r="F88" s="9"/>
      <c r="G88" s="9"/>
      <c r="H88" s="25"/>
      <c r="I88" s="14"/>
      <c r="J88" s="14"/>
      <c r="K88" s="18" t="str">
        <f aca="false">IF(A88="","",COUNTIF(RESTRICCIONES!$B$5:$B$304,A88))</f>
        <v/>
      </c>
      <c r="L88" s="18" t="str">
        <f aca="false">IF(A88="","",COUNTIFS(RESTRICCIONES!$B$5:$B$304,A88,RESTRICCIONES!$L$5:$L$304,"Pendiente"))</f>
        <v/>
      </c>
      <c r="M88" s="16" t="str">
        <f aca="false">IF(A88="","",IF(L88=0,"LISTA","RESTRINGIDA"))</f>
        <v/>
      </c>
      <c r="N88" s="19" t="str">
        <f aca="false">IF(OR(A88="",H88=""),"",IFERROR(MIN(1,SUMIF(SEMANAL!$C$7:$C$506,A88,SEMANAL!$W$7:$W$506)/H88),0))</f>
        <v/>
      </c>
      <c r="O88" s="26"/>
      <c r="P88" s="26"/>
      <c r="Q88" s="26"/>
      <c r="R88" s="26"/>
      <c r="S88" s="26"/>
      <c r="T88" s="26"/>
      <c r="U88" s="9"/>
    </row>
    <row r="89" customFormat="false" ht="15" hidden="false" customHeight="false" outlineLevel="0" collapsed="false">
      <c r="A89" s="9"/>
      <c r="B89" s="9"/>
      <c r="C89" s="9"/>
      <c r="D89" s="18" t="str">
        <f aca="false">IF(C89="","",IFERROR(INDEX(MASTER!$B$19:$B$38,MATCH(C89,MASTER!$A$19:$A$38,0)),"ID no existe"))</f>
        <v/>
      </c>
      <c r="E89" s="9"/>
      <c r="F89" s="9"/>
      <c r="G89" s="9"/>
      <c r="H89" s="25"/>
      <c r="I89" s="14"/>
      <c r="J89" s="14"/>
      <c r="K89" s="18" t="str">
        <f aca="false">IF(A89="","",COUNTIF(RESTRICCIONES!$B$5:$B$304,A89))</f>
        <v/>
      </c>
      <c r="L89" s="18" t="str">
        <f aca="false">IF(A89="","",COUNTIFS(RESTRICCIONES!$B$5:$B$304,A89,RESTRICCIONES!$L$5:$L$304,"Pendiente"))</f>
        <v/>
      </c>
      <c r="M89" s="16" t="str">
        <f aca="false">IF(A89="","",IF(L89=0,"LISTA","RESTRINGIDA"))</f>
        <v/>
      </c>
      <c r="N89" s="19" t="str">
        <f aca="false">IF(OR(A89="",H89=""),"",IFERROR(MIN(1,SUMIF(SEMANAL!$C$7:$C$506,A89,SEMANAL!$W$7:$W$506)/H89),0))</f>
        <v/>
      </c>
      <c r="O89" s="26"/>
      <c r="P89" s="26"/>
      <c r="Q89" s="26"/>
      <c r="R89" s="26"/>
      <c r="S89" s="26"/>
      <c r="T89" s="26"/>
      <c r="U89" s="9"/>
    </row>
    <row r="90" customFormat="false" ht="15" hidden="false" customHeight="false" outlineLevel="0" collapsed="false">
      <c r="A90" s="9"/>
      <c r="B90" s="9"/>
      <c r="C90" s="9"/>
      <c r="D90" s="18" t="str">
        <f aca="false">IF(C90="","",IFERROR(INDEX(MASTER!$B$19:$B$38,MATCH(C90,MASTER!$A$19:$A$38,0)),"ID no existe"))</f>
        <v/>
      </c>
      <c r="E90" s="9"/>
      <c r="F90" s="9"/>
      <c r="G90" s="9"/>
      <c r="H90" s="25"/>
      <c r="I90" s="14"/>
      <c r="J90" s="14"/>
      <c r="K90" s="18" t="str">
        <f aca="false">IF(A90="","",COUNTIF(RESTRICCIONES!$B$5:$B$304,A90))</f>
        <v/>
      </c>
      <c r="L90" s="18" t="str">
        <f aca="false">IF(A90="","",COUNTIFS(RESTRICCIONES!$B$5:$B$304,A90,RESTRICCIONES!$L$5:$L$304,"Pendiente"))</f>
        <v/>
      </c>
      <c r="M90" s="16" t="str">
        <f aca="false">IF(A90="","",IF(L90=0,"LISTA","RESTRINGIDA"))</f>
        <v/>
      </c>
      <c r="N90" s="19" t="str">
        <f aca="false">IF(OR(A90="",H90=""),"",IFERROR(MIN(1,SUMIF(SEMANAL!$C$7:$C$506,A90,SEMANAL!$W$7:$W$506)/H90),0))</f>
        <v/>
      </c>
      <c r="O90" s="26"/>
      <c r="P90" s="26"/>
      <c r="Q90" s="26"/>
      <c r="R90" s="26"/>
      <c r="S90" s="26"/>
      <c r="T90" s="26"/>
      <c r="U90" s="9"/>
    </row>
    <row r="91" customFormat="false" ht="15" hidden="false" customHeight="false" outlineLevel="0" collapsed="false">
      <c r="A91" s="9"/>
      <c r="B91" s="9"/>
      <c r="C91" s="9"/>
      <c r="D91" s="18" t="str">
        <f aca="false">IF(C91="","",IFERROR(INDEX(MASTER!$B$19:$B$38,MATCH(C91,MASTER!$A$19:$A$38,0)),"ID no existe"))</f>
        <v/>
      </c>
      <c r="E91" s="9"/>
      <c r="F91" s="9"/>
      <c r="G91" s="9"/>
      <c r="H91" s="25"/>
      <c r="I91" s="14"/>
      <c r="J91" s="14"/>
      <c r="K91" s="18" t="str">
        <f aca="false">IF(A91="","",COUNTIF(RESTRICCIONES!$B$5:$B$304,A91))</f>
        <v/>
      </c>
      <c r="L91" s="18" t="str">
        <f aca="false">IF(A91="","",COUNTIFS(RESTRICCIONES!$B$5:$B$304,A91,RESTRICCIONES!$L$5:$L$304,"Pendiente"))</f>
        <v/>
      </c>
      <c r="M91" s="16" t="str">
        <f aca="false">IF(A91="","",IF(L91=0,"LISTA","RESTRINGIDA"))</f>
        <v/>
      </c>
      <c r="N91" s="19" t="str">
        <f aca="false">IF(OR(A91="",H91=""),"",IFERROR(MIN(1,SUMIF(SEMANAL!$C$7:$C$506,A91,SEMANAL!$W$7:$W$506)/H91),0))</f>
        <v/>
      </c>
      <c r="O91" s="26"/>
      <c r="P91" s="26"/>
      <c r="Q91" s="26"/>
      <c r="R91" s="26"/>
      <c r="S91" s="26"/>
      <c r="T91" s="26"/>
      <c r="U91" s="9"/>
    </row>
    <row r="92" customFormat="false" ht="15" hidden="false" customHeight="false" outlineLevel="0" collapsed="false">
      <c r="A92" s="9"/>
      <c r="B92" s="9"/>
      <c r="C92" s="9"/>
      <c r="D92" s="18" t="str">
        <f aca="false">IF(C92="","",IFERROR(INDEX(MASTER!$B$19:$B$38,MATCH(C92,MASTER!$A$19:$A$38,0)),"ID no existe"))</f>
        <v/>
      </c>
      <c r="E92" s="9"/>
      <c r="F92" s="9"/>
      <c r="G92" s="9"/>
      <c r="H92" s="25"/>
      <c r="I92" s="14"/>
      <c r="J92" s="14"/>
      <c r="K92" s="18" t="str">
        <f aca="false">IF(A92="","",COUNTIF(RESTRICCIONES!$B$5:$B$304,A92))</f>
        <v/>
      </c>
      <c r="L92" s="18" t="str">
        <f aca="false">IF(A92="","",COUNTIFS(RESTRICCIONES!$B$5:$B$304,A92,RESTRICCIONES!$L$5:$L$304,"Pendiente"))</f>
        <v/>
      </c>
      <c r="M92" s="16" t="str">
        <f aca="false">IF(A92="","",IF(L92=0,"LISTA","RESTRINGIDA"))</f>
        <v/>
      </c>
      <c r="N92" s="19" t="str">
        <f aca="false">IF(OR(A92="",H92=""),"",IFERROR(MIN(1,SUMIF(SEMANAL!$C$7:$C$506,A92,SEMANAL!$W$7:$W$506)/H92),0))</f>
        <v/>
      </c>
      <c r="O92" s="26"/>
      <c r="P92" s="26"/>
      <c r="Q92" s="26"/>
      <c r="R92" s="26"/>
      <c r="S92" s="26"/>
      <c r="T92" s="26"/>
      <c r="U92" s="9"/>
    </row>
    <row r="93" customFormat="false" ht="15" hidden="false" customHeight="false" outlineLevel="0" collapsed="false">
      <c r="A93" s="9"/>
      <c r="B93" s="9"/>
      <c r="C93" s="9"/>
      <c r="D93" s="18" t="str">
        <f aca="false">IF(C93="","",IFERROR(INDEX(MASTER!$B$19:$B$38,MATCH(C93,MASTER!$A$19:$A$38,0)),"ID no existe"))</f>
        <v/>
      </c>
      <c r="E93" s="9"/>
      <c r="F93" s="9"/>
      <c r="G93" s="9"/>
      <c r="H93" s="25"/>
      <c r="I93" s="14"/>
      <c r="J93" s="14"/>
      <c r="K93" s="18" t="str">
        <f aca="false">IF(A93="","",COUNTIF(RESTRICCIONES!$B$5:$B$304,A93))</f>
        <v/>
      </c>
      <c r="L93" s="18" t="str">
        <f aca="false">IF(A93="","",COUNTIFS(RESTRICCIONES!$B$5:$B$304,A93,RESTRICCIONES!$L$5:$L$304,"Pendiente"))</f>
        <v/>
      </c>
      <c r="M93" s="16" t="str">
        <f aca="false">IF(A93="","",IF(L93=0,"LISTA","RESTRINGIDA"))</f>
        <v/>
      </c>
      <c r="N93" s="19" t="str">
        <f aca="false">IF(OR(A93="",H93=""),"",IFERROR(MIN(1,SUMIF(SEMANAL!$C$7:$C$506,A93,SEMANAL!$W$7:$W$506)/H93),0))</f>
        <v/>
      </c>
      <c r="O93" s="26"/>
      <c r="P93" s="26"/>
      <c r="Q93" s="26"/>
      <c r="R93" s="26"/>
      <c r="S93" s="26"/>
      <c r="T93" s="26"/>
      <c r="U93" s="9"/>
    </row>
    <row r="94" customFormat="false" ht="15" hidden="false" customHeight="false" outlineLevel="0" collapsed="false">
      <c r="A94" s="9"/>
      <c r="B94" s="9"/>
      <c r="C94" s="9"/>
      <c r="D94" s="18" t="str">
        <f aca="false">IF(C94="","",IFERROR(INDEX(MASTER!$B$19:$B$38,MATCH(C94,MASTER!$A$19:$A$38,0)),"ID no existe"))</f>
        <v/>
      </c>
      <c r="E94" s="9"/>
      <c r="F94" s="9"/>
      <c r="G94" s="9"/>
      <c r="H94" s="25"/>
      <c r="I94" s="14"/>
      <c r="J94" s="14"/>
      <c r="K94" s="18" t="str">
        <f aca="false">IF(A94="","",COUNTIF(RESTRICCIONES!$B$5:$B$304,A94))</f>
        <v/>
      </c>
      <c r="L94" s="18" t="str">
        <f aca="false">IF(A94="","",COUNTIFS(RESTRICCIONES!$B$5:$B$304,A94,RESTRICCIONES!$L$5:$L$304,"Pendiente"))</f>
        <v/>
      </c>
      <c r="M94" s="16" t="str">
        <f aca="false">IF(A94="","",IF(L94=0,"LISTA","RESTRINGIDA"))</f>
        <v/>
      </c>
      <c r="N94" s="19" t="str">
        <f aca="false">IF(OR(A94="",H94=""),"",IFERROR(MIN(1,SUMIF(SEMANAL!$C$7:$C$506,A94,SEMANAL!$W$7:$W$506)/H94),0))</f>
        <v/>
      </c>
      <c r="O94" s="26"/>
      <c r="P94" s="26"/>
      <c r="Q94" s="26"/>
      <c r="R94" s="26"/>
      <c r="S94" s="26"/>
      <c r="T94" s="26"/>
      <c r="U94" s="9"/>
    </row>
    <row r="95" customFormat="false" ht="15" hidden="false" customHeight="false" outlineLevel="0" collapsed="false">
      <c r="A95" s="9"/>
      <c r="B95" s="9"/>
      <c r="C95" s="9"/>
      <c r="D95" s="18" t="str">
        <f aca="false">IF(C95="","",IFERROR(INDEX(MASTER!$B$19:$B$38,MATCH(C95,MASTER!$A$19:$A$38,0)),"ID no existe"))</f>
        <v/>
      </c>
      <c r="E95" s="9"/>
      <c r="F95" s="9"/>
      <c r="G95" s="9"/>
      <c r="H95" s="25"/>
      <c r="I95" s="14"/>
      <c r="J95" s="14"/>
      <c r="K95" s="18" t="str">
        <f aca="false">IF(A95="","",COUNTIF(RESTRICCIONES!$B$5:$B$304,A95))</f>
        <v/>
      </c>
      <c r="L95" s="18" t="str">
        <f aca="false">IF(A95="","",COUNTIFS(RESTRICCIONES!$B$5:$B$304,A95,RESTRICCIONES!$L$5:$L$304,"Pendiente"))</f>
        <v/>
      </c>
      <c r="M95" s="16" t="str">
        <f aca="false">IF(A95="","",IF(L95=0,"LISTA","RESTRINGIDA"))</f>
        <v/>
      </c>
      <c r="N95" s="19" t="str">
        <f aca="false">IF(OR(A95="",H95=""),"",IFERROR(MIN(1,SUMIF(SEMANAL!$C$7:$C$506,A95,SEMANAL!$W$7:$W$506)/H95),0))</f>
        <v/>
      </c>
      <c r="O95" s="26"/>
      <c r="P95" s="26"/>
      <c r="Q95" s="26"/>
      <c r="R95" s="26"/>
      <c r="S95" s="26"/>
      <c r="T95" s="26"/>
      <c r="U95" s="9"/>
    </row>
    <row r="96" customFormat="false" ht="15" hidden="false" customHeight="false" outlineLevel="0" collapsed="false">
      <c r="A96" s="9"/>
      <c r="B96" s="9"/>
      <c r="C96" s="9"/>
      <c r="D96" s="18" t="str">
        <f aca="false">IF(C96="","",IFERROR(INDEX(MASTER!$B$19:$B$38,MATCH(C96,MASTER!$A$19:$A$38,0)),"ID no existe"))</f>
        <v/>
      </c>
      <c r="E96" s="9"/>
      <c r="F96" s="9"/>
      <c r="G96" s="9"/>
      <c r="H96" s="25"/>
      <c r="I96" s="14"/>
      <c r="J96" s="14"/>
      <c r="K96" s="18" t="str">
        <f aca="false">IF(A96="","",COUNTIF(RESTRICCIONES!$B$5:$B$304,A96))</f>
        <v/>
      </c>
      <c r="L96" s="18" t="str">
        <f aca="false">IF(A96="","",COUNTIFS(RESTRICCIONES!$B$5:$B$304,A96,RESTRICCIONES!$L$5:$L$304,"Pendiente"))</f>
        <v/>
      </c>
      <c r="M96" s="16" t="str">
        <f aca="false">IF(A96="","",IF(L96=0,"LISTA","RESTRINGIDA"))</f>
        <v/>
      </c>
      <c r="N96" s="19" t="str">
        <f aca="false">IF(OR(A96="",H96=""),"",IFERROR(MIN(1,SUMIF(SEMANAL!$C$7:$C$506,A96,SEMANAL!$W$7:$W$506)/H96),0))</f>
        <v/>
      </c>
      <c r="O96" s="26"/>
      <c r="P96" s="26"/>
      <c r="Q96" s="26"/>
      <c r="R96" s="26"/>
      <c r="S96" s="26"/>
      <c r="T96" s="26"/>
      <c r="U96" s="9"/>
    </row>
    <row r="97" customFormat="false" ht="15" hidden="false" customHeight="false" outlineLevel="0" collapsed="false">
      <c r="A97" s="9"/>
      <c r="B97" s="9"/>
      <c r="C97" s="9"/>
      <c r="D97" s="18" t="str">
        <f aca="false">IF(C97="","",IFERROR(INDEX(MASTER!$B$19:$B$38,MATCH(C97,MASTER!$A$19:$A$38,0)),"ID no existe"))</f>
        <v/>
      </c>
      <c r="E97" s="9"/>
      <c r="F97" s="9"/>
      <c r="G97" s="9"/>
      <c r="H97" s="25"/>
      <c r="I97" s="14"/>
      <c r="J97" s="14"/>
      <c r="K97" s="18" t="str">
        <f aca="false">IF(A97="","",COUNTIF(RESTRICCIONES!$B$5:$B$304,A97))</f>
        <v/>
      </c>
      <c r="L97" s="18" t="str">
        <f aca="false">IF(A97="","",COUNTIFS(RESTRICCIONES!$B$5:$B$304,A97,RESTRICCIONES!$L$5:$L$304,"Pendiente"))</f>
        <v/>
      </c>
      <c r="M97" s="16" t="str">
        <f aca="false">IF(A97="","",IF(L97=0,"LISTA","RESTRINGIDA"))</f>
        <v/>
      </c>
      <c r="N97" s="19" t="str">
        <f aca="false">IF(OR(A97="",H97=""),"",IFERROR(MIN(1,SUMIF(SEMANAL!$C$7:$C$506,A97,SEMANAL!$W$7:$W$506)/H97),0))</f>
        <v/>
      </c>
      <c r="O97" s="26"/>
      <c r="P97" s="26"/>
      <c r="Q97" s="26"/>
      <c r="R97" s="26"/>
      <c r="S97" s="26"/>
      <c r="T97" s="26"/>
      <c r="U97" s="9"/>
    </row>
    <row r="98" customFormat="false" ht="15" hidden="false" customHeight="false" outlineLevel="0" collapsed="false">
      <c r="A98" s="9"/>
      <c r="B98" s="9"/>
      <c r="C98" s="9"/>
      <c r="D98" s="18" t="str">
        <f aca="false">IF(C98="","",IFERROR(INDEX(MASTER!$B$19:$B$38,MATCH(C98,MASTER!$A$19:$A$38,0)),"ID no existe"))</f>
        <v/>
      </c>
      <c r="E98" s="9"/>
      <c r="F98" s="9"/>
      <c r="G98" s="9"/>
      <c r="H98" s="25"/>
      <c r="I98" s="14"/>
      <c r="J98" s="14"/>
      <c r="K98" s="18" t="str">
        <f aca="false">IF(A98="","",COUNTIF(RESTRICCIONES!$B$5:$B$304,A98))</f>
        <v/>
      </c>
      <c r="L98" s="18" t="str">
        <f aca="false">IF(A98="","",COUNTIFS(RESTRICCIONES!$B$5:$B$304,A98,RESTRICCIONES!$L$5:$L$304,"Pendiente"))</f>
        <v/>
      </c>
      <c r="M98" s="16" t="str">
        <f aca="false">IF(A98="","",IF(L98=0,"LISTA","RESTRINGIDA"))</f>
        <v/>
      </c>
      <c r="N98" s="19" t="str">
        <f aca="false">IF(OR(A98="",H98=""),"",IFERROR(MIN(1,SUMIF(SEMANAL!$C$7:$C$506,A98,SEMANAL!$W$7:$W$506)/H98),0))</f>
        <v/>
      </c>
      <c r="O98" s="26"/>
      <c r="P98" s="26"/>
      <c r="Q98" s="26"/>
      <c r="R98" s="26"/>
      <c r="S98" s="26"/>
      <c r="T98" s="26"/>
      <c r="U98" s="9"/>
    </row>
    <row r="99" customFormat="false" ht="15" hidden="false" customHeight="false" outlineLevel="0" collapsed="false">
      <c r="A99" s="9"/>
      <c r="B99" s="9"/>
      <c r="C99" s="9"/>
      <c r="D99" s="18" t="str">
        <f aca="false">IF(C99="","",IFERROR(INDEX(MASTER!$B$19:$B$38,MATCH(C99,MASTER!$A$19:$A$38,0)),"ID no existe"))</f>
        <v/>
      </c>
      <c r="E99" s="9"/>
      <c r="F99" s="9"/>
      <c r="G99" s="9"/>
      <c r="H99" s="25"/>
      <c r="I99" s="14"/>
      <c r="J99" s="14"/>
      <c r="K99" s="18" t="str">
        <f aca="false">IF(A99="","",COUNTIF(RESTRICCIONES!$B$5:$B$304,A99))</f>
        <v/>
      </c>
      <c r="L99" s="18" t="str">
        <f aca="false">IF(A99="","",COUNTIFS(RESTRICCIONES!$B$5:$B$304,A99,RESTRICCIONES!$L$5:$L$304,"Pendiente"))</f>
        <v/>
      </c>
      <c r="M99" s="16" t="str">
        <f aca="false">IF(A99="","",IF(L99=0,"LISTA","RESTRINGIDA"))</f>
        <v/>
      </c>
      <c r="N99" s="19" t="str">
        <f aca="false">IF(OR(A99="",H99=""),"",IFERROR(MIN(1,SUMIF(SEMANAL!$C$7:$C$506,A99,SEMANAL!$W$7:$W$506)/H99),0))</f>
        <v/>
      </c>
      <c r="O99" s="26"/>
      <c r="P99" s="26"/>
      <c r="Q99" s="26"/>
      <c r="R99" s="26"/>
      <c r="S99" s="26"/>
      <c r="T99" s="26"/>
      <c r="U99" s="9"/>
    </row>
    <row r="100" customFormat="false" ht="15" hidden="false" customHeight="false" outlineLevel="0" collapsed="false">
      <c r="A100" s="9"/>
      <c r="B100" s="9"/>
      <c r="C100" s="9"/>
      <c r="D100" s="18" t="str">
        <f aca="false">IF(C100="","",IFERROR(INDEX(MASTER!$B$19:$B$38,MATCH(C100,MASTER!$A$19:$A$38,0)),"ID no existe"))</f>
        <v/>
      </c>
      <c r="E100" s="9"/>
      <c r="F100" s="9"/>
      <c r="G100" s="9"/>
      <c r="H100" s="25"/>
      <c r="I100" s="14"/>
      <c r="J100" s="14"/>
      <c r="K100" s="18" t="str">
        <f aca="false">IF(A100="","",COUNTIF(RESTRICCIONES!$B$5:$B$304,A100))</f>
        <v/>
      </c>
      <c r="L100" s="18" t="str">
        <f aca="false">IF(A100="","",COUNTIFS(RESTRICCIONES!$B$5:$B$304,A100,RESTRICCIONES!$L$5:$L$304,"Pendiente"))</f>
        <v/>
      </c>
      <c r="M100" s="16" t="str">
        <f aca="false">IF(A100="","",IF(L100=0,"LISTA","RESTRINGIDA"))</f>
        <v/>
      </c>
      <c r="N100" s="19" t="str">
        <f aca="false">IF(OR(A100="",H100=""),"",IFERROR(MIN(1,SUMIF(SEMANAL!$C$7:$C$506,A100,SEMANAL!$W$7:$W$506)/H100),0))</f>
        <v/>
      </c>
      <c r="O100" s="26"/>
      <c r="P100" s="26"/>
      <c r="Q100" s="26"/>
      <c r="R100" s="26"/>
      <c r="S100" s="26"/>
      <c r="T100" s="26"/>
      <c r="U100" s="9"/>
    </row>
    <row r="101" customFormat="false" ht="15" hidden="false" customHeight="false" outlineLevel="0" collapsed="false">
      <c r="A101" s="9"/>
      <c r="B101" s="9"/>
      <c r="C101" s="9"/>
      <c r="D101" s="18" t="str">
        <f aca="false">IF(C101="","",IFERROR(INDEX(MASTER!$B$19:$B$38,MATCH(C101,MASTER!$A$19:$A$38,0)),"ID no existe"))</f>
        <v/>
      </c>
      <c r="E101" s="9"/>
      <c r="F101" s="9"/>
      <c r="G101" s="9"/>
      <c r="H101" s="25"/>
      <c r="I101" s="14"/>
      <c r="J101" s="14"/>
      <c r="K101" s="18" t="str">
        <f aca="false">IF(A101="","",COUNTIF(RESTRICCIONES!$B$5:$B$304,A101))</f>
        <v/>
      </c>
      <c r="L101" s="18" t="str">
        <f aca="false">IF(A101="","",COUNTIFS(RESTRICCIONES!$B$5:$B$304,A101,RESTRICCIONES!$L$5:$L$304,"Pendiente"))</f>
        <v/>
      </c>
      <c r="M101" s="16" t="str">
        <f aca="false">IF(A101="","",IF(L101=0,"LISTA","RESTRINGIDA"))</f>
        <v/>
      </c>
      <c r="N101" s="19" t="str">
        <f aca="false">IF(OR(A101="",H101=""),"",IFERROR(MIN(1,SUMIF(SEMANAL!$C$7:$C$506,A101,SEMANAL!$W$7:$W$506)/H101),0))</f>
        <v/>
      </c>
      <c r="O101" s="26"/>
      <c r="P101" s="26"/>
      <c r="Q101" s="26"/>
      <c r="R101" s="26"/>
      <c r="S101" s="26"/>
      <c r="T101" s="26"/>
      <c r="U101" s="9"/>
    </row>
    <row r="102" customFormat="false" ht="15" hidden="false" customHeight="false" outlineLevel="0" collapsed="false">
      <c r="A102" s="9"/>
      <c r="B102" s="9"/>
      <c r="C102" s="9"/>
      <c r="D102" s="18" t="str">
        <f aca="false">IF(C102="","",IFERROR(INDEX(MASTER!$B$19:$B$38,MATCH(C102,MASTER!$A$19:$A$38,0)),"ID no existe"))</f>
        <v/>
      </c>
      <c r="E102" s="9"/>
      <c r="F102" s="9"/>
      <c r="G102" s="9"/>
      <c r="H102" s="25"/>
      <c r="I102" s="14"/>
      <c r="J102" s="14"/>
      <c r="K102" s="18" t="str">
        <f aca="false">IF(A102="","",COUNTIF(RESTRICCIONES!$B$5:$B$304,A102))</f>
        <v/>
      </c>
      <c r="L102" s="18" t="str">
        <f aca="false">IF(A102="","",COUNTIFS(RESTRICCIONES!$B$5:$B$304,A102,RESTRICCIONES!$L$5:$L$304,"Pendiente"))</f>
        <v/>
      </c>
      <c r="M102" s="16" t="str">
        <f aca="false">IF(A102="","",IF(L102=0,"LISTA","RESTRINGIDA"))</f>
        <v/>
      </c>
      <c r="N102" s="19" t="str">
        <f aca="false">IF(OR(A102="",H102=""),"",IFERROR(MIN(1,SUMIF(SEMANAL!$C$7:$C$506,A102,SEMANAL!$W$7:$W$506)/H102),0))</f>
        <v/>
      </c>
      <c r="O102" s="26"/>
      <c r="P102" s="26"/>
      <c r="Q102" s="26"/>
      <c r="R102" s="26"/>
      <c r="S102" s="26"/>
      <c r="T102" s="26"/>
      <c r="U102" s="9"/>
    </row>
    <row r="103" customFormat="false" ht="15" hidden="false" customHeight="false" outlineLevel="0" collapsed="false">
      <c r="A103" s="9"/>
      <c r="B103" s="9"/>
      <c r="C103" s="9"/>
      <c r="D103" s="18" t="str">
        <f aca="false">IF(C103="","",IFERROR(INDEX(MASTER!$B$19:$B$38,MATCH(C103,MASTER!$A$19:$A$38,0)),"ID no existe"))</f>
        <v/>
      </c>
      <c r="E103" s="9"/>
      <c r="F103" s="9"/>
      <c r="G103" s="9"/>
      <c r="H103" s="25"/>
      <c r="I103" s="14"/>
      <c r="J103" s="14"/>
      <c r="K103" s="18" t="str">
        <f aca="false">IF(A103="","",COUNTIF(RESTRICCIONES!$B$5:$B$304,A103))</f>
        <v/>
      </c>
      <c r="L103" s="18" t="str">
        <f aca="false">IF(A103="","",COUNTIFS(RESTRICCIONES!$B$5:$B$304,A103,RESTRICCIONES!$L$5:$L$304,"Pendiente"))</f>
        <v/>
      </c>
      <c r="M103" s="16" t="str">
        <f aca="false">IF(A103="","",IF(L103=0,"LISTA","RESTRINGIDA"))</f>
        <v/>
      </c>
      <c r="N103" s="19" t="str">
        <f aca="false">IF(OR(A103="",H103=""),"",IFERROR(MIN(1,SUMIF(SEMANAL!$C$7:$C$506,A103,SEMANAL!$W$7:$W$506)/H103),0))</f>
        <v/>
      </c>
      <c r="O103" s="26"/>
      <c r="P103" s="26"/>
      <c r="Q103" s="26"/>
      <c r="R103" s="26"/>
      <c r="S103" s="26"/>
      <c r="T103" s="26"/>
      <c r="U103" s="9"/>
    </row>
    <row r="104" customFormat="false" ht="15" hidden="false" customHeight="false" outlineLevel="0" collapsed="false">
      <c r="A104" s="9"/>
      <c r="B104" s="9"/>
      <c r="C104" s="9"/>
      <c r="D104" s="18" t="str">
        <f aca="false">IF(C104="","",IFERROR(INDEX(MASTER!$B$19:$B$38,MATCH(C104,MASTER!$A$19:$A$38,0)),"ID no existe"))</f>
        <v/>
      </c>
      <c r="E104" s="9"/>
      <c r="F104" s="9"/>
      <c r="G104" s="9"/>
      <c r="H104" s="25"/>
      <c r="I104" s="14"/>
      <c r="J104" s="14"/>
      <c r="K104" s="18" t="str">
        <f aca="false">IF(A104="","",COUNTIF(RESTRICCIONES!$B$5:$B$304,A104))</f>
        <v/>
      </c>
      <c r="L104" s="18" t="str">
        <f aca="false">IF(A104="","",COUNTIFS(RESTRICCIONES!$B$5:$B$304,A104,RESTRICCIONES!$L$5:$L$304,"Pendiente"))</f>
        <v/>
      </c>
      <c r="M104" s="16" t="str">
        <f aca="false">IF(A104="","",IF(L104=0,"LISTA","RESTRINGIDA"))</f>
        <v/>
      </c>
      <c r="N104" s="19" t="str">
        <f aca="false">IF(OR(A104="",H104=""),"",IFERROR(MIN(1,SUMIF(SEMANAL!$C$7:$C$506,A104,SEMANAL!$W$7:$W$506)/H104),0))</f>
        <v/>
      </c>
      <c r="O104" s="26"/>
      <c r="P104" s="26"/>
      <c r="Q104" s="26"/>
      <c r="R104" s="26"/>
      <c r="S104" s="26"/>
      <c r="T104" s="26"/>
      <c r="U104" s="9"/>
    </row>
    <row r="105" customFormat="false" ht="15" hidden="false" customHeight="false" outlineLevel="0" collapsed="false">
      <c r="A105" s="9"/>
      <c r="B105" s="9"/>
      <c r="C105" s="9"/>
      <c r="D105" s="18" t="str">
        <f aca="false">IF(C105="","",IFERROR(INDEX(MASTER!$B$19:$B$38,MATCH(C105,MASTER!$A$19:$A$38,0)),"ID no existe"))</f>
        <v/>
      </c>
      <c r="E105" s="9"/>
      <c r="F105" s="9"/>
      <c r="G105" s="9"/>
      <c r="H105" s="25"/>
      <c r="I105" s="14"/>
      <c r="J105" s="14"/>
      <c r="K105" s="18" t="str">
        <f aca="false">IF(A105="","",COUNTIF(RESTRICCIONES!$B$5:$B$304,A105))</f>
        <v/>
      </c>
      <c r="L105" s="18" t="str">
        <f aca="false">IF(A105="","",COUNTIFS(RESTRICCIONES!$B$5:$B$304,A105,RESTRICCIONES!$L$5:$L$304,"Pendiente"))</f>
        <v/>
      </c>
      <c r="M105" s="16" t="str">
        <f aca="false">IF(A105="","",IF(L105=0,"LISTA","RESTRINGIDA"))</f>
        <v/>
      </c>
      <c r="N105" s="19" t="str">
        <f aca="false">IF(OR(A105="",H105=""),"",IFERROR(MIN(1,SUMIF(SEMANAL!$C$7:$C$506,A105,SEMANAL!$W$7:$W$506)/H105),0))</f>
        <v/>
      </c>
      <c r="O105" s="26"/>
      <c r="P105" s="26"/>
      <c r="Q105" s="26"/>
      <c r="R105" s="26"/>
      <c r="S105" s="26"/>
      <c r="T105" s="26"/>
      <c r="U105" s="9"/>
    </row>
    <row r="106" customFormat="false" ht="15" hidden="false" customHeight="false" outlineLevel="0" collapsed="false">
      <c r="A106" s="9"/>
      <c r="B106" s="9"/>
      <c r="C106" s="9"/>
      <c r="D106" s="18" t="str">
        <f aca="false">IF(C106="","",IFERROR(INDEX(MASTER!$B$19:$B$38,MATCH(C106,MASTER!$A$19:$A$38,0)),"ID no existe"))</f>
        <v/>
      </c>
      <c r="E106" s="9"/>
      <c r="F106" s="9"/>
      <c r="G106" s="9"/>
      <c r="H106" s="25"/>
      <c r="I106" s="14"/>
      <c r="J106" s="14"/>
      <c r="K106" s="18" t="str">
        <f aca="false">IF(A106="","",COUNTIF(RESTRICCIONES!$B$5:$B$304,A106))</f>
        <v/>
      </c>
      <c r="L106" s="18" t="str">
        <f aca="false">IF(A106="","",COUNTIFS(RESTRICCIONES!$B$5:$B$304,A106,RESTRICCIONES!$L$5:$L$304,"Pendiente"))</f>
        <v/>
      </c>
      <c r="M106" s="16" t="str">
        <f aca="false">IF(A106="","",IF(L106=0,"LISTA","RESTRINGIDA"))</f>
        <v/>
      </c>
      <c r="N106" s="19" t="str">
        <f aca="false">IF(OR(A106="",H106=""),"",IFERROR(MIN(1,SUMIF(SEMANAL!$C$7:$C$506,A106,SEMANAL!$W$7:$W$506)/H106),0))</f>
        <v/>
      </c>
      <c r="O106" s="26"/>
      <c r="P106" s="26"/>
      <c r="Q106" s="26"/>
      <c r="R106" s="26"/>
      <c r="S106" s="26"/>
      <c r="T106" s="26"/>
      <c r="U106" s="9"/>
    </row>
    <row r="107" customFormat="false" ht="15" hidden="false" customHeight="false" outlineLevel="0" collapsed="false">
      <c r="A107" s="9"/>
      <c r="B107" s="9"/>
      <c r="C107" s="9"/>
      <c r="D107" s="18" t="str">
        <f aca="false">IF(C107="","",IFERROR(INDEX(MASTER!$B$19:$B$38,MATCH(C107,MASTER!$A$19:$A$38,0)),"ID no existe"))</f>
        <v/>
      </c>
      <c r="E107" s="9"/>
      <c r="F107" s="9"/>
      <c r="G107" s="9"/>
      <c r="H107" s="25"/>
      <c r="I107" s="14"/>
      <c r="J107" s="14"/>
      <c r="K107" s="18" t="str">
        <f aca="false">IF(A107="","",COUNTIF(RESTRICCIONES!$B$5:$B$304,A107))</f>
        <v/>
      </c>
      <c r="L107" s="18" t="str">
        <f aca="false">IF(A107="","",COUNTIFS(RESTRICCIONES!$B$5:$B$304,A107,RESTRICCIONES!$L$5:$L$304,"Pendiente"))</f>
        <v/>
      </c>
      <c r="M107" s="16" t="str">
        <f aca="false">IF(A107="","",IF(L107=0,"LISTA","RESTRINGIDA"))</f>
        <v/>
      </c>
      <c r="N107" s="19" t="str">
        <f aca="false">IF(OR(A107="",H107=""),"",IFERROR(MIN(1,SUMIF(SEMANAL!$C$7:$C$506,A107,SEMANAL!$W$7:$W$506)/H107),0))</f>
        <v/>
      </c>
      <c r="O107" s="26"/>
      <c r="P107" s="26"/>
      <c r="Q107" s="26"/>
      <c r="R107" s="26"/>
      <c r="S107" s="26"/>
      <c r="T107" s="26"/>
      <c r="U107" s="9"/>
    </row>
    <row r="108" customFormat="false" ht="15" hidden="false" customHeight="false" outlineLevel="0" collapsed="false">
      <c r="A108" s="9"/>
      <c r="B108" s="9"/>
      <c r="C108" s="9"/>
      <c r="D108" s="18" t="str">
        <f aca="false">IF(C108="","",IFERROR(INDEX(MASTER!$B$19:$B$38,MATCH(C108,MASTER!$A$19:$A$38,0)),"ID no existe"))</f>
        <v/>
      </c>
      <c r="E108" s="9"/>
      <c r="F108" s="9"/>
      <c r="G108" s="9"/>
      <c r="H108" s="25"/>
      <c r="I108" s="14"/>
      <c r="J108" s="14"/>
      <c r="K108" s="18" t="str">
        <f aca="false">IF(A108="","",COUNTIF(RESTRICCIONES!$B$5:$B$304,A108))</f>
        <v/>
      </c>
      <c r="L108" s="18" t="str">
        <f aca="false">IF(A108="","",COUNTIFS(RESTRICCIONES!$B$5:$B$304,A108,RESTRICCIONES!$L$5:$L$304,"Pendiente"))</f>
        <v/>
      </c>
      <c r="M108" s="16" t="str">
        <f aca="false">IF(A108="","",IF(L108=0,"LISTA","RESTRINGIDA"))</f>
        <v/>
      </c>
      <c r="N108" s="19" t="str">
        <f aca="false">IF(OR(A108="",H108=""),"",IFERROR(MIN(1,SUMIF(SEMANAL!$C$7:$C$506,A108,SEMANAL!$W$7:$W$506)/H108),0))</f>
        <v/>
      </c>
      <c r="O108" s="26"/>
      <c r="P108" s="26"/>
      <c r="Q108" s="26"/>
      <c r="R108" s="26"/>
      <c r="S108" s="26"/>
      <c r="T108" s="26"/>
      <c r="U108" s="9"/>
    </row>
    <row r="109" customFormat="false" ht="15" hidden="false" customHeight="false" outlineLevel="0" collapsed="false">
      <c r="A109" s="9"/>
      <c r="B109" s="9"/>
      <c r="C109" s="9"/>
      <c r="D109" s="18" t="str">
        <f aca="false">IF(C109="","",IFERROR(INDEX(MASTER!$B$19:$B$38,MATCH(C109,MASTER!$A$19:$A$38,0)),"ID no existe"))</f>
        <v/>
      </c>
      <c r="E109" s="9"/>
      <c r="F109" s="9"/>
      <c r="G109" s="9"/>
      <c r="H109" s="25"/>
      <c r="I109" s="14"/>
      <c r="J109" s="14"/>
      <c r="K109" s="18" t="str">
        <f aca="false">IF(A109="","",COUNTIF(RESTRICCIONES!$B$5:$B$304,A109))</f>
        <v/>
      </c>
      <c r="L109" s="18" t="str">
        <f aca="false">IF(A109="","",COUNTIFS(RESTRICCIONES!$B$5:$B$304,A109,RESTRICCIONES!$L$5:$L$304,"Pendiente"))</f>
        <v/>
      </c>
      <c r="M109" s="16" t="str">
        <f aca="false">IF(A109="","",IF(L109=0,"LISTA","RESTRINGIDA"))</f>
        <v/>
      </c>
      <c r="N109" s="19" t="str">
        <f aca="false">IF(OR(A109="",H109=""),"",IFERROR(MIN(1,SUMIF(SEMANAL!$C$7:$C$506,A109,SEMANAL!$W$7:$W$506)/H109),0))</f>
        <v/>
      </c>
      <c r="O109" s="26"/>
      <c r="P109" s="26"/>
      <c r="Q109" s="26"/>
      <c r="R109" s="26"/>
      <c r="S109" s="26"/>
      <c r="T109" s="26"/>
      <c r="U109" s="9"/>
    </row>
    <row r="110" customFormat="false" ht="15" hidden="false" customHeight="false" outlineLevel="0" collapsed="false">
      <c r="A110" s="9"/>
      <c r="B110" s="9"/>
      <c r="C110" s="9"/>
      <c r="D110" s="18" t="str">
        <f aca="false">IF(C110="","",IFERROR(INDEX(MASTER!$B$19:$B$38,MATCH(C110,MASTER!$A$19:$A$38,0)),"ID no existe"))</f>
        <v/>
      </c>
      <c r="E110" s="9"/>
      <c r="F110" s="9"/>
      <c r="G110" s="9"/>
      <c r="H110" s="25"/>
      <c r="I110" s="14"/>
      <c r="J110" s="14"/>
      <c r="K110" s="18" t="str">
        <f aca="false">IF(A110="","",COUNTIF(RESTRICCIONES!$B$5:$B$304,A110))</f>
        <v/>
      </c>
      <c r="L110" s="18" t="str">
        <f aca="false">IF(A110="","",COUNTIFS(RESTRICCIONES!$B$5:$B$304,A110,RESTRICCIONES!$L$5:$L$304,"Pendiente"))</f>
        <v/>
      </c>
      <c r="M110" s="16" t="str">
        <f aca="false">IF(A110="","",IF(L110=0,"LISTA","RESTRINGIDA"))</f>
        <v/>
      </c>
      <c r="N110" s="19" t="str">
        <f aca="false">IF(OR(A110="",H110=""),"",IFERROR(MIN(1,SUMIF(SEMANAL!$C$7:$C$506,A110,SEMANAL!$W$7:$W$506)/H110),0))</f>
        <v/>
      </c>
      <c r="O110" s="26"/>
      <c r="P110" s="26"/>
      <c r="Q110" s="26"/>
      <c r="R110" s="26"/>
      <c r="S110" s="26"/>
      <c r="T110" s="26"/>
      <c r="U110" s="9"/>
    </row>
    <row r="111" customFormat="false" ht="15" hidden="false" customHeight="false" outlineLevel="0" collapsed="false">
      <c r="A111" s="9"/>
      <c r="B111" s="9"/>
      <c r="C111" s="9"/>
      <c r="D111" s="18" t="str">
        <f aca="false">IF(C111="","",IFERROR(INDEX(MASTER!$B$19:$B$38,MATCH(C111,MASTER!$A$19:$A$38,0)),"ID no existe"))</f>
        <v/>
      </c>
      <c r="E111" s="9"/>
      <c r="F111" s="9"/>
      <c r="G111" s="9"/>
      <c r="H111" s="25"/>
      <c r="I111" s="14"/>
      <c r="J111" s="14"/>
      <c r="K111" s="18" t="str">
        <f aca="false">IF(A111="","",COUNTIF(RESTRICCIONES!$B$5:$B$304,A111))</f>
        <v/>
      </c>
      <c r="L111" s="18" t="str">
        <f aca="false">IF(A111="","",COUNTIFS(RESTRICCIONES!$B$5:$B$304,A111,RESTRICCIONES!$L$5:$L$304,"Pendiente"))</f>
        <v/>
      </c>
      <c r="M111" s="16" t="str">
        <f aca="false">IF(A111="","",IF(L111=0,"LISTA","RESTRINGIDA"))</f>
        <v/>
      </c>
      <c r="N111" s="19" t="str">
        <f aca="false">IF(OR(A111="",H111=""),"",IFERROR(MIN(1,SUMIF(SEMANAL!$C$7:$C$506,A111,SEMANAL!$W$7:$W$506)/H111),0))</f>
        <v/>
      </c>
      <c r="O111" s="26"/>
      <c r="P111" s="26"/>
      <c r="Q111" s="26"/>
      <c r="R111" s="26"/>
      <c r="S111" s="26"/>
      <c r="T111" s="26"/>
      <c r="U111" s="9"/>
    </row>
    <row r="112" customFormat="false" ht="15" hidden="false" customHeight="false" outlineLevel="0" collapsed="false">
      <c r="A112" s="9"/>
      <c r="B112" s="9"/>
      <c r="C112" s="9"/>
      <c r="D112" s="18" t="str">
        <f aca="false">IF(C112="","",IFERROR(INDEX(MASTER!$B$19:$B$38,MATCH(C112,MASTER!$A$19:$A$38,0)),"ID no existe"))</f>
        <v/>
      </c>
      <c r="E112" s="9"/>
      <c r="F112" s="9"/>
      <c r="G112" s="9"/>
      <c r="H112" s="25"/>
      <c r="I112" s="14"/>
      <c r="J112" s="14"/>
      <c r="K112" s="18" t="str">
        <f aca="false">IF(A112="","",COUNTIF(RESTRICCIONES!$B$5:$B$304,A112))</f>
        <v/>
      </c>
      <c r="L112" s="18" t="str">
        <f aca="false">IF(A112="","",COUNTIFS(RESTRICCIONES!$B$5:$B$304,A112,RESTRICCIONES!$L$5:$L$304,"Pendiente"))</f>
        <v/>
      </c>
      <c r="M112" s="16" t="str">
        <f aca="false">IF(A112="","",IF(L112=0,"LISTA","RESTRINGIDA"))</f>
        <v/>
      </c>
      <c r="N112" s="19" t="str">
        <f aca="false">IF(OR(A112="",H112=""),"",IFERROR(MIN(1,SUMIF(SEMANAL!$C$7:$C$506,A112,SEMANAL!$W$7:$W$506)/H112),0))</f>
        <v/>
      </c>
      <c r="O112" s="26"/>
      <c r="P112" s="26"/>
      <c r="Q112" s="26"/>
      <c r="R112" s="26"/>
      <c r="S112" s="26"/>
      <c r="T112" s="26"/>
      <c r="U112" s="9"/>
    </row>
    <row r="113" customFormat="false" ht="15" hidden="false" customHeight="false" outlineLevel="0" collapsed="false">
      <c r="A113" s="9"/>
      <c r="B113" s="9"/>
      <c r="C113" s="9"/>
      <c r="D113" s="18" t="str">
        <f aca="false">IF(C113="","",IFERROR(INDEX(MASTER!$B$19:$B$38,MATCH(C113,MASTER!$A$19:$A$38,0)),"ID no existe"))</f>
        <v/>
      </c>
      <c r="E113" s="9"/>
      <c r="F113" s="9"/>
      <c r="G113" s="9"/>
      <c r="H113" s="25"/>
      <c r="I113" s="14"/>
      <c r="J113" s="14"/>
      <c r="K113" s="18" t="str">
        <f aca="false">IF(A113="","",COUNTIF(RESTRICCIONES!$B$5:$B$304,A113))</f>
        <v/>
      </c>
      <c r="L113" s="18" t="str">
        <f aca="false">IF(A113="","",COUNTIFS(RESTRICCIONES!$B$5:$B$304,A113,RESTRICCIONES!$L$5:$L$304,"Pendiente"))</f>
        <v/>
      </c>
      <c r="M113" s="16" t="str">
        <f aca="false">IF(A113="","",IF(L113=0,"LISTA","RESTRINGIDA"))</f>
        <v/>
      </c>
      <c r="N113" s="19" t="str">
        <f aca="false">IF(OR(A113="",H113=""),"",IFERROR(MIN(1,SUMIF(SEMANAL!$C$7:$C$506,A113,SEMANAL!$W$7:$W$506)/H113),0))</f>
        <v/>
      </c>
      <c r="O113" s="26"/>
      <c r="P113" s="26"/>
      <c r="Q113" s="26"/>
      <c r="R113" s="26"/>
      <c r="S113" s="26"/>
      <c r="T113" s="26"/>
      <c r="U113" s="9"/>
    </row>
    <row r="114" customFormat="false" ht="15" hidden="false" customHeight="false" outlineLevel="0" collapsed="false">
      <c r="A114" s="9"/>
      <c r="B114" s="9"/>
      <c r="C114" s="9"/>
      <c r="D114" s="18" t="str">
        <f aca="false">IF(C114="","",IFERROR(INDEX(MASTER!$B$19:$B$38,MATCH(C114,MASTER!$A$19:$A$38,0)),"ID no existe"))</f>
        <v/>
      </c>
      <c r="E114" s="9"/>
      <c r="F114" s="9"/>
      <c r="G114" s="9"/>
      <c r="H114" s="25"/>
      <c r="I114" s="14"/>
      <c r="J114" s="14"/>
      <c r="K114" s="18" t="str">
        <f aca="false">IF(A114="","",COUNTIF(RESTRICCIONES!$B$5:$B$304,A114))</f>
        <v/>
      </c>
      <c r="L114" s="18" t="str">
        <f aca="false">IF(A114="","",COUNTIFS(RESTRICCIONES!$B$5:$B$304,A114,RESTRICCIONES!$L$5:$L$304,"Pendiente"))</f>
        <v/>
      </c>
      <c r="M114" s="16" t="str">
        <f aca="false">IF(A114="","",IF(L114=0,"LISTA","RESTRINGIDA"))</f>
        <v/>
      </c>
      <c r="N114" s="19" t="str">
        <f aca="false">IF(OR(A114="",H114=""),"",IFERROR(MIN(1,SUMIF(SEMANAL!$C$7:$C$506,A114,SEMANAL!$W$7:$W$506)/H114),0))</f>
        <v/>
      </c>
      <c r="O114" s="26"/>
      <c r="P114" s="26"/>
      <c r="Q114" s="26"/>
      <c r="R114" s="26"/>
      <c r="S114" s="26"/>
      <c r="T114" s="26"/>
      <c r="U114" s="9"/>
    </row>
    <row r="115" customFormat="false" ht="15" hidden="false" customHeight="false" outlineLevel="0" collapsed="false">
      <c r="A115" s="9"/>
      <c r="B115" s="9"/>
      <c r="C115" s="9"/>
      <c r="D115" s="18" t="str">
        <f aca="false">IF(C115="","",IFERROR(INDEX(MASTER!$B$19:$B$38,MATCH(C115,MASTER!$A$19:$A$38,0)),"ID no existe"))</f>
        <v/>
      </c>
      <c r="E115" s="9"/>
      <c r="F115" s="9"/>
      <c r="G115" s="9"/>
      <c r="H115" s="25"/>
      <c r="I115" s="14"/>
      <c r="J115" s="14"/>
      <c r="K115" s="18" t="str">
        <f aca="false">IF(A115="","",COUNTIF(RESTRICCIONES!$B$5:$B$304,A115))</f>
        <v/>
      </c>
      <c r="L115" s="18" t="str">
        <f aca="false">IF(A115="","",COUNTIFS(RESTRICCIONES!$B$5:$B$304,A115,RESTRICCIONES!$L$5:$L$304,"Pendiente"))</f>
        <v/>
      </c>
      <c r="M115" s="16" t="str">
        <f aca="false">IF(A115="","",IF(L115=0,"LISTA","RESTRINGIDA"))</f>
        <v/>
      </c>
      <c r="N115" s="19" t="str">
        <f aca="false">IF(OR(A115="",H115=""),"",IFERROR(MIN(1,SUMIF(SEMANAL!$C$7:$C$506,A115,SEMANAL!$W$7:$W$506)/H115),0))</f>
        <v/>
      </c>
      <c r="O115" s="26"/>
      <c r="P115" s="26"/>
      <c r="Q115" s="26"/>
      <c r="R115" s="26"/>
      <c r="S115" s="26"/>
      <c r="T115" s="26"/>
      <c r="U115" s="9"/>
    </row>
    <row r="116" customFormat="false" ht="15" hidden="false" customHeight="false" outlineLevel="0" collapsed="false">
      <c r="A116" s="9"/>
      <c r="B116" s="9"/>
      <c r="C116" s="9"/>
      <c r="D116" s="18" t="str">
        <f aca="false">IF(C116="","",IFERROR(INDEX(MASTER!$B$19:$B$38,MATCH(C116,MASTER!$A$19:$A$38,0)),"ID no existe"))</f>
        <v/>
      </c>
      <c r="E116" s="9"/>
      <c r="F116" s="9"/>
      <c r="G116" s="9"/>
      <c r="H116" s="25"/>
      <c r="I116" s="14"/>
      <c r="J116" s="14"/>
      <c r="K116" s="18" t="str">
        <f aca="false">IF(A116="","",COUNTIF(RESTRICCIONES!$B$5:$B$304,A116))</f>
        <v/>
      </c>
      <c r="L116" s="18" t="str">
        <f aca="false">IF(A116="","",COUNTIFS(RESTRICCIONES!$B$5:$B$304,A116,RESTRICCIONES!$L$5:$L$304,"Pendiente"))</f>
        <v/>
      </c>
      <c r="M116" s="16" t="str">
        <f aca="false">IF(A116="","",IF(L116=0,"LISTA","RESTRINGIDA"))</f>
        <v/>
      </c>
      <c r="N116" s="19" t="str">
        <f aca="false">IF(OR(A116="",H116=""),"",IFERROR(MIN(1,SUMIF(SEMANAL!$C$7:$C$506,A116,SEMANAL!$W$7:$W$506)/H116),0))</f>
        <v/>
      </c>
      <c r="O116" s="26"/>
      <c r="P116" s="26"/>
      <c r="Q116" s="26"/>
      <c r="R116" s="26"/>
      <c r="S116" s="26"/>
      <c r="T116" s="26"/>
      <c r="U116" s="9"/>
    </row>
    <row r="117" customFormat="false" ht="15" hidden="false" customHeight="false" outlineLevel="0" collapsed="false">
      <c r="A117" s="9"/>
      <c r="B117" s="9"/>
      <c r="C117" s="9"/>
      <c r="D117" s="18" t="str">
        <f aca="false">IF(C117="","",IFERROR(INDEX(MASTER!$B$19:$B$38,MATCH(C117,MASTER!$A$19:$A$38,0)),"ID no existe"))</f>
        <v/>
      </c>
      <c r="E117" s="9"/>
      <c r="F117" s="9"/>
      <c r="G117" s="9"/>
      <c r="H117" s="25"/>
      <c r="I117" s="14"/>
      <c r="J117" s="14"/>
      <c r="K117" s="18" t="str">
        <f aca="false">IF(A117="","",COUNTIF(RESTRICCIONES!$B$5:$B$304,A117))</f>
        <v/>
      </c>
      <c r="L117" s="18" t="str">
        <f aca="false">IF(A117="","",COUNTIFS(RESTRICCIONES!$B$5:$B$304,A117,RESTRICCIONES!$L$5:$L$304,"Pendiente"))</f>
        <v/>
      </c>
      <c r="M117" s="16" t="str">
        <f aca="false">IF(A117="","",IF(L117=0,"LISTA","RESTRINGIDA"))</f>
        <v/>
      </c>
      <c r="N117" s="19" t="str">
        <f aca="false">IF(OR(A117="",H117=""),"",IFERROR(MIN(1,SUMIF(SEMANAL!$C$7:$C$506,A117,SEMANAL!$W$7:$W$506)/H117),0))</f>
        <v/>
      </c>
      <c r="O117" s="26"/>
      <c r="P117" s="26"/>
      <c r="Q117" s="26"/>
      <c r="R117" s="26"/>
      <c r="S117" s="26"/>
      <c r="T117" s="26"/>
      <c r="U117" s="9"/>
    </row>
    <row r="118" customFormat="false" ht="15" hidden="false" customHeight="false" outlineLevel="0" collapsed="false">
      <c r="A118" s="9"/>
      <c r="B118" s="9"/>
      <c r="C118" s="9"/>
      <c r="D118" s="18" t="str">
        <f aca="false">IF(C118="","",IFERROR(INDEX(MASTER!$B$19:$B$38,MATCH(C118,MASTER!$A$19:$A$38,0)),"ID no existe"))</f>
        <v/>
      </c>
      <c r="E118" s="9"/>
      <c r="F118" s="9"/>
      <c r="G118" s="9"/>
      <c r="H118" s="25"/>
      <c r="I118" s="14"/>
      <c r="J118" s="14"/>
      <c r="K118" s="18" t="str">
        <f aca="false">IF(A118="","",COUNTIF(RESTRICCIONES!$B$5:$B$304,A118))</f>
        <v/>
      </c>
      <c r="L118" s="18" t="str">
        <f aca="false">IF(A118="","",COUNTIFS(RESTRICCIONES!$B$5:$B$304,A118,RESTRICCIONES!$L$5:$L$304,"Pendiente"))</f>
        <v/>
      </c>
      <c r="M118" s="16" t="str">
        <f aca="false">IF(A118="","",IF(L118=0,"LISTA","RESTRINGIDA"))</f>
        <v/>
      </c>
      <c r="N118" s="19" t="str">
        <f aca="false">IF(OR(A118="",H118=""),"",IFERROR(MIN(1,SUMIF(SEMANAL!$C$7:$C$506,A118,SEMANAL!$W$7:$W$506)/H118),0))</f>
        <v/>
      </c>
      <c r="O118" s="26"/>
      <c r="P118" s="26"/>
      <c r="Q118" s="26"/>
      <c r="R118" s="26"/>
      <c r="S118" s="26"/>
      <c r="T118" s="26"/>
      <c r="U118" s="9"/>
    </row>
    <row r="119" customFormat="false" ht="15" hidden="false" customHeight="false" outlineLevel="0" collapsed="false">
      <c r="A119" s="9"/>
      <c r="B119" s="9"/>
      <c r="C119" s="9"/>
      <c r="D119" s="18" t="str">
        <f aca="false">IF(C119="","",IFERROR(INDEX(MASTER!$B$19:$B$38,MATCH(C119,MASTER!$A$19:$A$38,0)),"ID no existe"))</f>
        <v/>
      </c>
      <c r="E119" s="9"/>
      <c r="F119" s="9"/>
      <c r="G119" s="9"/>
      <c r="H119" s="25"/>
      <c r="I119" s="14"/>
      <c r="J119" s="14"/>
      <c r="K119" s="18" t="str">
        <f aca="false">IF(A119="","",COUNTIF(RESTRICCIONES!$B$5:$B$304,A119))</f>
        <v/>
      </c>
      <c r="L119" s="18" t="str">
        <f aca="false">IF(A119="","",COUNTIFS(RESTRICCIONES!$B$5:$B$304,A119,RESTRICCIONES!$L$5:$L$304,"Pendiente"))</f>
        <v/>
      </c>
      <c r="M119" s="16" t="str">
        <f aca="false">IF(A119="","",IF(L119=0,"LISTA","RESTRINGIDA"))</f>
        <v/>
      </c>
      <c r="N119" s="19" t="str">
        <f aca="false">IF(OR(A119="",H119=""),"",IFERROR(MIN(1,SUMIF(SEMANAL!$C$7:$C$506,A119,SEMANAL!$W$7:$W$506)/H119),0))</f>
        <v/>
      </c>
      <c r="O119" s="26"/>
      <c r="P119" s="26"/>
      <c r="Q119" s="26"/>
      <c r="R119" s="26"/>
      <c r="S119" s="26"/>
      <c r="T119" s="26"/>
      <c r="U119" s="9"/>
    </row>
    <row r="120" customFormat="false" ht="15" hidden="false" customHeight="false" outlineLevel="0" collapsed="false">
      <c r="A120" s="9"/>
      <c r="B120" s="9"/>
      <c r="C120" s="9"/>
      <c r="D120" s="18" t="str">
        <f aca="false">IF(C120="","",IFERROR(INDEX(MASTER!$B$19:$B$38,MATCH(C120,MASTER!$A$19:$A$38,0)),"ID no existe"))</f>
        <v/>
      </c>
      <c r="E120" s="9"/>
      <c r="F120" s="9"/>
      <c r="G120" s="9"/>
      <c r="H120" s="25"/>
      <c r="I120" s="14"/>
      <c r="J120" s="14"/>
      <c r="K120" s="18" t="str">
        <f aca="false">IF(A120="","",COUNTIF(RESTRICCIONES!$B$5:$B$304,A120))</f>
        <v/>
      </c>
      <c r="L120" s="18" t="str">
        <f aca="false">IF(A120="","",COUNTIFS(RESTRICCIONES!$B$5:$B$304,A120,RESTRICCIONES!$L$5:$L$304,"Pendiente"))</f>
        <v/>
      </c>
      <c r="M120" s="16" t="str">
        <f aca="false">IF(A120="","",IF(L120=0,"LISTA","RESTRINGIDA"))</f>
        <v/>
      </c>
      <c r="N120" s="19" t="str">
        <f aca="false">IF(OR(A120="",H120=""),"",IFERROR(MIN(1,SUMIF(SEMANAL!$C$7:$C$506,A120,SEMANAL!$W$7:$W$506)/H120),0))</f>
        <v/>
      </c>
      <c r="O120" s="26"/>
      <c r="P120" s="26"/>
      <c r="Q120" s="26"/>
      <c r="R120" s="26"/>
      <c r="S120" s="26"/>
      <c r="T120" s="26"/>
      <c r="U120" s="9"/>
    </row>
    <row r="121" customFormat="false" ht="15" hidden="false" customHeight="false" outlineLevel="0" collapsed="false">
      <c r="A121" s="9"/>
      <c r="B121" s="9"/>
      <c r="C121" s="9"/>
      <c r="D121" s="18" t="str">
        <f aca="false">IF(C121="","",IFERROR(INDEX(MASTER!$B$19:$B$38,MATCH(C121,MASTER!$A$19:$A$38,0)),"ID no existe"))</f>
        <v/>
      </c>
      <c r="E121" s="9"/>
      <c r="F121" s="9"/>
      <c r="G121" s="9"/>
      <c r="H121" s="25"/>
      <c r="I121" s="14"/>
      <c r="J121" s="14"/>
      <c r="K121" s="18" t="str">
        <f aca="false">IF(A121="","",COUNTIF(RESTRICCIONES!$B$5:$B$304,A121))</f>
        <v/>
      </c>
      <c r="L121" s="18" t="str">
        <f aca="false">IF(A121="","",COUNTIFS(RESTRICCIONES!$B$5:$B$304,A121,RESTRICCIONES!$L$5:$L$304,"Pendiente"))</f>
        <v/>
      </c>
      <c r="M121" s="16" t="str">
        <f aca="false">IF(A121="","",IF(L121=0,"LISTA","RESTRINGIDA"))</f>
        <v/>
      </c>
      <c r="N121" s="19" t="str">
        <f aca="false">IF(OR(A121="",H121=""),"",IFERROR(MIN(1,SUMIF(SEMANAL!$C$7:$C$506,A121,SEMANAL!$W$7:$W$506)/H121),0))</f>
        <v/>
      </c>
      <c r="O121" s="26"/>
      <c r="P121" s="26"/>
      <c r="Q121" s="26"/>
      <c r="R121" s="26"/>
      <c r="S121" s="26"/>
      <c r="T121" s="26"/>
      <c r="U121" s="9"/>
    </row>
    <row r="122" customFormat="false" ht="15" hidden="false" customHeight="false" outlineLevel="0" collapsed="false">
      <c r="A122" s="9"/>
      <c r="B122" s="9"/>
      <c r="C122" s="9"/>
      <c r="D122" s="18" t="str">
        <f aca="false">IF(C122="","",IFERROR(INDEX(MASTER!$B$19:$B$38,MATCH(C122,MASTER!$A$19:$A$38,0)),"ID no existe"))</f>
        <v/>
      </c>
      <c r="E122" s="9"/>
      <c r="F122" s="9"/>
      <c r="G122" s="9"/>
      <c r="H122" s="25"/>
      <c r="I122" s="14"/>
      <c r="J122" s="14"/>
      <c r="K122" s="18" t="str">
        <f aca="false">IF(A122="","",COUNTIF(RESTRICCIONES!$B$5:$B$304,A122))</f>
        <v/>
      </c>
      <c r="L122" s="18" t="str">
        <f aca="false">IF(A122="","",COUNTIFS(RESTRICCIONES!$B$5:$B$304,A122,RESTRICCIONES!$L$5:$L$304,"Pendiente"))</f>
        <v/>
      </c>
      <c r="M122" s="16" t="str">
        <f aca="false">IF(A122="","",IF(L122=0,"LISTA","RESTRINGIDA"))</f>
        <v/>
      </c>
      <c r="N122" s="19" t="str">
        <f aca="false">IF(OR(A122="",H122=""),"",IFERROR(MIN(1,SUMIF(SEMANAL!$C$7:$C$506,A122,SEMANAL!$W$7:$W$506)/H122),0))</f>
        <v/>
      </c>
      <c r="O122" s="26"/>
      <c r="P122" s="26"/>
      <c r="Q122" s="26"/>
      <c r="R122" s="26"/>
      <c r="S122" s="26"/>
      <c r="T122" s="26"/>
      <c r="U122" s="9"/>
    </row>
    <row r="123" customFormat="false" ht="15" hidden="false" customHeight="false" outlineLevel="0" collapsed="false">
      <c r="A123" s="9"/>
      <c r="B123" s="9"/>
      <c r="C123" s="9"/>
      <c r="D123" s="18" t="str">
        <f aca="false">IF(C123="","",IFERROR(INDEX(MASTER!$B$19:$B$38,MATCH(C123,MASTER!$A$19:$A$38,0)),"ID no existe"))</f>
        <v/>
      </c>
      <c r="E123" s="9"/>
      <c r="F123" s="9"/>
      <c r="G123" s="9"/>
      <c r="H123" s="25"/>
      <c r="I123" s="14"/>
      <c r="J123" s="14"/>
      <c r="K123" s="18" t="str">
        <f aca="false">IF(A123="","",COUNTIF(RESTRICCIONES!$B$5:$B$304,A123))</f>
        <v/>
      </c>
      <c r="L123" s="18" t="str">
        <f aca="false">IF(A123="","",COUNTIFS(RESTRICCIONES!$B$5:$B$304,A123,RESTRICCIONES!$L$5:$L$304,"Pendiente"))</f>
        <v/>
      </c>
      <c r="M123" s="16" t="str">
        <f aca="false">IF(A123="","",IF(L123=0,"LISTA","RESTRINGIDA"))</f>
        <v/>
      </c>
      <c r="N123" s="19" t="str">
        <f aca="false">IF(OR(A123="",H123=""),"",IFERROR(MIN(1,SUMIF(SEMANAL!$C$7:$C$506,A123,SEMANAL!$W$7:$W$506)/H123),0))</f>
        <v/>
      </c>
      <c r="O123" s="26"/>
      <c r="P123" s="26"/>
      <c r="Q123" s="26"/>
      <c r="R123" s="26"/>
      <c r="S123" s="26"/>
      <c r="T123" s="26"/>
      <c r="U123" s="9"/>
    </row>
    <row r="124" customFormat="false" ht="15" hidden="false" customHeight="false" outlineLevel="0" collapsed="false">
      <c r="A124" s="9"/>
      <c r="B124" s="9"/>
      <c r="C124" s="9"/>
      <c r="D124" s="18" t="str">
        <f aca="false">IF(C124="","",IFERROR(INDEX(MASTER!$B$19:$B$38,MATCH(C124,MASTER!$A$19:$A$38,0)),"ID no existe"))</f>
        <v/>
      </c>
      <c r="E124" s="9"/>
      <c r="F124" s="9"/>
      <c r="G124" s="9"/>
      <c r="H124" s="25"/>
      <c r="I124" s="14"/>
      <c r="J124" s="14"/>
      <c r="K124" s="18" t="str">
        <f aca="false">IF(A124="","",COUNTIF(RESTRICCIONES!$B$5:$B$304,A124))</f>
        <v/>
      </c>
      <c r="L124" s="18" t="str">
        <f aca="false">IF(A124="","",COUNTIFS(RESTRICCIONES!$B$5:$B$304,A124,RESTRICCIONES!$L$5:$L$304,"Pendiente"))</f>
        <v/>
      </c>
      <c r="M124" s="16" t="str">
        <f aca="false">IF(A124="","",IF(L124=0,"LISTA","RESTRINGIDA"))</f>
        <v/>
      </c>
      <c r="N124" s="19" t="str">
        <f aca="false">IF(OR(A124="",H124=""),"",IFERROR(MIN(1,SUMIF(SEMANAL!$C$7:$C$506,A124,SEMANAL!$W$7:$W$506)/H124),0))</f>
        <v/>
      </c>
      <c r="O124" s="26"/>
      <c r="P124" s="26"/>
      <c r="Q124" s="26"/>
      <c r="R124" s="26"/>
      <c r="S124" s="26"/>
      <c r="T124" s="26"/>
      <c r="U124" s="9"/>
    </row>
    <row r="125" customFormat="false" ht="15" hidden="false" customHeight="false" outlineLevel="0" collapsed="false">
      <c r="A125" s="9"/>
      <c r="B125" s="9"/>
      <c r="C125" s="9"/>
      <c r="D125" s="18" t="str">
        <f aca="false">IF(C125="","",IFERROR(INDEX(MASTER!$B$19:$B$38,MATCH(C125,MASTER!$A$19:$A$38,0)),"ID no existe"))</f>
        <v/>
      </c>
      <c r="E125" s="9"/>
      <c r="F125" s="9"/>
      <c r="G125" s="9"/>
      <c r="H125" s="25"/>
      <c r="I125" s="14"/>
      <c r="J125" s="14"/>
      <c r="K125" s="18" t="str">
        <f aca="false">IF(A125="","",COUNTIF(RESTRICCIONES!$B$5:$B$304,A125))</f>
        <v/>
      </c>
      <c r="L125" s="18" t="str">
        <f aca="false">IF(A125="","",COUNTIFS(RESTRICCIONES!$B$5:$B$304,A125,RESTRICCIONES!$L$5:$L$304,"Pendiente"))</f>
        <v/>
      </c>
      <c r="M125" s="16" t="str">
        <f aca="false">IF(A125="","",IF(L125=0,"LISTA","RESTRINGIDA"))</f>
        <v/>
      </c>
      <c r="N125" s="19" t="str">
        <f aca="false">IF(OR(A125="",H125=""),"",IFERROR(MIN(1,SUMIF(SEMANAL!$C$7:$C$506,A125,SEMANAL!$W$7:$W$506)/H125),0))</f>
        <v/>
      </c>
      <c r="O125" s="26"/>
      <c r="P125" s="26"/>
      <c r="Q125" s="26"/>
      <c r="R125" s="26"/>
      <c r="S125" s="26"/>
      <c r="T125" s="26"/>
      <c r="U125" s="9"/>
    </row>
    <row r="126" customFormat="false" ht="15" hidden="false" customHeight="false" outlineLevel="0" collapsed="false">
      <c r="A126" s="9"/>
      <c r="B126" s="9"/>
      <c r="C126" s="9"/>
      <c r="D126" s="18" t="str">
        <f aca="false">IF(C126="","",IFERROR(INDEX(MASTER!$B$19:$B$38,MATCH(C126,MASTER!$A$19:$A$38,0)),"ID no existe"))</f>
        <v/>
      </c>
      <c r="E126" s="9"/>
      <c r="F126" s="9"/>
      <c r="G126" s="9"/>
      <c r="H126" s="25"/>
      <c r="I126" s="14"/>
      <c r="J126" s="14"/>
      <c r="K126" s="18" t="str">
        <f aca="false">IF(A126="","",COUNTIF(RESTRICCIONES!$B$5:$B$304,A126))</f>
        <v/>
      </c>
      <c r="L126" s="18" t="str">
        <f aca="false">IF(A126="","",COUNTIFS(RESTRICCIONES!$B$5:$B$304,A126,RESTRICCIONES!$L$5:$L$304,"Pendiente"))</f>
        <v/>
      </c>
      <c r="M126" s="16" t="str">
        <f aca="false">IF(A126="","",IF(L126=0,"LISTA","RESTRINGIDA"))</f>
        <v/>
      </c>
      <c r="N126" s="19" t="str">
        <f aca="false">IF(OR(A126="",H126=""),"",IFERROR(MIN(1,SUMIF(SEMANAL!$C$7:$C$506,A126,SEMANAL!$W$7:$W$506)/H126),0))</f>
        <v/>
      </c>
      <c r="O126" s="26"/>
      <c r="P126" s="26"/>
      <c r="Q126" s="26"/>
      <c r="R126" s="26"/>
      <c r="S126" s="26"/>
      <c r="T126" s="26"/>
      <c r="U126" s="9"/>
    </row>
    <row r="127" customFormat="false" ht="15" hidden="false" customHeight="false" outlineLevel="0" collapsed="false">
      <c r="A127" s="9"/>
      <c r="B127" s="9"/>
      <c r="C127" s="9"/>
      <c r="D127" s="18" t="str">
        <f aca="false">IF(C127="","",IFERROR(INDEX(MASTER!$B$19:$B$38,MATCH(C127,MASTER!$A$19:$A$38,0)),"ID no existe"))</f>
        <v/>
      </c>
      <c r="E127" s="9"/>
      <c r="F127" s="9"/>
      <c r="G127" s="9"/>
      <c r="H127" s="25"/>
      <c r="I127" s="14"/>
      <c r="J127" s="14"/>
      <c r="K127" s="18" t="str">
        <f aca="false">IF(A127="","",COUNTIF(RESTRICCIONES!$B$5:$B$304,A127))</f>
        <v/>
      </c>
      <c r="L127" s="18" t="str">
        <f aca="false">IF(A127="","",COUNTIFS(RESTRICCIONES!$B$5:$B$304,A127,RESTRICCIONES!$L$5:$L$304,"Pendiente"))</f>
        <v/>
      </c>
      <c r="M127" s="16" t="str">
        <f aca="false">IF(A127="","",IF(L127=0,"LISTA","RESTRINGIDA"))</f>
        <v/>
      </c>
      <c r="N127" s="19" t="str">
        <f aca="false">IF(OR(A127="",H127=""),"",IFERROR(MIN(1,SUMIF(SEMANAL!$C$7:$C$506,A127,SEMANAL!$W$7:$W$506)/H127),0))</f>
        <v/>
      </c>
      <c r="O127" s="26"/>
      <c r="P127" s="26"/>
      <c r="Q127" s="26"/>
      <c r="R127" s="26"/>
      <c r="S127" s="26"/>
      <c r="T127" s="26"/>
      <c r="U127" s="9"/>
    </row>
    <row r="128" customFormat="false" ht="15" hidden="false" customHeight="false" outlineLevel="0" collapsed="false">
      <c r="A128" s="9"/>
      <c r="B128" s="9"/>
      <c r="C128" s="9"/>
      <c r="D128" s="18" t="str">
        <f aca="false">IF(C128="","",IFERROR(INDEX(MASTER!$B$19:$B$38,MATCH(C128,MASTER!$A$19:$A$38,0)),"ID no existe"))</f>
        <v/>
      </c>
      <c r="E128" s="9"/>
      <c r="F128" s="9"/>
      <c r="G128" s="9"/>
      <c r="H128" s="25"/>
      <c r="I128" s="14"/>
      <c r="J128" s="14"/>
      <c r="K128" s="18" t="str">
        <f aca="false">IF(A128="","",COUNTIF(RESTRICCIONES!$B$5:$B$304,A128))</f>
        <v/>
      </c>
      <c r="L128" s="18" t="str">
        <f aca="false">IF(A128="","",COUNTIFS(RESTRICCIONES!$B$5:$B$304,A128,RESTRICCIONES!$L$5:$L$304,"Pendiente"))</f>
        <v/>
      </c>
      <c r="M128" s="16" t="str">
        <f aca="false">IF(A128="","",IF(L128=0,"LISTA","RESTRINGIDA"))</f>
        <v/>
      </c>
      <c r="N128" s="19" t="str">
        <f aca="false">IF(OR(A128="",H128=""),"",IFERROR(MIN(1,SUMIF(SEMANAL!$C$7:$C$506,A128,SEMANAL!$W$7:$W$506)/H128),0))</f>
        <v/>
      </c>
      <c r="O128" s="26"/>
      <c r="P128" s="26"/>
      <c r="Q128" s="26"/>
      <c r="R128" s="26"/>
      <c r="S128" s="26"/>
      <c r="T128" s="26"/>
      <c r="U128" s="9"/>
    </row>
    <row r="129" customFormat="false" ht="15" hidden="false" customHeight="false" outlineLevel="0" collapsed="false">
      <c r="A129" s="9"/>
      <c r="B129" s="9"/>
      <c r="C129" s="9"/>
      <c r="D129" s="18" t="str">
        <f aca="false">IF(C129="","",IFERROR(INDEX(MASTER!$B$19:$B$38,MATCH(C129,MASTER!$A$19:$A$38,0)),"ID no existe"))</f>
        <v/>
      </c>
      <c r="E129" s="9"/>
      <c r="F129" s="9"/>
      <c r="G129" s="9"/>
      <c r="H129" s="25"/>
      <c r="I129" s="14"/>
      <c r="J129" s="14"/>
      <c r="K129" s="18" t="str">
        <f aca="false">IF(A129="","",COUNTIF(RESTRICCIONES!$B$5:$B$304,A129))</f>
        <v/>
      </c>
      <c r="L129" s="18" t="str">
        <f aca="false">IF(A129="","",COUNTIFS(RESTRICCIONES!$B$5:$B$304,A129,RESTRICCIONES!$L$5:$L$304,"Pendiente"))</f>
        <v/>
      </c>
      <c r="M129" s="16" t="str">
        <f aca="false">IF(A129="","",IF(L129=0,"LISTA","RESTRINGIDA"))</f>
        <v/>
      </c>
      <c r="N129" s="19" t="str">
        <f aca="false">IF(OR(A129="",H129=""),"",IFERROR(MIN(1,SUMIF(SEMANAL!$C$7:$C$506,A129,SEMANAL!$W$7:$W$506)/H129),0))</f>
        <v/>
      </c>
      <c r="O129" s="26"/>
      <c r="P129" s="26"/>
      <c r="Q129" s="26"/>
      <c r="R129" s="26"/>
      <c r="S129" s="26"/>
      <c r="T129" s="26"/>
      <c r="U129" s="9"/>
    </row>
    <row r="130" customFormat="false" ht="15" hidden="false" customHeight="false" outlineLevel="0" collapsed="false">
      <c r="A130" s="9"/>
      <c r="B130" s="9"/>
      <c r="C130" s="9"/>
      <c r="D130" s="18" t="str">
        <f aca="false">IF(C130="","",IFERROR(INDEX(MASTER!$B$19:$B$38,MATCH(C130,MASTER!$A$19:$A$38,0)),"ID no existe"))</f>
        <v/>
      </c>
      <c r="E130" s="9"/>
      <c r="F130" s="9"/>
      <c r="G130" s="9"/>
      <c r="H130" s="25"/>
      <c r="I130" s="14"/>
      <c r="J130" s="14"/>
      <c r="K130" s="18" t="str">
        <f aca="false">IF(A130="","",COUNTIF(RESTRICCIONES!$B$5:$B$304,A130))</f>
        <v/>
      </c>
      <c r="L130" s="18" t="str">
        <f aca="false">IF(A130="","",COUNTIFS(RESTRICCIONES!$B$5:$B$304,A130,RESTRICCIONES!$L$5:$L$304,"Pendiente"))</f>
        <v/>
      </c>
      <c r="M130" s="16" t="str">
        <f aca="false">IF(A130="","",IF(L130=0,"LISTA","RESTRINGIDA"))</f>
        <v/>
      </c>
      <c r="N130" s="19" t="str">
        <f aca="false">IF(OR(A130="",H130=""),"",IFERROR(MIN(1,SUMIF(SEMANAL!$C$7:$C$506,A130,SEMANAL!$W$7:$W$506)/H130),0))</f>
        <v/>
      </c>
      <c r="O130" s="26"/>
      <c r="P130" s="26"/>
      <c r="Q130" s="26"/>
      <c r="R130" s="26"/>
      <c r="S130" s="26"/>
      <c r="T130" s="26"/>
      <c r="U130" s="9"/>
    </row>
    <row r="131" customFormat="false" ht="15" hidden="false" customHeight="false" outlineLevel="0" collapsed="false">
      <c r="A131" s="9"/>
      <c r="B131" s="9"/>
      <c r="C131" s="9"/>
      <c r="D131" s="18" t="str">
        <f aca="false">IF(C131="","",IFERROR(INDEX(MASTER!$B$19:$B$38,MATCH(C131,MASTER!$A$19:$A$38,0)),"ID no existe"))</f>
        <v/>
      </c>
      <c r="E131" s="9"/>
      <c r="F131" s="9"/>
      <c r="G131" s="9"/>
      <c r="H131" s="25"/>
      <c r="I131" s="14"/>
      <c r="J131" s="14"/>
      <c r="K131" s="18" t="str">
        <f aca="false">IF(A131="","",COUNTIF(RESTRICCIONES!$B$5:$B$304,A131))</f>
        <v/>
      </c>
      <c r="L131" s="18" t="str">
        <f aca="false">IF(A131="","",COUNTIFS(RESTRICCIONES!$B$5:$B$304,A131,RESTRICCIONES!$L$5:$L$304,"Pendiente"))</f>
        <v/>
      </c>
      <c r="M131" s="16" t="str">
        <f aca="false">IF(A131="","",IF(L131=0,"LISTA","RESTRINGIDA"))</f>
        <v/>
      </c>
      <c r="N131" s="19" t="str">
        <f aca="false">IF(OR(A131="",H131=""),"",IFERROR(MIN(1,SUMIF(SEMANAL!$C$7:$C$506,A131,SEMANAL!$W$7:$W$506)/H131),0))</f>
        <v/>
      </c>
      <c r="O131" s="26"/>
      <c r="P131" s="26"/>
      <c r="Q131" s="26"/>
      <c r="R131" s="26"/>
      <c r="S131" s="26"/>
      <c r="T131" s="26"/>
      <c r="U131" s="9"/>
    </row>
    <row r="132" customFormat="false" ht="15" hidden="false" customHeight="false" outlineLevel="0" collapsed="false">
      <c r="A132" s="9"/>
      <c r="B132" s="9"/>
      <c r="C132" s="9"/>
      <c r="D132" s="18" t="str">
        <f aca="false">IF(C132="","",IFERROR(INDEX(MASTER!$B$19:$B$38,MATCH(C132,MASTER!$A$19:$A$38,0)),"ID no existe"))</f>
        <v/>
      </c>
      <c r="E132" s="9"/>
      <c r="F132" s="9"/>
      <c r="G132" s="9"/>
      <c r="H132" s="25"/>
      <c r="I132" s="14"/>
      <c r="J132" s="14"/>
      <c r="K132" s="18" t="str">
        <f aca="false">IF(A132="","",COUNTIF(RESTRICCIONES!$B$5:$B$304,A132))</f>
        <v/>
      </c>
      <c r="L132" s="18" t="str">
        <f aca="false">IF(A132="","",COUNTIFS(RESTRICCIONES!$B$5:$B$304,A132,RESTRICCIONES!$L$5:$L$304,"Pendiente"))</f>
        <v/>
      </c>
      <c r="M132" s="16" t="str">
        <f aca="false">IF(A132="","",IF(L132=0,"LISTA","RESTRINGIDA"))</f>
        <v/>
      </c>
      <c r="N132" s="19" t="str">
        <f aca="false">IF(OR(A132="",H132=""),"",IFERROR(MIN(1,SUMIF(SEMANAL!$C$7:$C$506,A132,SEMANAL!$W$7:$W$506)/H132),0))</f>
        <v/>
      </c>
      <c r="O132" s="26"/>
      <c r="P132" s="26"/>
      <c r="Q132" s="26"/>
      <c r="R132" s="26"/>
      <c r="S132" s="26"/>
      <c r="T132" s="26"/>
      <c r="U132" s="9"/>
    </row>
    <row r="133" customFormat="false" ht="15" hidden="false" customHeight="false" outlineLevel="0" collapsed="false">
      <c r="A133" s="9"/>
      <c r="B133" s="9"/>
      <c r="C133" s="9"/>
      <c r="D133" s="18" t="str">
        <f aca="false">IF(C133="","",IFERROR(INDEX(MASTER!$B$19:$B$38,MATCH(C133,MASTER!$A$19:$A$38,0)),"ID no existe"))</f>
        <v/>
      </c>
      <c r="E133" s="9"/>
      <c r="F133" s="9"/>
      <c r="G133" s="9"/>
      <c r="H133" s="25"/>
      <c r="I133" s="14"/>
      <c r="J133" s="14"/>
      <c r="K133" s="18" t="str">
        <f aca="false">IF(A133="","",COUNTIF(RESTRICCIONES!$B$5:$B$304,A133))</f>
        <v/>
      </c>
      <c r="L133" s="18" t="str">
        <f aca="false">IF(A133="","",COUNTIFS(RESTRICCIONES!$B$5:$B$304,A133,RESTRICCIONES!$L$5:$L$304,"Pendiente"))</f>
        <v/>
      </c>
      <c r="M133" s="16" t="str">
        <f aca="false">IF(A133="","",IF(L133=0,"LISTA","RESTRINGIDA"))</f>
        <v/>
      </c>
      <c r="N133" s="19" t="str">
        <f aca="false">IF(OR(A133="",H133=""),"",IFERROR(MIN(1,SUMIF(SEMANAL!$C$7:$C$506,A133,SEMANAL!$W$7:$W$506)/H133),0))</f>
        <v/>
      </c>
      <c r="O133" s="26"/>
      <c r="P133" s="26"/>
      <c r="Q133" s="26"/>
      <c r="R133" s="26"/>
      <c r="S133" s="26"/>
      <c r="T133" s="26"/>
      <c r="U133" s="9"/>
    </row>
    <row r="134" customFormat="false" ht="15" hidden="false" customHeight="false" outlineLevel="0" collapsed="false">
      <c r="A134" s="9"/>
      <c r="B134" s="9"/>
      <c r="C134" s="9"/>
      <c r="D134" s="18" t="str">
        <f aca="false">IF(C134="","",IFERROR(INDEX(MASTER!$B$19:$B$38,MATCH(C134,MASTER!$A$19:$A$38,0)),"ID no existe"))</f>
        <v/>
      </c>
      <c r="E134" s="9"/>
      <c r="F134" s="9"/>
      <c r="G134" s="9"/>
      <c r="H134" s="25"/>
      <c r="I134" s="14"/>
      <c r="J134" s="14"/>
      <c r="K134" s="18" t="str">
        <f aca="false">IF(A134="","",COUNTIF(RESTRICCIONES!$B$5:$B$304,A134))</f>
        <v/>
      </c>
      <c r="L134" s="18" t="str">
        <f aca="false">IF(A134="","",COUNTIFS(RESTRICCIONES!$B$5:$B$304,A134,RESTRICCIONES!$L$5:$L$304,"Pendiente"))</f>
        <v/>
      </c>
      <c r="M134" s="16" t="str">
        <f aca="false">IF(A134="","",IF(L134=0,"LISTA","RESTRINGIDA"))</f>
        <v/>
      </c>
      <c r="N134" s="19" t="str">
        <f aca="false">IF(OR(A134="",H134=""),"",IFERROR(MIN(1,SUMIF(SEMANAL!$C$7:$C$506,A134,SEMANAL!$W$7:$W$506)/H134),0))</f>
        <v/>
      </c>
      <c r="O134" s="26"/>
      <c r="P134" s="26"/>
      <c r="Q134" s="26"/>
      <c r="R134" s="26"/>
      <c r="S134" s="26"/>
      <c r="T134" s="26"/>
      <c r="U134" s="9"/>
    </row>
    <row r="135" customFormat="false" ht="15" hidden="false" customHeight="false" outlineLevel="0" collapsed="false">
      <c r="A135" s="9"/>
      <c r="B135" s="9"/>
      <c r="C135" s="9"/>
      <c r="D135" s="18" t="str">
        <f aca="false">IF(C135="","",IFERROR(INDEX(MASTER!$B$19:$B$38,MATCH(C135,MASTER!$A$19:$A$38,0)),"ID no existe"))</f>
        <v/>
      </c>
      <c r="E135" s="9"/>
      <c r="F135" s="9"/>
      <c r="G135" s="9"/>
      <c r="H135" s="25"/>
      <c r="I135" s="14"/>
      <c r="J135" s="14"/>
      <c r="K135" s="18" t="str">
        <f aca="false">IF(A135="","",COUNTIF(RESTRICCIONES!$B$5:$B$304,A135))</f>
        <v/>
      </c>
      <c r="L135" s="18" t="str">
        <f aca="false">IF(A135="","",COUNTIFS(RESTRICCIONES!$B$5:$B$304,A135,RESTRICCIONES!$L$5:$L$304,"Pendiente"))</f>
        <v/>
      </c>
      <c r="M135" s="16" t="str">
        <f aca="false">IF(A135="","",IF(L135=0,"LISTA","RESTRINGIDA"))</f>
        <v/>
      </c>
      <c r="N135" s="19" t="str">
        <f aca="false">IF(OR(A135="",H135=""),"",IFERROR(MIN(1,SUMIF(SEMANAL!$C$7:$C$506,A135,SEMANAL!$W$7:$W$506)/H135),0))</f>
        <v/>
      </c>
      <c r="O135" s="26"/>
      <c r="P135" s="26"/>
      <c r="Q135" s="26"/>
      <c r="R135" s="26"/>
      <c r="S135" s="26"/>
      <c r="T135" s="26"/>
      <c r="U135" s="9"/>
    </row>
    <row r="136" customFormat="false" ht="15" hidden="false" customHeight="false" outlineLevel="0" collapsed="false">
      <c r="A136" s="9"/>
      <c r="B136" s="9"/>
      <c r="C136" s="9"/>
      <c r="D136" s="18" t="str">
        <f aca="false">IF(C136="","",IFERROR(INDEX(MASTER!$B$19:$B$38,MATCH(C136,MASTER!$A$19:$A$38,0)),"ID no existe"))</f>
        <v/>
      </c>
      <c r="E136" s="9"/>
      <c r="F136" s="9"/>
      <c r="G136" s="9"/>
      <c r="H136" s="25"/>
      <c r="I136" s="14"/>
      <c r="J136" s="14"/>
      <c r="K136" s="18" t="str">
        <f aca="false">IF(A136="","",COUNTIF(RESTRICCIONES!$B$5:$B$304,A136))</f>
        <v/>
      </c>
      <c r="L136" s="18" t="str">
        <f aca="false">IF(A136="","",COUNTIFS(RESTRICCIONES!$B$5:$B$304,A136,RESTRICCIONES!$L$5:$L$304,"Pendiente"))</f>
        <v/>
      </c>
      <c r="M136" s="16" t="str">
        <f aca="false">IF(A136="","",IF(L136=0,"LISTA","RESTRINGIDA"))</f>
        <v/>
      </c>
      <c r="N136" s="19" t="str">
        <f aca="false">IF(OR(A136="",H136=""),"",IFERROR(MIN(1,SUMIF(SEMANAL!$C$7:$C$506,A136,SEMANAL!$W$7:$W$506)/H136),0))</f>
        <v/>
      </c>
      <c r="O136" s="26"/>
      <c r="P136" s="26"/>
      <c r="Q136" s="26"/>
      <c r="R136" s="26"/>
      <c r="S136" s="26"/>
      <c r="T136" s="26"/>
      <c r="U136" s="9"/>
    </row>
    <row r="137" customFormat="false" ht="15" hidden="false" customHeight="false" outlineLevel="0" collapsed="false">
      <c r="A137" s="9"/>
      <c r="B137" s="9"/>
      <c r="C137" s="9"/>
      <c r="D137" s="18" t="str">
        <f aca="false">IF(C137="","",IFERROR(INDEX(MASTER!$B$19:$B$38,MATCH(C137,MASTER!$A$19:$A$38,0)),"ID no existe"))</f>
        <v/>
      </c>
      <c r="E137" s="9"/>
      <c r="F137" s="9"/>
      <c r="G137" s="9"/>
      <c r="H137" s="25"/>
      <c r="I137" s="14"/>
      <c r="J137" s="14"/>
      <c r="K137" s="18" t="str">
        <f aca="false">IF(A137="","",COUNTIF(RESTRICCIONES!$B$5:$B$304,A137))</f>
        <v/>
      </c>
      <c r="L137" s="18" t="str">
        <f aca="false">IF(A137="","",COUNTIFS(RESTRICCIONES!$B$5:$B$304,A137,RESTRICCIONES!$L$5:$L$304,"Pendiente"))</f>
        <v/>
      </c>
      <c r="M137" s="16" t="str">
        <f aca="false">IF(A137="","",IF(L137=0,"LISTA","RESTRINGIDA"))</f>
        <v/>
      </c>
      <c r="N137" s="19" t="str">
        <f aca="false">IF(OR(A137="",H137=""),"",IFERROR(MIN(1,SUMIF(SEMANAL!$C$7:$C$506,A137,SEMANAL!$W$7:$W$506)/H137),0))</f>
        <v/>
      </c>
      <c r="O137" s="26"/>
      <c r="P137" s="26"/>
      <c r="Q137" s="26"/>
      <c r="R137" s="26"/>
      <c r="S137" s="26"/>
      <c r="T137" s="26"/>
      <c r="U137" s="9"/>
    </row>
    <row r="138" customFormat="false" ht="15" hidden="false" customHeight="false" outlineLevel="0" collapsed="false">
      <c r="A138" s="9"/>
      <c r="B138" s="9"/>
      <c r="C138" s="9"/>
      <c r="D138" s="18" t="str">
        <f aca="false">IF(C138="","",IFERROR(INDEX(MASTER!$B$19:$B$38,MATCH(C138,MASTER!$A$19:$A$38,0)),"ID no existe"))</f>
        <v/>
      </c>
      <c r="E138" s="9"/>
      <c r="F138" s="9"/>
      <c r="G138" s="9"/>
      <c r="H138" s="25"/>
      <c r="I138" s="14"/>
      <c r="J138" s="14"/>
      <c r="K138" s="18" t="str">
        <f aca="false">IF(A138="","",COUNTIF(RESTRICCIONES!$B$5:$B$304,A138))</f>
        <v/>
      </c>
      <c r="L138" s="18" t="str">
        <f aca="false">IF(A138="","",COUNTIFS(RESTRICCIONES!$B$5:$B$304,A138,RESTRICCIONES!$L$5:$L$304,"Pendiente"))</f>
        <v/>
      </c>
      <c r="M138" s="16" t="str">
        <f aca="false">IF(A138="","",IF(L138=0,"LISTA","RESTRINGIDA"))</f>
        <v/>
      </c>
      <c r="N138" s="19" t="str">
        <f aca="false">IF(OR(A138="",H138=""),"",IFERROR(MIN(1,SUMIF(SEMANAL!$C$7:$C$506,A138,SEMANAL!$W$7:$W$506)/H138),0))</f>
        <v/>
      </c>
      <c r="O138" s="26"/>
      <c r="P138" s="26"/>
      <c r="Q138" s="26"/>
      <c r="R138" s="26"/>
      <c r="S138" s="26"/>
      <c r="T138" s="26"/>
      <c r="U138" s="9"/>
    </row>
    <row r="139" customFormat="false" ht="15" hidden="false" customHeight="false" outlineLevel="0" collapsed="false">
      <c r="A139" s="9"/>
      <c r="B139" s="9"/>
      <c r="C139" s="9"/>
      <c r="D139" s="18" t="str">
        <f aca="false">IF(C139="","",IFERROR(INDEX(MASTER!$B$19:$B$38,MATCH(C139,MASTER!$A$19:$A$38,0)),"ID no existe"))</f>
        <v/>
      </c>
      <c r="E139" s="9"/>
      <c r="F139" s="9"/>
      <c r="G139" s="9"/>
      <c r="H139" s="25"/>
      <c r="I139" s="14"/>
      <c r="J139" s="14"/>
      <c r="K139" s="18" t="str">
        <f aca="false">IF(A139="","",COUNTIF(RESTRICCIONES!$B$5:$B$304,A139))</f>
        <v/>
      </c>
      <c r="L139" s="18" t="str">
        <f aca="false">IF(A139="","",COUNTIFS(RESTRICCIONES!$B$5:$B$304,A139,RESTRICCIONES!$L$5:$L$304,"Pendiente"))</f>
        <v/>
      </c>
      <c r="M139" s="16" t="str">
        <f aca="false">IF(A139="","",IF(L139=0,"LISTA","RESTRINGIDA"))</f>
        <v/>
      </c>
      <c r="N139" s="19" t="str">
        <f aca="false">IF(OR(A139="",H139=""),"",IFERROR(MIN(1,SUMIF(SEMANAL!$C$7:$C$506,A139,SEMANAL!$W$7:$W$506)/H139),0))</f>
        <v/>
      </c>
      <c r="O139" s="26"/>
      <c r="P139" s="26"/>
      <c r="Q139" s="26"/>
      <c r="R139" s="26"/>
      <c r="S139" s="26"/>
      <c r="T139" s="26"/>
      <c r="U139" s="9"/>
    </row>
    <row r="140" customFormat="false" ht="15" hidden="false" customHeight="false" outlineLevel="0" collapsed="false">
      <c r="A140" s="9"/>
      <c r="B140" s="9"/>
      <c r="C140" s="9"/>
      <c r="D140" s="18" t="str">
        <f aca="false">IF(C140="","",IFERROR(INDEX(MASTER!$B$19:$B$38,MATCH(C140,MASTER!$A$19:$A$38,0)),"ID no existe"))</f>
        <v/>
      </c>
      <c r="E140" s="9"/>
      <c r="F140" s="9"/>
      <c r="G140" s="9"/>
      <c r="H140" s="25"/>
      <c r="I140" s="14"/>
      <c r="J140" s="14"/>
      <c r="K140" s="18" t="str">
        <f aca="false">IF(A140="","",COUNTIF(RESTRICCIONES!$B$5:$B$304,A140))</f>
        <v/>
      </c>
      <c r="L140" s="18" t="str">
        <f aca="false">IF(A140="","",COUNTIFS(RESTRICCIONES!$B$5:$B$304,A140,RESTRICCIONES!$L$5:$L$304,"Pendiente"))</f>
        <v/>
      </c>
      <c r="M140" s="16" t="str">
        <f aca="false">IF(A140="","",IF(L140=0,"LISTA","RESTRINGIDA"))</f>
        <v/>
      </c>
      <c r="N140" s="19" t="str">
        <f aca="false">IF(OR(A140="",H140=""),"",IFERROR(MIN(1,SUMIF(SEMANAL!$C$7:$C$506,A140,SEMANAL!$W$7:$W$506)/H140),0))</f>
        <v/>
      </c>
      <c r="O140" s="26"/>
      <c r="P140" s="26"/>
      <c r="Q140" s="26"/>
      <c r="R140" s="26"/>
      <c r="S140" s="26"/>
      <c r="T140" s="26"/>
      <c r="U140" s="9"/>
    </row>
    <row r="141" customFormat="false" ht="15" hidden="false" customHeight="false" outlineLevel="0" collapsed="false">
      <c r="A141" s="9"/>
      <c r="B141" s="9"/>
      <c r="C141" s="9"/>
      <c r="D141" s="18" t="str">
        <f aca="false">IF(C141="","",IFERROR(INDEX(MASTER!$B$19:$B$38,MATCH(C141,MASTER!$A$19:$A$38,0)),"ID no existe"))</f>
        <v/>
      </c>
      <c r="E141" s="9"/>
      <c r="F141" s="9"/>
      <c r="G141" s="9"/>
      <c r="H141" s="25"/>
      <c r="I141" s="14"/>
      <c r="J141" s="14"/>
      <c r="K141" s="18" t="str">
        <f aca="false">IF(A141="","",COUNTIF(RESTRICCIONES!$B$5:$B$304,A141))</f>
        <v/>
      </c>
      <c r="L141" s="18" t="str">
        <f aca="false">IF(A141="","",COUNTIFS(RESTRICCIONES!$B$5:$B$304,A141,RESTRICCIONES!$L$5:$L$304,"Pendiente"))</f>
        <v/>
      </c>
      <c r="M141" s="16" t="str">
        <f aca="false">IF(A141="","",IF(L141=0,"LISTA","RESTRINGIDA"))</f>
        <v/>
      </c>
      <c r="N141" s="19" t="str">
        <f aca="false">IF(OR(A141="",H141=""),"",IFERROR(MIN(1,SUMIF(SEMANAL!$C$7:$C$506,A141,SEMANAL!$W$7:$W$506)/H141),0))</f>
        <v/>
      </c>
      <c r="O141" s="26"/>
      <c r="P141" s="26"/>
      <c r="Q141" s="26"/>
      <c r="R141" s="26"/>
      <c r="S141" s="26"/>
      <c r="T141" s="26"/>
      <c r="U141" s="9"/>
    </row>
    <row r="142" customFormat="false" ht="15" hidden="false" customHeight="false" outlineLevel="0" collapsed="false">
      <c r="A142" s="9"/>
      <c r="B142" s="9"/>
      <c r="C142" s="9"/>
      <c r="D142" s="18" t="str">
        <f aca="false">IF(C142="","",IFERROR(INDEX(MASTER!$B$19:$B$38,MATCH(C142,MASTER!$A$19:$A$38,0)),"ID no existe"))</f>
        <v/>
      </c>
      <c r="E142" s="9"/>
      <c r="F142" s="9"/>
      <c r="G142" s="9"/>
      <c r="H142" s="25"/>
      <c r="I142" s="14"/>
      <c r="J142" s="14"/>
      <c r="K142" s="18" t="str">
        <f aca="false">IF(A142="","",COUNTIF(RESTRICCIONES!$B$5:$B$304,A142))</f>
        <v/>
      </c>
      <c r="L142" s="18" t="str">
        <f aca="false">IF(A142="","",COUNTIFS(RESTRICCIONES!$B$5:$B$304,A142,RESTRICCIONES!$L$5:$L$304,"Pendiente"))</f>
        <v/>
      </c>
      <c r="M142" s="16" t="str">
        <f aca="false">IF(A142="","",IF(L142=0,"LISTA","RESTRINGIDA"))</f>
        <v/>
      </c>
      <c r="N142" s="19" t="str">
        <f aca="false">IF(OR(A142="",H142=""),"",IFERROR(MIN(1,SUMIF(SEMANAL!$C$7:$C$506,A142,SEMANAL!$W$7:$W$506)/H142),0))</f>
        <v/>
      </c>
      <c r="O142" s="26"/>
      <c r="P142" s="26"/>
      <c r="Q142" s="26"/>
      <c r="R142" s="26"/>
      <c r="S142" s="26"/>
      <c r="T142" s="26"/>
      <c r="U142" s="9"/>
    </row>
    <row r="143" customFormat="false" ht="15" hidden="false" customHeight="false" outlineLevel="0" collapsed="false">
      <c r="A143" s="9"/>
      <c r="B143" s="9"/>
      <c r="C143" s="9"/>
      <c r="D143" s="18" t="str">
        <f aca="false">IF(C143="","",IFERROR(INDEX(MASTER!$B$19:$B$38,MATCH(C143,MASTER!$A$19:$A$38,0)),"ID no existe"))</f>
        <v/>
      </c>
      <c r="E143" s="9"/>
      <c r="F143" s="9"/>
      <c r="G143" s="9"/>
      <c r="H143" s="25"/>
      <c r="I143" s="14"/>
      <c r="J143" s="14"/>
      <c r="K143" s="18" t="str">
        <f aca="false">IF(A143="","",COUNTIF(RESTRICCIONES!$B$5:$B$304,A143))</f>
        <v/>
      </c>
      <c r="L143" s="18" t="str">
        <f aca="false">IF(A143="","",COUNTIFS(RESTRICCIONES!$B$5:$B$304,A143,RESTRICCIONES!$L$5:$L$304,"Pendiente"))</f>
        <v/>
      </c>
      <c r="M143" s="16" t="str">
        <f aca="false">IF(A143="","",IF(L143=0,"LISTA","RESTRINGIDA"))</f>
        <v/>
      </c>
      <c r="N143" s="19" t="str">
        <f aca="false">IF(OR(A143="",H143=""),"",IFERROR(MIN(1,SUMIF(SEMANAL!$C$7:$C$506,A143,SEMANAL!$W$7:$W$506)/H143),0))</f>
        <v/>
      </c>
      <c r="O143" s="26"/>
      <c r="P143" s="26"/>
      <c r="Q143" s="26"/>
      <c r="R143" s="26"/>
      <c r="S143" s="26"/>
      <c r="T143" s="26"/>
      <c r="U143" s="9"/>
    </row>
    <row r="144" customFormat="false" ht="15" hidden="false" customHeight="false" outlineLevel="0" collapsed="false">
      <c r="A144" s="9"/>
      <c r="B144" s="9"/>
      <c r="C144" s="9"/>
      <c r="D144" s="18" t="str">
        <f aca="false">IF(C144="","",IFERROR(INDEX(MASTER!$B$19:$B$38,MATCH(C144,MASTER!$A$19:$A$38,0)),"ID no existe"))</f>
        <v/>
      </c>
      <c r="E144" s="9"/>
      <c r="F144" s="9"/>
      <c r="G144" s="9"/>
      <c r="H144" s="25"/>
      <c r="I144" s="14"/>
      <c r="J144" s="14"/>
      <c r="K144" s="18" t="str">
        <f aca="false">IF(A144="","",COUNTIF(RESTRICCIONES!$B$5:$B$304,A144))</f>
        <v/>
      </c>
      <c r="L144" s="18" t="str">
        <f aca="false">IF(A144="","",COUNTIFS(RESTRICCIONES!$B$5:$B$304,A144,RESTRICCIONES!$L$5:$L$304,"Pendiente"))</f>
        <v/>
      </c>
      <c r="M144" s="16" t="str">
        <f aca="false">IF(A144="","",IF(L144=0,"LISTA","RESTRINGIDA"))</f>
        <v/>
      </c>
      <c r="N144" s="19" t="str">
        <f aca="false">IF(OR(A144="",H144=""),"",IFERROR(MIN(1,SUMIF(SEMANAL!$C$7:$C$506,A144,SEMANAL!$W$7:$W$506)/H144),0))</f>
        <v/>
      </c>
      <c r="O144" s="26"/>
      <c r="P144" s="26"/>
      <c r="Q144" s="26"/>
      <c r="R144" s="26"/>
      <c r="S144" s="26"/>
      <c r="T144" s="26"/>
      <c r="U144" s="9"/>
    </row>
    <row r="145" customFormat="false" ht="15" hidden="false" customHeight="false" outlineLevel="0" collapsed="false">
      <c r="A145" s="9"/>
      <c r="B145" s="9"/>
      <c r="C145" s="9"/>
      <c r="D145" s="18" t="str">
        <f aca="false">IF(C145="","",IFERROR(INDEX(MASTER!$B$19:$B$38,MATCH(C145,MASTER!$A$19:$A$38,0)),"ID no existe"))</f>
        <v/>
      </c>
      <c r="E145" s="9"/>
      <c r="F145" s="9"/>
      <c r="G145" s="9"/>
      <c r="H145" s="25"/>
      <c r="I145" s="14"/>
      <c r="J145" s="14"/>
      <c r="K145" s="18" t="str">
        <f aca="false">IF(A145="","",COUNTIF(RESTRICCIONES!$B$5:$B$304,A145))</f>
        <v/>
      </c>
      <c r="L145" s="18" t="str">
        <f aca="false">IF(A145="","",COUNTIFS(RESTRICCIONES!$B$5:$B$304,A145,RESTRICCIONES!$L$5:$L$304,"Pendiente"))</f>
        <v/>
      </c>
      <c r="M145" s="16" t="str">
        <f aca="false">IF(A145="","",IF(L145=0,"LISTA","RESTRINGIDA"))</f>
        <v/>
      </c>
      <c r="N145" s="19" t="str">
        <f aca="false">IF(OR(A145="",H145=""),"",IFERROR(MIN(1,SUMIF(SEMANAL!$C$7:$C$506,A145,SEMANAL!$W$7:$W$506)/H145),0))</f>
        <v/>
      </c>
      <c r="O145" s="26"/>
      <c r="P145" s="26"/>
      <c r="Q145" s="26"/>
      <c r="R145" s="26"/>
      <c r="S145" s="26"/>
      <c r="T145" s="26"/>
      <c r="U145" s="9"/>
    </row>
    <row r="146" customFormat="false" ht="15" hidden="false" customHeight="false" outlineLevel="0" collapsed="false">
      <c r="A146" s="9"/>
      <c r="B146" s="9"/>
      <c r="C146" s="9"/>
      <c r="D146" s="18" t="str">
        <f aca="false">IF(C146="","",IFERROR(INDEX(MASTER!$B$19:$B$38,MATCH(C146,MASTER!$A$19:$A$38,0)),"ID no existe"))</f>
        <v/>
      </c>
      <c r="E146" s="9"/>
      <c r="F146" s="9"/>
      <c r="G146" s="9"/>
      <c r="H146" s="25"/>
      <c r="I146" s="14"/>
      <c r="J146" s="14"/>
      <c r="K146" s="18" t="str">
        <f aca="false">IF(A146="","",COUNTIF(RESTRICCIONES!$B$5:$B$304,A146))</f>
        <v/>
      </c>
      <c r="L146" s="18" t="str">
        <f aca="false">IF(A146="","",COUNTIFS(RESTRICCIONES!$B$5:$B$304,A146,RESTRICCIONES!$L$5:$L$304,"Pendiente"))</f>
        <v/>
      </c>
      <c r="M146" s="16" t="str">
        <f aca="false">IF(A146="","",IF(L146=0,"LISTA","RESTRINGIDA"))</f>
        <v/>
      </c>
      <c r="N146" s="19" t="str">
        <f aca="false">IF(OR(A146="",H146=""),"",IFERROR(MIN(1,SUMIF(SEMANAL!$C$7:$C$506,A146,SEMANAL!$W$7:$W$506)/H146),0))</f>
        <v/>
      </c>
      <c r="O146" s="26"/>
      <c r="P146" s="26"/>
      <c r="Q146" s="26"/>
      <c r="R146" s="26"/>
      <c r="S146" s="26"/>
      <c r="T146" s="26"/>
      <c r="U146" s="9"/>
    </row>
    <row r="147" customFormat="false" ht="15" hidden="false" customHeight="false" outlineLevel="0" collapsed="false">
      <c r="A147" s="9"/>
      <c r="B147" s="9"/>
      <c r="C147" s="9"/>
      <c r="D147" s="18" t="str">
        <f aca="false">IF(C147="","",IFERROR(INDEX(MASTER!$B$19:$B$38,MATCH(C147,MASTER!$A$19:$A$38,0)),"ID no existe"))</f>
        <v/>
      </c>
      <c r="E147" s="9"/>
      <c r="F147" s="9"/>
      <c r="G147" s="9"/>
      <c r="H147" s="25"/>
      <c r="I147" s="14"/>
      <c r="J147" s="14"/>
      <c r="K147" s="18" t="str">
        <f aca="false">IF(A147="","",COUNTIF(RESTRICCIONES!$B$5:$B$304,A147))</f>
        <v/>
      </c>
      <c r="L147" s="18" t="str">
        <f aca="false">IF(A147="","",COUNTIFS(RESTRICCIONES!$B$5:$B$304,A147,RESTRICCIONES!$L$5:$L$304,"Pendiente"))</f>
        <v/>
      </c>
      <c r="M147" s="16" t="str">
        <f aca="false">IF(A147="","",IF(L147=0,"LISTA","RESTRINGIDA"))</f>
        <v/>
      </c>
      <c r="N147" s="19" t="str">
        <f aca="false">IF(OR(A147="",H147=""),"",IFERROR(MIN(1,SUMIF(SEMANAL!$C$7:$C$506,A147,SEMANAL!$W$7:$W$506)/H147),0))</f>
        <v/>
      </c>
      <c r="O147" s="26"/>
      <c r="P147" s="26"/>
      <c r="Q147" s="26"/>
      <c r="R147" s="26"/>
      <c r="S147" s="26"/>
      <c r="T147" s="26"/>
      <c r="U147" s="9"/>
    </row>
    <row r="148" customFormat="false" ht="15" hidden="false" customHeight="false" outlineLevel="0" collapsed="false">
      <c r="A148" s="9"/>
      <c r="B148" s="9"/>
      <c r="C148" s="9"/>
      <c r="D148" s="18" t="str">
        <f aca="false">IF(C148="","",IFERROR(INDEX(MASTER!$B$19:$B$38,MATCH(C148,MASTER!$A$19:$A$38,0)),"ID no existe"))</f>
        <v/>
      </c>
      <c r="E148" s="9"/>
      <c r="F148" s="9"/>
      <c r="G148" s="9"/>
      <c r="H148" s="25"/>
      <c r="I148" s="14"/>
      <c r="J148" s="14"/>
      <c r="K148" s="18" t="str">
        <f aca="false">IF(A148="","",COUNTIF(RESTRICCIONES!$B$5:$B$304,A148))</f>
        <v/>
      </c>
      <c r="L148" s="18" t="str">
        <f aca="false">IF(A148="","",COUNTIFS(RESTRICCIONES!$B$5:$B$304,A148,RESTRICCIONES!$L$5:$L$304,"Pendiente"))</f>
        <v/>
      </c>
      <c r="M148" s="16" t="str">
        <f aca="false">IF(A148="","",IF(L148=0,"LISTA","RESTRINGIDA"))</f>
        <v/>
      </c>
      <c r="N148" s="19" t="str">
        <f aca="false">IF(OR(A148="",H148=""),"",IFERROR(MIN(1,SUMIF(SEMANAL!$C$7:$C$506,A148,SEMANAL!$W$7:$W$506)/H148),0))</f>
        <v/>
      </c>
      <c r="O148" s="26"/>
      <c r="P148" s="26"/>
      <c r="Q148" s="26"/>
      <c r="R148" s="26"/>
      <c r="S148" s="26"/>
      <c r="T148" s="26"/>
      <c r="U148" s="9"/>
    </row>
    <row r="149" customFormat="false" ht="15" hidden="false" customHeight="false" outlineLevel="0" collapsed="false">
      <c r="A149" s="9"/>
      <c r="B149" s="9"/>
      <c r="C149" s="9"/>
      <c r="D149" s="18" t="str">
        <f aca="false">IF(C149="","",IFERROR(INDEX(MASTER!$B$19:$B$38,MATCH(C149,MASTER!$A$19:$A$38,0)),"ID no existe"))</f>
        <v/>
      </c>
      <c r="E149" s="9"/>
      <c r="F149" s="9"/>
      <c r="G149" s="9"/>
      <c r="H149" s="25"/>
      <c r="I149" s="14"/>
      <c r="J149" s="14"/>
      <c r="K149" s="18" t="str">
        <f aca="false">IF(A149="","",COUNTIF(RESTRICCIONES!$B$5:$B$304,A149))</f>
        <v/>
      </c>
      <c r="L149" s="18" t="str">
        <f aca="false">IF(A149="","",COUNTIFS(RESTRICCIONES!$B$5:$B$304,A149,RESTRICCIONES!$L$5:$L$304,"Pendiente"))</f>
        <v/>
      </c>
      <c r="M149" s="16" t="str">
        <f aca="false">IF(A149="","",IF(L149=0,"LISTA","RESTRINGIDA"))</f>
        <v/>
      </c>
      <c r="N149" s="19" t="str">
        <f aca="false">IF(OR(A149="",H149=""),"",IFERROR(MIN(1,SUMIF(SEMANAL!$C$7:$C$506,A149,SEMANAL!$W$7:$W$506)/H149),0))</f>
        <v/>
      </c>
      <c r="O149" s="26"/>
      <c r="P149" s="26"/>
      <c r="Q149" s="26"/>
      <c r="R149" s="26"/>
      <c r="S149" s="26"/>
      <c r="T149" s="26"/>
      <c r="U149" s="9"/>
    </row>
    <row r="150" customFormat="false" ht="15" hidden="false" customHeight="false" outlineLevel="0" collapsed="false">
      <c r="A150" s="9"/>
      <c r="B150" s="9"/>
      <c r="C150" s="9"/>
      <c r="D150" s="18" t="str">
        <f aca="false">IF(C150="","",IFERROR(INDEX(MASTER!$B$19:$B$38,MATCH(C150,MASTER!$A$19:$A$38,0)),"ID no existe"))</f>
        <v/>
      </c>
      <c r="E150" s="9"/>
      <c r="F150" s="9"/>
      <c r="G150" s="9"/>
      <c r="H150" s="25"/>
      <c r="I150" s="14"/>
      <c r="J150" s="14"/>
      <c r="K150" s="18" t="str">
        <f aca="false">IF(A150="","",COUNTIF(RESTRICCIONES!$B$5:$B$304,A150))</f>
        <v/>
      </c>
      <c r="L150" s="18" t="str">
        <f aca="false">IF(A150="","",COUNTIFS(RESTRICCIONES!$B$5:$B$304,A150,RESTRICCIONES!$L$5:$L$304,"Pendiente"))</f>
        <v/>
      </c>
      <c r="M150" s="16" t="str">
        <f aca="false">IF(A150="","",IF(L150=0,"LISTA","RESTRINGIDA"))</f>
        <v/>
      </c>
      <c r="N150" s="19" t="str">
        <f aca="false">IF(OR(A150="",H150=""),"",IFERROR(MIN(1,SUMIF(SEMANAL!$C$7:$C$506,A150,SEMANAL!$W$7:$W$506)/H150),0))</f>
        <v/>
      </c>
      <c r="O150" s="26"/>
      <c r="P150" s="26"/>
      <c r="Q150" s="26"/>
      <c r="R150" s="26"/>
      <c r="S150" s="26"/>
      <c r="T150" s="26"/>
      <c r="U150" s="9"/>
    </row>
    <row r="151" customFormat="false" ht="15" hidden="false" customHeight="false" outlineLevel="0" collapsed="false">
      <c r="A151" s="9"/>
      <c r="B151" s="9"/>
      <c r="C151" s="9"/>
      <c r="D151" s="18" t="str">
        <f aca="false">IF(C151="","",IFERROR(INDEX(MASTER!$B$19:$B$38,MATCH(C151,MASTER!$A$19:$A$38,0)),"ID no existe"))</f>
        <v/>
      </c>
      <c r="E151" s="9"/>
      <c r="F151" s="9"/>
      <c r="G151" s="9"/>
      <c r="H151" s="25"/>
      <c r="I151" s="14"/>
      <c r="J151" s="14"/>
      <c r="K151" s="18" t="str">
        <f aca="false">IF(A151="","",COUNTIF(RESTRICCIONES!$B$5:$B$304,A151))</f>
        <v/>
      </c>
      <c r="L151" s="18" t="str">
        <f aca="false">IF(A151="","",COUNTIFS(RESTRICCIONES!$B$5:$B$304,A151,RESTRICCIONES!$L$5:$L$304,"Pendiente"))</f>
        <v/>
      </c>
      <c r="M151" s="16" t="str">
        <f aca="false">IF(A151="","",IF(L151=0,"LISTA","RESTRINGIDA"))</f>
        <v/>
      </c>
      <c r="N151" s="19" t="str">
        <f aca="false">IF(OR(A151="",H151=""),"",IFERROR(MIN(1,SUMIF(SEMANAL!$C$7:$C$506,A151,SEMANAL!$W$7:$W$506)/H151),0))</f>
        <v/>
      </c>
      <c r="O151" s="26"/>
      <c r="P151" s="26"/>
      <c r="Q151" s="26"/>
      <c r="R151" s="26"/>
      <c r="S151" s="26"/>
      <c r="T151" s="26"/>
      <c r="U151" s="9"/>
    </row>
    <row r="152" customFormat="false" ht="15" hidden="false" customHeight="false" outlineLevel="0" collapsed="false">
      <c r="A152" s="9"/>
      <c r="B152" s="9"/>
      <c r="C152" s="9"/>
      <c r="D152" s="18" t="str">
        <f aca="false">IF(C152="","",IFERROR(INDEX(MASTER!$B$19:$B$38,MATCH(C152,MASTER!$A$19:$A$38,0)),"ID no existe"))</f>
        <v/>
      </c>
      <c r="E152" s="9"/>
      <c r="F152" s="9"/>
      <c r="G152" s="9"/>
      <c r="H152" s="25"/>
      <c r="I152" s="14"/>
      <c r="J152" s="14"/>
      <c r="K152" s="18" t="str">
        <f aca="false">IF(A152="","",COUNTIF(RESTRICCIONES!$B$5:$B$304,A152))</f>
        <v/>
      </c>
      <c r="L152" s="18" t="str">
        <f aca="false">IF(A152="","",COUNTIFS(RESTRICCIONES!$B$5:$B$304,A152,RESTRICCIONES!$L$5:$L$304,"Pendiente"))</f>
        <v/>
      </c>
      <c r="M152" s="16" t="str">
        <f aca="false">IF(A152="","",IF(L152=0,"LISTA","RESTRINGIDA"))</f>
        <v/>
      </c>
      <c r="N152" s="19" t="str">
        <f aca="false">IF(OR(A152="",H152=""),"",IFERROR(MIN(1,SUMIF(SEMANAL!$C$7:$C$506,A152,SEMANAL!$W$7:$W$506)/H152),0))</f>
        <v/>
      </c>
      <c r="O152" s="26"/>
      <c r="P152" s="26"/>
      <c r="Q152" s="26"/>
      <c r="R152" s="26"/>
      <c r="S152" s="26"/>
      <c r="T152" s="26"/>
      <c r="U152" s="9"/>
    </row>
    <row r="153" customFormat="false" ht="15" hidden="false" customHeight="false" outlineLevel="0" collapsed="false">
      <c r="A153" s="9"/>
      <c r="B153" s="9"/>
      <c r="C153" s="9"/>
      <c r="D153" s="18" t="str">
        <f aca="false">IF(C153="","",IFERROR(INDEX(MASTER!$B$19:$B$38,MATCH(C153,MASTER!$A$19:$A$38,0)),"ID no existe"))</f>
        <v/>
      </c>
      <c r="E153" s="9"/>
      <c r="F153" s="9"/>
      <c r="G153" s="9"/>
      <c r="H153" s="25"/>
      <c r="I153" s="14"/>
      <c r="J153" s="14"/>
      <c r="K153" s="18" t="str">
        <f aca="false">IF(A153="","",COUNTIF(RESTRICCIONES!$B$5:$B$304,A153))</f>
        <v/>
      </c>
      <c r="L153" s="18" t="str">
        <f aca="false">IF(A153="","",COUNTIFS(RESTRICCIONES!$B$5:$B$304,A153,RESTRICCIONES!$L$5:$L$304,"Pendiente"))</f>
        <v/>
      </c>
      <c r="M153" s="16" t="str">
        <f aca="false">IF(A153="","",IF(L153=0,"LISTA","RESTRINGIDA"))</f>
        <v/>
      </c>
      <c r="N153" s="19" t="str">
        <f aca="false">IF(OR(A153="",H153=""),"",IFERROR(MIN(1,SUMIF(SEMANAL!$C$7:$C$506,A153,SEMANAL!$W$7:$W$506)/H153),0))</f>
        <v/>
      </c>
      <c r="O153" s="26"/>
      <c r="P153" s="26"/>
      <c r="Q153" s="26"/>
      <c r="R153" s="26"/>
      <c r="S153" s="26"/>
      <c r="T153" s="26"/>
      <c r="U153" s="9"/>
    </row>
    <row r="154" customFormat="false" ht="15" hidden="false" customHeight="false" outlineLevel="0" collapsed="false">
      <c r="A154" s="9"/>
      <c r="B154" s="9"/>
      <c r="C154" s="9"/>
      <c r="D154" s="18" t="str">
        <f aca="false">IF(C154="","",IFERROR(INDEX(MASTER!$B$19:$B$38,MATCH(C154,MASTER!$A$19:$A$38,0)),"ID no existe"))</f>
        <v/>
      </c>
      <c r="E154" s="9"/>
      <c r="F154" s="9"/>
      <c r="G154" s="9"/>
      <c r="H154" s="25"/>
      <c r="I154" s="14"/>
      <c r="J154" s="14"/>
      <c r="K154" s="18" t="str">
        <f aca="false">IF(A154="","",COUNTIF(RESTRICCIONES!$B$5:$B$304,A154))</f>
        <v/>
      </c>
      <c r="L154" s="18" t="str">
        <f aca="false">IF(A154="","",COUNTIFS(RESTRICCIONES!$B$5:$B$304,A154,RESTRICCIONES!$L$5:$L$304,"Pendiente"))</f>
        <v/>
      </c>
      <c r="M154" s="16" t="str">
        <f aca="false">IF(A154="","",IF(L154=0,"LISTA","RESTRINGIDA"))</f>
        <v/>
      </c>
      <c r="N154" s="19" t="str">
        <f aca="false">IF(OR(A154="",H154=""),"",IFERROR(MIN(1,SUMIF(SEMANAL!$C$7:$C$506,A154,SEMANAL!$W$7:$W$506)/H154),0))</f>
        <v/>
      </c>
      <c r="O154" s="26"/>
      <c r="P154" s="26"/>
      <c r="Q154" s="26"/>
      <c r="R154" s="26"/>
      <c r="S154" s="26"/>
      <c r="T154" s="26"/>
      <c r="U154" s="9"/>
    </row>
    <row r="155" customFormat="false" ht="15" hidden="false" customHeight="false" outlineLevel="0" collapsed="false">
      <c r="A155" s="9"/>
      <c r="B155" s="9"/>
      <c r="C155" s="9"/>
      <c r="D155" s="18" t="str">
        <f aca="false">IF(C155="","",IFERROR(INDEX(MASTER!$B$19:$B$38,MATCH(C155,MASTER!$A$19:$A$38,0)),"ID no existe"))</f>
        <v/>
      </c>
      <c r="E155" s="9"/>
      <c r="F155" s="9"/>
      <c r="G155" s="9"/>
      <c r="H155" s="25"/>
      <c r="I155" s="14"/>
      <c r="J155" s="14"/>
      <c r="K155" s="18" t="str">
        <f aca="false">IF(A155="","",COUNTIF(RESTRICCIONES!$B$5:$B$304,A155))</f>
        <v/>
      </c>
      <c r="L155" s="18" t="str">
        <f aca="false">IF(A155="","",COUNTIFS(RESTRICCIONES!$B$5:$B$304,A155,RESTRICCIONES!$L$5:$L$304,"Pendiente"))</f>
        <v/>
      </c>
      <c r="M155" s="16" t="str">
        <f aca="false">IF(A155="","",IF(L155=0,"LISTA","RESTRINGIDA"))</f>
        <v/>
      </c>
      <c r="N155" s="19" t="str">
        <f aca="false">IF(OR(A155="",H155=""),"",IFERROR(MIN(1,SUMIF(SEMANAL!$C$7:$C$506,A155,SEMANAL!$W$7:$W$506)/H155),0))</f>
        <v/>
      </c>
      <c r="O155" s="26"/>
      <c r="P155" s="26"/>
      <c r="Q155" s="26"/>
      <c r="R155" s="26"/>
      <c r="S155" s="26"/>
      <c r="T155" s="26"/>
      <c r="U155" s="9"/>
    </row>
    <row r="156" customFormat="false" ht="15" hidden="false" customHeight="false" outlineLevel="0" collapsed="false">
      <c r="A156" s="9"/>
      <c r="B156" s="9"/>
      <c r="C156" s="9"/>
      <c r="D156" s="18" t="str">
        <f aca="false">IF(C156="","",IFERROR(INDEX(MASTER!$B$19:$B$38,MATCH(C156,MASTER!$A$19:$A$38,0)),"ID no existe"))</f>
        <v/>
      </c>
      <c r="E156" s="9"/>
      <c r="F156" s="9"/>
      <c r="G156" s="9"/>
      <c r="H156" s="25"/>
      <c r="I156" s="14"/>
      <c r="J156" s="14"/>
      <c r="K156" s="18" t="str">
        <f aca="false">IF(A156="","",COUNTIF(RESTRICCIONES!$B$5:$B$304,A156))</f>
        <v/>
      </c>
      <c r="L156" s="18" t="str">
        <f aca="false">IF(A156="","",COUNTIFS(RESTRICCIONES!$B$5:$B$304,A156,RESTRICCIONES!$L$5:$L$304,"Pendiente"))</f>
        <v/>
      </c>
      <c r="M156" s="16" t="str">
        <f aca="false">IF(A156="","",IF(L156=0,"LISTA","RESTRINGIDA"))</f>
        <v/>
      </c>
      <c r="N156" s="19" t="str">
        <f aca="false">IF(OR(A156="",H156=""),"",IFERROR(MIN(1,SUMIF(SEMANAL!$C$7:$C$506,A156,SEMANAL!$W$7:$W$506)/H156),0))</f>
        <v/>
      </c>
      <c r="O156" s="26"/>
      <c r="P156" s="26"/>
      <c r="Q156" s="26"/>
      <c r="R156" s="26"/>
      <c r="S156" s="26"/>
      <c r="T156" s="26"/>
      <c r="U156" s="9"/>
    </row>
    <row r="157" customFormat="false" ht="15" hidden="false" customHeight="false" outlineLevel="0" collapsed="false">
      <c r="A157" s="9"/>
      <c r="B157" s="9"/>
      <c r="C157" s="9"/>
      <c r="D157" s="18" t="str">
        <f aca="false">IF(C157="","",IFERROR(INDEX(MASTER!$B$19:$B$38,MATCH(C157,MASTER!$A$19:$A$38,0)),"ID no existe"))</f>
        <v/>
      </c>
      <c r="E157" s="9"/>
      <c r="F157" s="9"/>
      <c r="G157" s="9"/>
      <c r="H157" s="25"/>
      <c r="I157" s="14"/>
      <c r="J157" s="14"/>
      <c r="K157" s="18" t="str">
        <f aca="false">IF(A157="","",COUNTIF(RESTRICCIONES!$B$5:$B$304,A157))</f>
        <v/>
      </c>
      <c r="L157" s="18" t="str">
        <f aca="false">IF(A157="","",COUNTIFS(RESTRICCIONES!$B$5:$B$304,A157,RESTRICCIONES!$L$5:$L$304,"Pendiente"))</f>
        <v/>
      </c>
      <c r="M157" s="16" t="str">
        <f aca="false">IF(A157="","",IF(L157=0,"LISTA","RESTRINGIDA"))</f>
        <v/>
      </c>
      <c r="N157" s="19" t="str">
        <f aca="false">IF(OR(A157="",H157=""),"",IFERROR(MIN(1,SUMIF(SEMANAL!$C$7:$C$506,A157,SEMANAL!$W$7:$W$506)/H157),0))</f>
        <v/>
      </c>
      <c r="O157" s="26"/>
      <c r="P157" s="26"/>
      <c r="Q157" s="26"/>
      <c r="R157" s="26"/>
      <c r="S157" s="26"/>
      <c r="T157" s="26"/>
      <c r="U157" s="9"/>
    </row>
    <row r="158" customFormat="false" ht="15" hidden="false" customHeight="false" outlineLevel="0" collapsed="false">
      <c r="A158" s="9"/>
      <c r="B158" s="9"/>
      <c r="C158" s="9"/>
      <c r="D158" s="18" t="str">
        <f aca="false">IF(C158="","",IFERROR(INDEX(MASTER!$B$19:$B$38,MATCH(C158,MASTER!$A$19:$A$38,0)),"ID no existe"))</f>
        <v/>
      </c>
      <c r="E158" s="9"/>
      <c r="F158" s="9"/>
      <c r="G158" s="9"/>
      <c r="H158" s="25"/>
      <c r="I158" s="14"/>
      <c r="J158" s="14"/>
      <c r="K158" s="18" t="str">
        <f aca="false">IF(A158="","",COUNTIF(RESTRICCIONES!$B$5:$B$304,A158))</f>
        <v/>
      </c>
      <c r="L158" s="18" t="str">
        <f aca="false">IF(A158="","",COUNTIFS(RESTRICCIONES!$B$5:$B$304,A158,RESTRICCIONES!$L$5:$L$304,"Pendiente"))</f>
        <v/>
      </c>
      <c r="M158" s="16" t="str">
        <f aca="false">IF(A158="","",IF(L158=0,"LISTA","RESTRINGIDA"))</f>
        <v/>
      </c>
      <c r="N158" s="19" t="str">
        <f aca="false">IF(OR(A158="",H158=""),"",IFERROR(MIN(1,SUMIF(SEMANAL!$C$7:$C$506,A158,SEMANAL!$W$7:$W$506)/H158),0))</f>
        <v/>
      </c>
      <c r="O158" s="26"/>
      <c r="P158" s="26"/>
      <c r="Q158" s="26"/>
      <c r="R158" s="26"/>
      <c r="S158" s="26"/>
      <c r="T158" s="26"/>
      <c r="U158" s="9"/>
    </row>
    <row r="159" customFormat="false" ht="15" hidden="false" customHeight="false" outlineLevel="0" collapsed="false">
      <c r="A159" s="9"/>
      <c r="B159" s="9"/>
      <c r="C159" s="9"/>
      <c r="D159" s="18" t="str">
        <f aca="false">IF(C159="","",IFERROR(INDEX(MASTER!$B$19:$B$38,MATCH(C159,MASTER!$A$19:$A$38,0)),"ID no existe"))</f>
        <v/>
      </c>
      <c r="E159" s="9"/>
      <c r="F159" s="9"/>
      <c r="G159" s="9"/>
      <c r="H159" s="25"/>
      <c r="I159" s="14"/>
      <c r="J159" s="14"/>
      <c r="K159" s="18" t="str">
        <f aca="false">IF(A159="","",COUNTIF(RESTRICCIONES!$B$5:$B$304,A159))</f>
        <v/>
      </c>
      <c r="L159" s="18" t="str">
        <f aca="false">IF(A159="","",COUNTIFS(RESTRICCIONES!$B$5:$B$304,A159,RESTRICCIONES!$L$5:$L$304,"Pendiente"))</f>
        <v/>
      </c>
      <c r="M159" s="16" t="str">
        <f aca="false">IF(A159="","",IF(L159=0,"LISTA","RESTRINGIDA"))</f>
        <v/>
      </c>
      <c r="N159" s="19" t="str">
        <f aca="false">IF(OR(A159="",H159=""),"",IFERROR(MIN(1,SUMIF(SEMANAL!$C$7:$C$506,A159,SEMANAL!$W$7:$W$506)/H159),0))</f>
        <v/>
      </c>
      <c r="O159" s="26"/>
      <c r="P159" s="26"/>
      <c r="Q159" s="26"/>
      <c r="R159" s="26"/>
      <c r="S159" s="26"/>
      <c r="T159" s="26"/>
      <c r="U159" s="9"/>
    </row>
    <row r="160" customFormat="false" ht="15" hidden="false" customHeight="false" outlineLevel="0" collapsed="false">
      <c r="A160" s="9"/>
      <c r="B160" s="9"/>
      <c r="C160" s="9"/>
      <c r="D160" s="18" t="str">
        <f aca="false">IF(C160="","",IFERROR(INDEX(MASTER!$B$19:$B$38,MATCH(C160,MASTER!$A$19:$A$38,0)),"ID no existe"))</f>
        <v/>
      </c>
      <c r="E160" s="9"/>
      <c r="F160" s="9"/>
      <c r="G160" s="9"/>
      <c r="H160" s="25"/>
      <c r="I160" s="14"/>
      <c r="J160" s="14"/>
      <c r="K160" s="18" t="str">
        <f aca="false">IF(A160="","",COUNTIF(RESTRICCIONES!$B$5:$B$304,A160))</f>
        <v/>
      </c>
      <c r="L160" s="18" t="str">
        <f aca="false">IF(A160="","",COUNTIFS(RESTRICCIONES!$B$5:$B$304,A160,RESTRICCIONES!$L$5:$L$304,"Pendiente"))</f>
        <v/>
      </c>
      <c r="M160" s="16" t="str">
        <f aca="false">IF(A160="","",IF(L160=0,"LISTA","RESTRINGIDA"))</f>
        <v/>
      </c>
      <c r="N160" s="19" t="str">
        <f aca="false">IF(OR(A160="",H160=""),"",IFERROR(MIN(1,SUMIF(SEMANAL!$C$7:$C$506,A160,SEMANAL!$W$7:$W$506)/H160),0))</f>
        <v/>
      </c>
      <c r="O160" s="26"/>
      <c r="P160" s="26"/>
      <c r="Q160" s="26"/>
      <c r="R160" s="26"/>
      <c r="S160" s="26"/>
      <c r="T160" s="26"/>
      <c r="U160" s="9"/>
    </row>
    <row r="161" customFormat="false" ht="15" hidden="false" customHeight="false" outlineLevel="0" collapsed="false">
      <c r="A161" s="9"/>
      <c r="B161" s="9"/>
      <c r="C161" s="9"/>
      <c r="D161" s="18" t="str">
        <f aca="false">IF(C161="","",IFERROR(INDEX(MASTER!$B$19:$B$38,MATCH(C161,MASTER!$A$19:$A$38,0)),"ID no existe"))</f>
        <v/>
      </c>
      <c r="E161" s="9"/>
      <c r="F161" s="9"/>
      <c r="G161" s="9"/>
      <c r="H161" s="25"/>
      <c r="I161" s="14"/>
      <c r="J161" s="14"/>
      <c r="K161" s="18" t="str">
        <f aca="false">IF(A161="","",COUNTIF(RESTRICCIONES!$B$5:$B$304,A161))</f>
        <v/>
      </c>
      <c r="L161" s="18" t="str">
        <f aca="false">IF(A161="","",COUNTIFS(RESTRICCIONES!$B$5:$B$304,A161,RESTRICCIONES!$L$5:$L$304,"Pendiente"))</f>
        <v/>
      </c>
      <c r="M161" s="16" t="str">
        <f aca="false">IF(A161="","",IF(L161=0,"LISTA","RESTRINGIDA"))</f>
        <v/>
      </c>
      <c r="N161" s="19" t="str">
        <f aca="false">IF(OR(A161="",H161=""),"",IFERROR(MIN(1,SUMIF(SEMANAL!$C$7:$C$506,A161,SEMANAL!$W$7:$W$506)/H161),0))</f>
        <v/>
      </c>
      <c r="O161" s="26"/>
      <c r="P161" s="26"/>
      <c r="Q161" s="26"/>
      <c r="R161" s="26"/>
      <c r="S161" s="26"/>
      <c r="T161" s="26"/>
      <c r="U161" s="9"/>
    </row>
    <row r="162" customFormat="false" ht="15" hidden="false" customHeight="false" outlineLevel="0" collapsed="false">
      <c r="A162" s="9"/>
      <c r="B162" s="9"/>
      <c r="C162" s="9"/>
      <c r="D162" s="18" t="str">
        <f aca="false">IF(C162="","",IFERROR(INDEX(MASTER!$B$19:$B$38,MATCH(C162,MASTER!$A$19:$A$38,0)),"ID no existe"))</f>
        <v/>
      </c>
      <c r="E162" s="9"/>
      <c r="F162" s="9"/>
      <c r="G162" s="9"/>
      <c r="H162" s="25"/>
      <c r="I162" s="14"/>
      <c r="J162" s="14"/>
      <c r="K162" s="18" t="str">
        <f aca="false">IF(A162="","",COUNTIF(RESTRICCIONES!$B$5:$B$304,A162))</f>
        <v/>
      </c>
      <c r="L162" s="18" t="str">
        <f aca="false">IF(A162="","",COUNTIFS(RESTRICCIONES!$B$5:$B$304,A162,RESTRICCIONES!$L$5:$L$304,"Pendiente"))</f>
        <v/>
      </c>
      <c r="M162" s="16" t="str">
        <f aca="false">IF(A162="","",IF(L162=0,"LISTA","RESTRINGIDA"))</f>
        <v/>
      </c>
      <c r="N162" s="19" t="str">
        <f aca="false">IF(OR(A162="",H162=""),"",IFERROR(MIN(1,SUMIF(SEMANAL!$C$7:$C$506,A162,SEMANAL!$W$7:$W$506)/H162),0))</f>
        <v/>
      </c>
      <c r="O162" s="26"/>
      <c r="P162" s="26"/>
      <c r="Q162" s="26"/>
      <c r="R162" s="26"/>
      <c r="S162" s="26"/>
      <c r="T162" s="26"/>
      <c r="U162" s="9"/>
    </row>
    <row r="163" customFormat="false" ht="15" hidden="false" customHeight="false" outlineLevel="0" collapsed="false">
      <c r="A163" s="9"/>
      <c r="B163" s="9"/>
      <c r="C163" s="9"/>
      <c r="D163" s="18" t="str">
        <f aca="false">IF(C163="","",IFERROR(INDEX(MASTER!$B$19:$B$38,MATCH(C163,MASTER!$A$19:$A$38,0)),"ID no existe"))</f>
        <v/>
      </c>
      <c r="E163" s="9"/>
      <c r="F163" s="9"/>
      <c r="G163" s="9"/>
      <c r="H163" s="25"/>
      <c r="I163" s="14"/>
      <c r="J163" s="14"/>
      <c r="K163" s="18" t="str">
        <f aca="false">IF(A163="","",COUNTIF(RESTRICCIONES!$B$5:$B$304,A163))</f>
        <v/>
      </c>
      <c r="L163" s="18" t="str">
        <f aca="false">IF(A163="","",COUNTIFS(RESTRICCIONES!$B$5:$B$304,A163,RESTRICCIONES!$L$5:$L$304,"Pendiente"))</f>
        <v/>
      </c>
      <c r="M163" s="16" t="str">
        <f aca="false">IF(A163="","",IF(L163=0,"LISTA","RESTRINGIDA"))</f>
        <v/>
      </c>
      <c r="N163" s="19" t="str">
        <f aca="false">IF(OR(A163="",H163=""),"",IFERROR(MIN(1,SUMIF(SEMANAL!$C$7:$C$506,A163,SEMANAL!$W$7:$W$506)/H163),0))</f>
        <v/>
      </c>
      <c r="O163" s="26"/>
      <c r="P163" s="26"/>
      <c r="Q163" s="26"/>
      <c r="R163" s="26"/>
      <c r="S163" s="26"/>
      <c r="T163" s="26"/>
      <c r="U163" s="9"/>
    </row>
    <row r="164" customFormat="false" ht="15" hidden="false" customHeight="false" outlineLevel="0" collapsed="false">
      <c r="A164" s="9"/>
      <c r="B164" s="9"/>
      <c r="C164" s="9"/>
      <c r="D164" s="18" t="str">
        <f aca="false">IF(C164="","",IFERROR(INDEX(MASTER!$B$19:$B$38,MATCH(C164,MASTER!$A$19:$A$38,0)),"ID no existe"))</f>
        <v/>
      </c>
      <c r="E164" s="9"/>
      <c r="F164" s="9"/>
      <c r="G164" s="9"/>
      <c r="H164" s="25"/>
      <c r="I164" s="14"/>
      <c r="J164" s="14"/>
      <c r="K164" s="18" t="str">
        <f aca="false">IF(A164="","",COUNTIF(RESTRICCIONES!$B$5:$B$304,A164))</f>
        <v/>
      </c>
      <c r="L164" s="18" t="str">
        <f aca="false">IF(A164="","",COUNTIFS(RESTRICCIONES!$B$5:$B$304,A164,RESTRICCIONES!$L$5:$L$304,"Pendiente"))</f>
        <v/>
      </c>
      <c r="M164" s="16" t="str">
        <f aca="false">IF(A164="","",IF(L164=0,"LISTA","RESTRINGIDA"))</f>
        <v/>
      </c>
      <c r="N164" s="19" t="str">
        <f aca="false">IF(OR(A164="",H164=""),"",IFERROR(MIN(1,SUMIF(SEMANAL!$C$7:$C$506,A164,SEMANAL!$W$7:$W$506)/H164),0))</f>
        <v/>
      </c>
      <c r="O164" s="26"/>
      <c r="P164" s="26"/>
      <c r="Q164" s="26"/>
      <c r="R164" s="26"/>
      <c r="S164" s="26"/>
      <c r="T164" s="26"/>
      <c r="U164" s="9"/>
    </row>
    <row r="165" customFormat="false" ht="15" hidden="false" customHeight="false" outlineLevel="0" collapsed="false">
      <c r="A165" s="9"/>
      <c r="B165" s="9"/>
      <c r="C165" s="9"/>
      <c r="D165" s="18" t="str">
        <f aca="false">IF(C165="","",IFERROR(INDEX(MASTER!$B$19:$B$38,MATCH(C165,MASTER!$A$19:$A$38,0)),"ID no existe"))</f>
        <v/>
      </c>
      <c r="E165" s="9"/>
      <c r="F165" s="9"/>
      <c r="G165" s="9"/>
      <c r="H165" s="25"/>
      <c r="I165" s="14"/>
      <c r="J165" s="14"/>
      <c r="K165" s="18" t="str">
        <f aca="false">IF(A165="","",COUNTIF(RESTRICCIONES!$B$5:$B$304,A165))</f>
        <v/>
      </c>
      <c r="L165" s="18" t="str">
        <f aca="false">IF(A165="","",COUNTIFS(RESTRICCIONES!$B$5:$B$304,A165,RESTRICCIONES!$L$5:$L$304,"Pendiente"))</f>
        <v/>
      </c>
      <c r="M165" s="16" t="str">
        <f aca="false">IF(A165="","",IF(L165=0,"LISTA","RESTRINGIDA"))</f>
        <v/>
      </c>
      <c r="N165" s="19" t="str">
        <f aca="false">IF(OR(A165="",H165=""),"",IFERROR(MIN(1,SUMIF(SEMANAL!$C$7:$C$506,A165,SEMANAL!$W$7:$W$506)/H165),0))</f>
        <v/>
      </c>
      <c r="O165" s="26"/>
      <c r="P165" s="26"/>
      <c r="Q165" s="26"/>
      <c r="R165" s="26"/>
      <c r="S165" s="26"/>
      <c r="T165" s="26"/>
      <c r="U165" s="9"/>
    </row>
    <row r="166" customFormat="false" ht="15" hidden="false" customHeight="false" outlineLevel="0" collapsed="false">
      <c r="A166" s="9"/>
      <c r="B166" s="9"/>
      <c r="C166" s="9"/>
      <c r="D166" s="18" t="str">
        <f aca="false">IF(C166="","",IFERROR(INDEX(MASTER!$B$19:$B$38,MATCH(C166,MASTER!$A$19:$A$38,0)),"ID no existe"))</f>
        <v/>
      </c>
      <c r="E166" s="9"/>
      <c r="F166" s="9"/>
      <c r="G166" s="9"/>
      <c r="H166" s="25"/>
      <c r="I166" s="14"/>
      <c r="J166" s="14"/>
      <c r="K166" s="18" t="str">
        <f aca="false">IF(A166="","",COUNTIF(RESTRICCIONES!$B$5:$B$304,A166))</f>
        <v/>
      </c>
      <c r="L166" s="18" t="str">
        <f aca="false">IF(A166="","",COUNTIFS(RESTRICCIONES!$B$5:$B$304,A166,RESTRICCIONES!$L$5:$L$304,"Pendiente"))</f>
        <v/>
      </c>
      <c r="M166" s="16" t="str">
        <f aca="false">IF(A166="","",IF(L166=0,"LISTA","RESTRINGIDA"))</f>
        <v/>
      </c>
      <c r="N166" s="19" t="str">
        <f aca="false">IF(OR(A166="",H166=""),"",IFERROR(MIN(1,SUMIF(SEMANAL!$C$7:$C$506,A166,SEMANAL!$W$7:$W$506)/H166),0))</f>
        <v/>
      </c>
      <c r="O166" s="26"/>
      <c r="P166" s="26"/>
      <c r="Q166" s="26"/>
      <c r="R166" s="26"/>
      <c r="S166" s="26"/>
      <c r="T166" s="26"/>
      <c r="U166" s="9"/>
    </row>
    <row r="167" customFormat="false" ht="15" hidden="false" customHeight="false" outlineLevel="0" collapsed="false">
      <c r="A167" s="9"/>
      <c r="B167" s="9"/>
      <c r="C167" s="9"/>
      <c r="D167" s="18" t="str">
        <f aca="false">IF(C167="","",IFERROR(INDEX(MASTER!$B$19:$B$38,MATCH(C167,MASTER!$A$19:$A$38,0)),"ID no existe"))</f>
        <v/>
      </c>
      <c r="E167" s="9"/>
      <c r="F167" s="9"/>
      <c r="G167" s="9"/>
      <c r="H167" s="25"/>
      <c r="I167" s="14"/>
      <c r="J167" s="14"/>
      <c r="K167" s="18" t="str">
        <f aca="false">IF(A167="","",COUNTIF(RESTRICCIONES!$B$5:$B$304,A167))</f>
        <v/>
      </c>
      <c r="L167" s="18" t="str">
        <f aca="false">IF(A167="","",COUNTIFS(RESTRICCIONES!$B$5:$B$304,A167,RESTRICCIONES!$L$5:$L$304,"Pendiente"))</f>
        <v/>
      </c>
      <c r="M167" s="16" t="str">
        <f aca="false">IF(A167="","",IF(L167=0,"LISTA","RESTRINGIDA"))</f>
        <v/>
      </c>
      <c r="N167" s="19" t="str">
        <f aca="false">IF(OR(A167="",H167=""),"",IFERROR(MIN(1,SUMIF(SEMANAL!$C$7:$C$506,A167,SEMANAL!$W$7:$W$506)/H167),0))</f>
        <v/>
      </c>
      <c r="O167" s="26"/>
      <c r="P167" s="26"/>
      <c r="Q167" s="26"/>
      <c r="R167" s="26"/>
      <c r="S167" s="26"/>
      <c r="T167" s="26"/>
      <c r="U167" s="9"/>
    </row>
    <row r="168" customFormat="false" ht="15" hidden="false" customHeight="false" outlineLevel="0" collapsed="false">
      <c r="A168" s="9"/>
      <c r="B168" s="9"/>
      <c r="C168" s="9"/>
      <c r="D168" s="18" t="str">
        <f aca="false">IF(C168="","",IFERROR(INDEX(MASTER!$B$19:$B$38,MATCH(C168,MASTER!$A$19:$A$38,0)),"ID no existe"))</f>
        <v/>
      </c>
      <c r="E168" s="9"/>
      <c r="F168" s="9"/>
      <c r="G168" s="9"/>
      <c r="H168" s="25"/>
      <c r="I168" s="14"/>
      <c r="J168" s="14"/>
      <c r="K168" s="18" t="str">
        <f aca="false">IF(A168="","",COUNTIF(RESTRICCIONES!$B$5:$B$304,A168))</f>
        <v/>
      </c>
      <c r="L168" s="18" t="str">
        <f aca="false">IF(A168="","",COUNTIFS(RESTRICCIONES!$B$5:$B$304,A168,RESTRICCIONES!$L$5:$L$304,"Pendiente"))</f>
        <v/>
      </c>
      <c r="M168" s="16" t="str">
        <f aca="false">IF(A168="","",IF(L168=0,"LISTA","RESTRINGIDA"))</f>
        <v/>
      </c>
      <c r="N168" s="19" t="str">
        <f aca="false">IF(OR(A168="",H168=""),"",IFERROR(MIN(1,SUMIF(SEMANAL!$C$7:$C$506,A168,SEMANAL!$W$7:$W$506)/H168),0))</f>
        <v/>
      </c>
      <c r="O168" s="26"/>
      <c r="P168" s="26"/>
      <c r="Q168" s="26"/>
      <c r="R168" s="26"/>
      <c r="S168" s="26"/>
      <c r="T168" s="26"/>
      <c r="U168" s="9"/>
    </row>
    <row r="169" customFormat="false" ht="15" hidden="false" customHeight="false" outlineLevel="0" collapsed="false">
      <c r="A169" s="9"/>
      <c r="B169" s="9"/>
      <c r="C169" s="9"/>
      <c r="D169" s="18" t="str">
        <f aca="false">IF(C169="","",IFERROR(INDEX(MASTER!$B$19:$B$38,MATCH(C169,MASTER!$A$19:$A$38,0)),"ID no existe"))</f>
        <v/>
      </c>
      <c r="E169" s="9"/>
      <c r="F169" s="9"/>
      <c r="G169" s="9"/>
      <c r="H169" s="25"/>
      <c r="I169" s="14"/>
      <c r="J169" s="14"/>
      <c r="K169" s="18" t="str">
        <f aca="false">IF(A169="","",COUNTIF(RESTRICCIONES!$B$5:$B$304,A169))</f>
        <v/>
      </c>
      <c r="L169" s="18" t="str">
        <f aca="false">IF(A169="","",COUNTIFS(RESTRICCIONES!$B$5:$B$304,A169,RESTRICCIONES!$L$5:$L$304,"Pendiente"))</f>
        <v/>
      </c>
      <c r="M169" s="16" t="str">
        <f aca="false">IF(A169="","",IF(L169=0,"LISTA","RESTRINGIDA"))</f>
        <v/>
      </c>
      <c r="N169" s="19" t="str">
        <f aca="false">IF(OR(A169="",H169=""),"",IFERROR(MIN(1,SUMIF(SEMANAL!$C$7:$C$506,A169,SEMANAL!$W$7:$W$506)/H169),0))</f>
        <v/>
      </c>
      <c r="O169" s="26"/>
      <c r="P169" s="26"/>
      <c r="Q169" s="26"/>
      <c r="R169" s="26"/>
      <c r="S169" s="26"/>
      <c r="T169" s="26"/>
      <c r="U169" s="9"/>
    </row>
    <row r="170" customFormat="false" ht="15" hidden="false" customHeight="false" outlineLevel="0" collapsed="false">
      <c r="A170" s="9"/>
      <c r="B170" s="9"/>
      <c r="C170" s="9"/>
      <c r="D170" s="18" t="str">
        <f aca="false">IF(C170="","",IFERROR(INDEX(MASTER!$B$19:$B$38,MATCH(C170,MASTER!$A$19:$A$38,0)),"ID no existe"))</f>
        <v/>
      </c>
      <c r="E170" s="9"/>
      <c r="F170" s="9"/>
      <c r="G170" s="9"/>
      <c r="H170" s="25"/>
      <c r="I170" s="14"/>
      <c r="J170" s="14"/>
      <c r="K170" s="18" t="str">
        <f aca="false">IF(A170="","",COUNTIF(RESTRICCIONES!$B$5:$B$304,A170))</f>
        <v/>
      </c>
      <c r="L170" s="18" t="str">
        <f aca="false">IF(A170="","",COUNTIFS(RESTRICCIONES!$B$5:$B$304,A170,RESTRICCIONES!$L$5:$L$304,"Pendiente"))</f>
        <v/>
      </c>
      <c r="M170" s="16" t="str">
        <f aca="false">IF(A170="","",IF(L170=0,"LISTA","RESTRINGIDA"))</f>
        <v/>
      </c>
      <c r="N170" s="19" t="str">
        <f aca="false">IF(OR(A170="",H170=""),"",IFERROR(MIN(1,SUMIF(SEMANAL!$C$7:$C$506,A170,SEMANAL!$W$7:$W$506)/H170),0))</f>
        <v/>
      </c>
      <c r="O170" s="26"/>
      <c r="P170" s="26"/>
      <c r="Q170" s="26"/>
      <c r="R170" s="26"/>
      <c r="S170" s="26"/>
      <c r="T170" s="26"/>
      <c r="U170" s="9"/>
    </row>
    <row r="171" customFormat="false" ht="15" hidden="false" customHeight="false" outlineLevel="0" collapsed="false">
      <c r="A171" s="9"/>
      <c r="B171" s="9"/>
      <c r="C171" s="9"/>
      <c r="D171" s="18" t="str">
        <f aca="false">IF(C171="","",IFERROR(INDEX(MASTER!$B$19:$B$38,MATCH(C171,MASTER!$A$19:$A$38,0)),"ID no existe"))</f>
        <v/>
      </c>
      <c r="E171" s="9"/>
      <c r="F171" s="9"/>
      <c r="G171" s="9"/>
      <c r="H171" s="25"/>
      <c r="I171" s="14"/>
      <c r="J171" s="14"/>
      <c r="K171" s="18" t="str">
        <f aca="false">IF(A171="","",COUNTIF(RESTRICCIONES!$B$5:$B$304,A171))</f>
        <v/>
      </c>
      <c r="L171" s="18" t="str">
        <f aca="false">IF(A171="","",COUNTIFS(RESTRICCIONES!$B$5:$B$304,A171,RESTRICCIONES!$L$5:$L$304,"Pendiente"))</f>
        <v/>
      </c>
      <c r="M171" s="16" t="str">
        <f aca="false">IF(A171="","",IF(L171=0,"LISTA","RESTRINGIDA"))</f>
        <v/>
      </c>
      <c r="N171" s="19" t="str">
        <f aca="false">IF(OR(A171="",H171=""),"",IFERROR(MIN(1,SUMIF(SEMANAL!$C$7:$C$506,A171,SEMANAL!$W$7:$W$506)/H171),0))</f>
        <v/>
      </c>
      <c r="O171" s="26"/>
      <c r="P171" s="26"/>
      <c r="Q171" s="26"/>
      <c r="R171" s="26"/>
      <c r="S171" s="26"/>
      <c r="T171" s="26"/>
      <c r="U171" s="9"/>
    </row>
    <row r="172" customFormat="false" ht="15" hidden="false" customHeight="false" outlineLevel="0" collapsed="false">
      <c r="A172" s="9"/>
      <c r="B172" s="9"/>
      <c r="C172" s="9"/>
      <c r="D172" s="18" t="str">
        <f aca="false">IF(C172="","",IFERROR(INDEX(MASTER!$B$19:$B$38,MATCH(C172,MASTER!$A$19:$A$38,0)),"ID no existe"))</f>
        <v/>
      </c>
      <c r="E172" s="9"/>
      <c r="F172" s="9"/>
      <c r="G172" s="9"/>
      <c r="H172" s="25"/>
      <c r="I172" s="14"/>
      <c r="J172" s="14"/>
      <c r="K172" s="18" t="str">
        <f aca="false">IF(A172="","",COUNTIF(RESTRICCIONES!$B$5:$B$304,A172))</f>
        <v/>
      </c>
      <c r="L172" s="18" t="str">
        <f aca="false">IF(A172="","",COUNTIFS(RESTRICCIONES!$B$5:$B$304,A172,RESTRICCIONES!$L$5:$L$304,"Pendiente"))</f>
        <v/>
      </c>
      <c r="M172" s="16" t="str">
        <f aca="false">IF(A172="","",IF(L172=0,"LISTA","RESTRINGIDA"))</f>
        <v/>
      </c>
      <c r="N172" s="19" t="str">
        <f aca="false">IF(OR(A172="",H172=""),"",IFERROR(MIN(1,SUMIF(SEMANAL!$C$7:$C$506,A172,SEMANAL!$W$7:$W$506)/H172),0))</f>
        <v/>
      </c>
      <c r="O172" s="26"/>
      <c r="P172" s="26"/>
      <c r="Q172" s="26"/>
      <c r="R172" s="26"/>
      <c r="S172" s="26"/>
      <c r="T172" s="26"/>
      <c r="U172" s="9"/>
    </row>
    <row r="173" customFormat="false" ht="15" hidden="false" customHeight="false" outlineLevel="0" collapsed="false">
      <c r="A173" s="9"/>
      <c r="B173" s="9"/>
      <c r="C173" s="9"/>
      <c r="D173" s="18" t="str">
        <f aca="false">IF(C173="","",IFERROR(INDEX(MASTER!$B$19:$B$38,MATCH(C173,MASTER!$A$19:$A$38,0)),"ID no existe"))</f>
        <v/>
      </c>
      <c r="E173" s="9"/>
      <c r="F173" s="9"/>
      <c r="G173" s="9"/>
      <c r="H173" s="25"/>
      <c r="I173" s="14"/>
      <c r="J173" s="14"/>
      <c r="K173" s="18" t="str">
        <f aca="false">IF(A173="","",COUNTIF(RESTRICCIONES!$B$5:$B$304,A173))</f>
        <v/>
      </c>
      <c r="L173" s="18" t="str">
        <f aca="false">IF(A173="","",COUNTIFS(RESTRICCIONES!$B$5:$B$304,A173,RESTRICCIONES!$L$5:$L$304,"Pendiente"))</f>
        <v/>
      </c>
      <c r="M173" s="16" t="str">
        <f aca="false">IF(A173="","",IF(L173=0,"LISTA","RESTRINGIDA"))</f>
        <v/>
      </c>
      <c r="N173" s="19" t="str">
        <f aca="false">IF(OR(A173="",H173=""),"",IFERROR(MIN(1,SUMIF(SEMANAL!$C$7:$C$506,A173,SEMANAL!$W$7:$W$506)/H173),0))</f>
        <v/>
      </c>
      <c r="O173" s="26"/>
      <c r="P173" s="26"/>
      <c r="Q173" s="26"/>
      <c r="R173" s="26"/>
      <c r="S173" s="26"/>
      <c r="T173" s="26"/>
      <c r="U173" s="9"/>
    </row>
    <row r="174" customFormat="false" ht="15" hidden="false" customHeight="false" outlineLevel="0" collapsed="false">
      <c r="A174" s="9"/>
      <c r="B174" s="9"/>
      <c r="C174" s="9"/>
      <c r="D174" s="18" t="str">
        <f aca="false">IF(C174="","",IFERROR(INDEX(MASTER!$B$19:$B$38,MATCH(C174,MASTER!$A$19:$A$38,0)),"ID no existe"))</f>
        <v/>
      </c>
      <c r="E174" s="9"/>
      <c r="F174" s="9"/>
      <c r="G174" s="9"/>
      <c r="H174" s="25"/>
      <c r="I174" s="14"/>
      <c r="J174" s="14"/>
      <c r="K174" s="18" t="str">
        <f aca="false">IF(A174="","",COUNTIF(RESTRICCIONES!$B$5:$B$304,A174))</f>
        <v/>
      </c>
      <c r="L174" s="18" t="str">
        <f aca="false">IF(A174="","",COUNTIFS(RESTRICCIONES!$B$5:$B$304,A174,RESTRICCIONES!$L$5:$L$304,"Pendiente"))</f>
        <v/>
      </c>
      <c r="M174" s="16" t="str">
        <f aca="false">IF(A174="","",IF(L174=0,"LISTA","RESTRINGIDA"))</f>
        <v/>
      </c>
      <c r="N174" s="19" t="str">
        <f aca="false">IF(OR(A174="",H174=""),"",IFERROR(MIN(1,SUMIF(SEMANAL!$C$7:$C$506,A174,SEMANAL!$W$7:$W$506)/H174),0))</f>
        <v/>
      </c>
      <c r="O174" s="26"/>
      <c r="P174" s="26"/>
      <c r="Q174" s="26"/>
      <c r="R174" s="26"/>
      <c r="S174" s="26"/>
      <c r="T174" s="26"/>
      <c r="U174" s="9"/>
    </row>
    <row r="175" customFormat="false" ht="15" hidden="false" customHeight="false" outlineLevel="0" collapsed="false">
      <c r="A175" s="9"/>
      <c r="B175" s="9"/>
      <c r="C175" s="9"/>
      <c r="D175" s="18" t="str">
        <f aca="false">IF(C175="","",IFERROR(INDEX(MASTER!$B$19:$B$38,MATCH(C175,MASTER!$A$19:$A$38,0)),"ID no existe"))</f>
        <v/>
      </c>
      <c r="E175" s="9"/>
      <c r="F175" s="9"/>
      <c r="G175" s="9"/>
      <c r="H175" s="25"/>
      <c r="I175" s="14"/>
      <c r="J175" s="14"/>
      <c r="K175" s="18" t="str">
        <f aca="false">IF(A175="","",COUNTIF(RESTRICCIONES!$B$5:$B$304,A175))</f>
        <v/>
      </c>
      <c r="L175" s="18" t="str">
        <f aca="false">IF(A175="","",COUNTIFS(RESTRICCIONES!$B$5:$B$304,A175,RESTRICCIONES!$L$5:$L$304,"Pendiente"))</f>
        <v/>
      </c>
      <c r="M175" s="16" t="str">
        <f aca="false">IF(A175="","",IF(L175=0,"LISTA","RESTRINGIDA"))</f>
        <v/>
      </c>
      <c r="N175" s="19" t="str">
        <f aca="false">IF(OR(A175="",H175=""),"",IFERROR(MIN(1,SUMIF(SEMANAL!$C$7:$C$506,A175,SEMANAL!$W$7:$W$506)/H175),0))</f>
        <v/>
      </c>
      <c r="O175" s="26"/>
      <c r="P175" s="26"/>
      <c r="Q175" s="26"/>
      <c r="R175" s="26"/>
      <c r="S175" s="26"/>
      <c r="T175" s="26"/>
      <c r="U175" s="9"/>
    </row>
    <row r="176" customFormat="false" ht="15" hidden="false" customHeight="false" outlineLevel="0" collapsed="false">
      <c r="A176" s="9"/>
      <c r="B176" s="9"/>
      <c r="C176" s="9"/>
      <c r="D176" s="18" t="str">
        <f aca="false">IF(C176="","",IFERROR(INDEX(MASTER!$B$19:$B$38,MATCH(C176,MASTER!$A$19:$A$38,0)),"ID no existe"))</f>
        <v/>
      </c>
      <c r="E176" s="9"/>
      <c r="F176" s="9"/>
      <c r="G176" s="9"/>
      <c r="H176" s="25"/>
      <c r="I176" s="14"/>
      <c r="J176" s="14"/>
      <c r="K176" s="18" t="str">
        <f aca="false">IF(A176="","",COUNTIF(RESTRICCIONES!$B$5:$B$304,A176))</f>
        <v/>
      </c>
      <c r="L176" s="18" t="str">
        <f aca="false">IF(A176="","",COUNTIFS(RESTRICCIONES!$B$5:$B$304,A176,RESTRICCIONES!$L$5:$L$304,"Pendiente"))</f>
        <v/>
      </c>
      <c r="M176" s="16" t="str">
        <f aca="false">IF(A176="","",IF(L176=0,"LISTA","RESTRINGIDA"))</f>
        <v/>
      </c>
      <c r="N176" s="19" t="str">
        <f aca="false">IF(OR(A176="",H176=""),"",IFERROR(MIN(1,SUMIF(SEMANAL!$C$7:$C$506,A176,SEMANAL!$W$7:$W$506)/H176),0))</f>
        <v/>
      </c>
      <c r="O176" s="26"/>
      <c r="P176" s="26"/>
      <c r="Q176" s="26"/>
      <c r="R176" s="26"/>
      <c r="S176" s="26"/>
      <c r="T176" s="26"/>
      <c r="U176" s="9"/>
    </row>
    <row r="177" customFormat="false" ht="15" hidden="false" customHeight="false" outlineLevel="0" collapsed="false">
      <c r="A177" s="9"/>
      <c r="B177" s="9"/>
      <c r="C177" s="9"/>
      <c r="D177" s="18" t="str">
        <f aca="false">IF(C177="","",IFERROR(INDEX(MASTER!$B$19:$B$38,MATCH(C177,MASTER!$A$19:$A$38,0)),"ID no existe"))</f>
        <v/>
      </c>
      <c r="E177" s="9"/>
      <c r="F177" s="9"/>
      <c r="G177" s="9"/>
      <c r="H177" s="25"/>
      <c r="I177" s="14"/>
      <c r="J177" s="14"/>
      <c r="K177" s="18" t="str">
        <f aca="false">IF(A177="","",COUNTIF(RESTRICCIONES!$B$5:$B$304,A177))</f>
        <v/>
      </c>
      <c r="L177" s="18" t="str">
        <f aca="false">IF(A177="","",COUNTIFS(RESTRICCIONES!$B$5:$B$304,A177,RESTRICCIONES!$L$5:$L$304,"Pendiente"))</f>
        <v/>
      </c>
      <c r="M177" s="16" t="str">
        <f aca="false">IF(A177="","",IF(L177=0,"LISTA","RESTRINGIDA"))</f>
        <v/>
      </c>
      <c r="N177" s="19" t="str">
        <f aca="false">IF(OR(A177="",H177=""),"",IFERROR(MIN(1,SUMIF(SEMANAL!$C$7:$C$506,A177,SEMANAL!$W$7:$W$506)/H177),0))</f>
        <v/>
      </c>
      <c r="O177" s="26"/>
      <c r="P177" s="26"/>
      <c r="Q177" s="26"/>
      <c r="R177" s="26"/>
      <c r="S177" s="26"/>
      <c r="T177" s="26"/>
      <c r="U177" s="9"/>
    </row>
    <row r="178" customFormat="false" ht="15" hidden="false" customHeight="false" outlineLevel="0" collapsed="false">
      <c r="A178" s="9"/>
      <c r="B178" s="9"/>
      <c r="C178" s="9"/>
      <c r="D178" s="18" t="str">
        <f aca="false">IF(C178="","",IFERROR(INDEX(MASTER!$B$19:$B$38,MATCH(C178,MASTER!$A$19:$A$38,0)),"ID no existe"))</f>
        <v/>
      </c>
      <c r="E178" s="9"/>
      <c r="F178" s="9"/>
      <c r="G178" s="9"/>
      <c r="H178" s="25"/>
      <c r="I178" s="14"/>
      <c r="J178" s="14"/>
      <c r="K178" s="18" t="str">
        <f aca="false">IF(A178="","",COUNTIF(RESTRICCIONES!$B$5:$B$304,A178))</f>
        <v/>
      </c>
      <c r="L178" s="18" t="str">
        <f aca="false">IF(A178="","",COUNTIFS(RESTRICCIONES!$B$5:$B$304,A178,RESTRICCIONES!$L$5:$L$304,"Pendiente"))</f>
        <v/>
      </c>
      <c r="M178" s="16" t="str">
        <f aca="false">IF(A178="","",IF(L178=0,"LISTA","RESTRINGIDA"))</f>
        <v/>
      </c>
      <c r="N178" s="19" t="str">
        <f aca="false">IF(OR(A178="",H178=""),"",IFERROR(MIN(1,SUMIF(SEMANAL!$C$7:$C$506,A178,SEMANAL!$W$7:$W$506)/H178),0))</f>
        <v/>
      </c>
      <c r="O178" s="26"/>
      <c r="P178" s="26"/>
      <c r="Q178" s="26"/>
      <c r="R178" s="26"/>
      <c r="S178" s="26"/>
      <c r="T178" s="26"/>
      <c r="U178" s="9"/>
    </row>
    <row r="179" customFormat="false" ht="15" hidden="false" customHeight="false" outlineLevel="0" collapsed="false">
      <c r="A179" s="9"/>
      <c r="B179" s="9"/>
      <c r="C179" s="9"/>
      <c r="D179" s="18" t="str">
        <f aca="false">IF(C179="","",IFERROR(INDEX(MASTER!$B$19:$B$38,MATCH(C179,MASTER!$A$19:$A$38,0)),"ID no existe"))</f>
        <v/>
      </c>
      <c r="E179" s="9"/>
      <c r="F179" s="9"/>
      <c r="G179" s="9"/>
      <c r="H179" s="25"/>
      <c r="I179" s="14"/>
      <c r="J179" s="14"/>
      <c r="K179" s="18" t="str">
        <f aca="false">IF(A179="","",COUNTIF(RESTRICCIONES!$B$5:$B$304,A179))</f>
        <v/>
      </c>
      <c r="L179" s="18" t="str">
        <f aca="false">IF(A179="","",COUNTIFS(RESTRICCIONES!$B$5:$B$304,A179,RESTRICCIONES!$L$5:$L$304,"Pendiente"))</f>
        <v/>
      </c>
      <c r="M179" s="16" t="str">
        <f aca="false">IF(A179="","",IF(L179=0,"LISTA","RESTRINGIDA"))</f>
        <v/>
      </c>
      <c r="N179" s="19" t="str">
        <f aca="false">IF(OR(A179="",H179=""),"",IFERROR(MIN(1,SUMIF(SEMANAL!$C$7:$C$506,A179,SEMANAL!$W$7:$W$506)/H179),0))</f>
        <v/>
      </c>
      <c r="O179" s="26"/>
      <c r="P179" s="26"/>
      <c r="Q179" s="26"/>
      <c r="R179" s="26"/>
      <c r="S179" s="26"/>
      <c r="T179" s="26"/>
      <c r="U179" s="9"/>
    </row>
    <row r="180" customFormat="false" ht="15" hidden="false" customHeight="false" outlineLevel="0" collapsed="false">
      <c r="A180" s="9"/>
      <c r="B180" s="9"/>
      <c r="C180" s="9"/>
      <c r="D180" s="18" t="str">
        <f aca="false">IF(C180="","",IFERROR(INDEX(MASTER!$B$19:$B$38,MATCH(C180,MASTER!$A$19:$A$38,0)),"ID no existe"))</f>
        <v/>
      </c>
      <c r="E180" s="9"/>
      <c r="F180" s="9"/>
      <c r="G180" s="9"/>
      <c r="H180" s="25"/>
      <c r="I180" s="14"/>
      <c r="J180" s="14"/>
      <c r="K180" s="18" t="str">
        <f aca="false">IF(A180="","",COUNTIF(RESTRICCIONES!$B$5:$B$304,A180))</f>
        <v/>
      </c>
      <c r="L180" s="18" t="str">
        <f aca="false">IF(A180="","",COUNTIFS(RESTRICCIONES!$B$5:$B$304,A180,RESTRICCIONES!$L$5:$L$304,"Pendiente"))</f>
        <v/>
      </c>
      <c r="M180" s="16" t="str">
        <f aca="false">IF(A180="","",IF(L180=0,"LISTA","RESTRINGIDA"))</f>
        <v/>
      </c>
      <c r="N180" s="19" t="str">
        <f aca="false">IF(OR(A180="",H180=""),"",IFERROR(MIN(1,SUMIF(SEMANAL!$C$7:$C$506,A180,SEMANAL!$W$7:$W$506)/H180),0))</f>
        <v/>
      </c>
      <c r="O180" s="26"/>
      <c r="P180" s="26"/>
      <c r="Q180" s="26"/>
      <c r="R180" s="26"/>
      <c r="S180" s="26"/>
      <c r="T180" s="26"/>
      <c r="U180" s="9"/>
    </row>
    <row r="181" customFormat="false" ht="15" hidden="false" customHeight="false" outlineLevel="0" collapsed="false">
      <c r="A181" s="9"/>
      <c r="B181" s="9"/>
      <c r="C181" s="9"/>
      <c r="D181" s="18" t="str">
        <f aca="false">IF(C181="","",IFERROR(INDEX(MASTER!$B$19:$B$38,MATCH(C181,MASTER!$A$19:$A$38,0)),"ID no existe"))</f>
        <v/>
      </c>
      <c r="E181" s="9"/>
      <c r="F181" s="9"/>
      <c r="G181" s="9"/>
      <c r="H181" s="25"/>
      <c r="I181" s="14"/>
      <c r="J181" s="14"/>
      <c r="K181" s="18" t="str">
        <f aca="false">IF(A181="","",COUNTIF(RESTRICCIONES!$B$5:$B$304,A181))</f>
        <v/>
      </c>
      <c r="L181" s="18" t="str">
        <f aca="false">IF(A181="","",COUNTIFS(RESTRICCIONES!$B$5:$B$304,A181,RESTRICCIONES!$L$5:$L$304,"Pendiente"))</f>
        <v/>
      </c>
      <c r="M181" s="16" t="str">
        <f aca="false">IF(A181="","",IF(L181=0,"LISTA","RESTRINGIDA"))</f>
        <v/>
      </c>
      <c r="N181" s="19" t="str">
        <f aca="false">IF(OR(A181="",H181=""),"",IFERROR(MIN(1,SUMIF(SEMANAL!$C$7:$C$506,A181,SEMANAL!$W$7:$W$506)/H181),0))</f>
        <v/>
      </c>
      <c r="O181" s="26"/>
      <c r="P181" s="26"/>
      <c r="Q181" s="26"/>
      <c r="R181" s="26"/>
      <c r="S181" s="26"/>
      <c r="T181" s="26"/>
      <c r="U181" s="9"/>
    </row>
    <row r="182" customFormat="false" ht="15" hidden="false" customHeight="false" outlineLevel="0" collapsed="false">
      <c r="A182" s="9"/>
      <c r="B182" s="9"/>
      <c r="C182" s="9"/>
      <c r="D182" s="18" t="str">
        <f aca="false">IF(C182="","",IFERROR(INDEX(MASTER!$B$19:$B$38,MATCH(C182,MASTER!$A$19:$A$38,0)),"ID no existe"))</f>
        <v/>
      </c>
      <c r="E182" s="9"/>
      <c r="F182" s="9"/>
      <c r="G182" s="9"/>
      <c r="H182" s="25"/>
      <c r="I182" s="14"/>
      <c r="J182" s="14"/>
      <c r="K182" s="18" t="str">
        <f aca="false">IF(A182="","",COUNTIF(RESTRICCIONES!$B$5:$B$304,A182))</f>
        <v/>
      </c>
      <c r="L182" s="18" t="str">
        <f aca="false">IF(A182="","",COUNTIFS(RESTRICCIONES!$B$5:$B$304,A182,RESTRICCIONES!$L$5:$L$304,"Pendiente"))</f>
        <v/>
      </c>
      <c r="M182" s="16" t="str">
        <f aca="false">IF(A182="","",IF(L182=0,"LISTA","RESTRINGIDA"))</f>
        <v/>
      </c>
      <c r="N182" s="19" t="str">
        <f aca="false">IF(OR(A182="",H182=""),"",IFERROR(MIN(1,SUMIF(SEMANAL!$C$7:$C$506,A182,SEMANAL!$W$7:$W$506)/H182),0))</f>
        <v/>
      </c>
      <c r="O182" s="26"/>
      <c r="P182" s="26"/>
      <c r="Q182" s="26"/>
      <c r="R182" s="26"/>
      <c r="S182" s="26"/>
      <c r="T182" s="26"/>
      <c r="U182" s="9"/>
    </row>
    <row r="183" customFormat="false" ht="15" hidden="false" customHeight="false" outlineLevel="0" collapsed="false">
      <c r="A183" s="9"/>
      <c r="B183" s="9"/>
      <c r="C183" s="9"/>
      <c r="D183" s="18" t="str">
        <f aca="false">IF(C183="","",IFERROR(INDEX(MASTER!$B$19:$B$38,MATCH(C183,MASTER!$A$19:$A$38,0)),"ID no existe"))</f>
        <v/>
      </c>
      <c r="E183" s="9"/>
      <c r="F183" s="9"/>
      <c r="G183" s="9"/>
      <c r="H183" s="25"/>
      <c r="I183" s="14"/>
      <c r="J183" s="14"/>
      <c r="K183" s="18" t="str">
        <f aca="false">IF(A183="","",COUNTIF(RESTRICCIONES!$B$5:$B$304,A183))</f>
        <v/>
      </c>
      <c r="L183" s="18" t="str">
        <f aca="false">IF(A183="","",COUNTIFS(RESTRICCIONES!$B$5:$B$304,A183,RESTRICCIONES!$L$5:$L$304,"Pendiente"))</f>
        <v/>
      </c>
      <c r="M183" s="16" t="str">
        <f aca="false">IF(A183="","",IF(L183=0,"LISTA","RESTRINGIDA"))</f>
        <v/>
      </c>
      <c r="N183" s="19" t="str">
        <f aca="false">IF(OR(A183="",H183=""),"",IFERROR(MIN(1,SUMIF(SEMANAL!$C$7:$C$506,A183,SEMANAL!$W$7:$W$506)/H183),0))</f>
        <v/>
      </c>
      <c r="O183" s="26"/>
      <c r="P183" s="26"/>
      <c r="Q183" s="26"/>
      <c r="R183" s="26"/>
      <c r="S183" s="26"/>
      <c r="T183" s="26"/>
      <c r="U183" s="9"/>
    </row>
    <row r="184" customFormat="false" ht="15" hidden="false" customHeight="false" outlineLevel="0" collapsed="false">
      <c r="A184" s="9"/>
      <c r="B184" s="9"/>
      <c r="C184" s="9"/>
      <c r="D184" s="18" t="str">
        <f aca="false">IF(C184="","",IFERROR(INDEX(MASTER!$B$19:$B$38,MATCH(C184,MASTER!$A$19:$A$38,0)),"ID no existe"))</f>
        <v/>
      </c>
      <c r="E184" s="9"/>
      <c r="F184" s="9"/>
      <c r="G184" s="9"/>
      <c r="H184" s="25"/>
      <c r="I184" s="14"/>
      <c r="J184" s="14"/>
      <c r="K184" s="18" t="str">
        <f aca="false">IF(A184="","",COUNTIF(RESTRICCIONES!$B$5:$B$304,A184))</f>
        <v/>
      </c>
      <c r="L184" s="18" t="str">
        <f aca="false">IF(A184="","",COUNTIFS(RESTRICCIONES!$B$5:$B$304,A184,RESTRICCIONES!$L$5:$L$304,"Pendiente"))</f>
        <v/>
      </c>
      <c r="M184" s="16" t="str">
        <f aca="false">IF(A184="","",IF(L184=0,"LISTA","RESTRINGIDA"))</f>
        <v/>
      </c>
      <c r="N184" s="19" t="str">
        <f aca="false">IF(OR(A184="",H184=""),"",IFERROR(MIN(1,SUMIF(SEMANAL!$C$7:$C$506,A184,SEMANAL!$W$7:$W$506)/H184),0))</f>
        <v/>
      </c>
      <c r="O184" s="26"/>
      <c r="P184" s="26"/>
      <c r="Q184" s="26"/>
      <c r="R184" s="26"/>
      <c r="S184" s="26"/>
      <c r="T184" s="26"/>
      <c r="U184" s="9"/>
    </row>
    <row r="185" customFormat="false" ht="15" hidden="false" customHeight="false" outlineLevel="0" collapsed="false">
      <c r="A185" s="9"/>
      <c r="B185" s="9"/>
      <c r="C185" s="9"/>
      <c r="D185" s="18" t="str">
        <f aca="false">IF(C185="","",IFERROR(INDEX(MASTER!$B$19:$B$38,MATCH(C185,MASTER!$A$19:$A$38,0)),"ID no existe"))</f>
        <v/>
      </c>
      <c r="E185" s="9"/>
      <c r="F185" s="9"/>
      <c r="G185" s="9"/>
      <c r="H185" s="25"/>
      <c r="I185" s="14"/>
      <c r="J185" s="14"/>
      <c r="K185" s="18" t="str">
        <f aca="false">IF(A185="","",COUNTIF(RESTRICCIONES!$B$5:$B$304,A185))</f>
        <v/>
      </c>
      <c r="L185" s="18" t="str">
        <f aca="false">IF(A185="","",COUNTIFS(RESTRICCIONES!$B$5:$B$304,A185,RESTRICCIONES!$L$5:$L$304,"Pendiente"))</f>
        <v/>
      </c>
      <c r="M185" s="16" t="str">
        <f aca="false">IF(A185="","",IF(L185=0,"LISTA","RESTRINGIDA"))</f>
        <v/>
      </c>
      <c r="N185" s="19" t="str">
        <f aca="false">IF(OR(A185="",H185=""),"",IFERROR(MIN(1,SUMIF(SEMANAL!$C$7:$C$506,A185,SEMANAL!$W$7:$W$506)/H185),0))</f>
        <v/>
      </c>
      <c r="O185" s="26"/>
      <c r="P185" s="26"/>
      <c r="Q185" s="26"/>
      <c r="R185" s="26"/>
      <c r="S185" s="26"/>
      <c r="T185" s="26"/>
      <c r="U185" s="9"/>
    </row>
    <row r="186" customFormat="false" ht="15" hidden="false" customHeight="false" outlineLevel="0" collapsed="false">
      <c r="A186" s="9"/>
      <c r="B186" s="9"/>
      <c r="C186" s="9"/>
      <c r="D186" s="18" t="str">
        <f aca="false">IF(C186="","",IFERROR(INDEX(MASTER!$B$19:$B$38,MATCH(C186,MASTER!$A$19:$A$38,0)),"ID no existe"))</f>
        <v/>
      </c>
      <c r="E186" s="9"/>
      <c r="F186" s="9"/>
      <c r="G186" s="9"/>
      <c r="H186" s="25"/>
      <c r="I186" s="14"/>
      <c r="J186" s="14"/>
      <c r="K186" s="18" t="str">
        <f aca="false">IF(A186="","",COUNTIF(RESTRICCIONES!$B$5:$B$304,A186))</f>
        <v/>
      </c>
      <c r="L186" s="18" t="str">
        <f aca="false">IF(A186="","",COUNTIFS(RESTRICCIONES!$B$5:$B$304,A186,RESTRICCIONES!$L$5:$L$304,"Pendiente"))</f>
        <v/>
      </c>
      <c r="M186" s="16" t="str">
        <f aca="false">IF(A186="","",IF(L186=0,"LISTA","RESTRINGIDA"))</f>
        <v/>
      </c>
      <c r="N186" s="19" t="str">
        <f aca="false">IF(OR(A186="",H186=""),"",IFERROR(MIN(1,SUMIF(SEMANAL!$C$7:$C$506,A186,SEMANAL!$W$7:$W$506)/H186),0))</f>
        <v/>
      </c>
      <c r="O186" s="26"/>
      <c r="P186" s="26"/>
      <c r="Q186" s="26"/>
      <c r="R186" s="26"/>
      <c r="S186" s="26"/>
      <c r="T186" s="26"/>
      <c r="U186" s="9"/>
    </row>
    <row r="187" customFormat="false" ht="15" hidden="false" customHeight="false" outlineLevel="0" collapsed="false">
      <c r="A187" s="9"/>
      <c r="B187" s="9"/>
      <c r="C187" s="9"/>
      <c r="D187" s="18" t="str">
        <f aca="false">IF(C187="","",IFERROR(INDEX(MASTER!$B$19:$B$38,MATCH(C187,MASTER!$A$19:$A$38,0)),"ID no existe"))</f>
        <v/>
      </c>
      <c r="E187" s="9"/>
      <c r="F187" s="9"/>
      <c r="G187" s="9"/>
      <c r="H187" s="25"/>
      <c r="I187" s="14"/>
      <c r="J187" s="14"/>
      <c r="K187" s="18" t="str">
        <f aca="false">IF(A187="","",COUNTIF(RESTRICCIONES!$B$5:$B$304,A187))</f>
        <v/>
      </c>
      <c r="L187" s="18" t="str">
        <f aca="false">IF(A187="","",COUNTIFS(RESTRICCIONES!$B$5:$B$304,A187,RESTRICCIONES!$L$5:$L$304,"Pendiente"))</f>
        <v/>
      </c>
      <c r="M187" s="16" t="str">
        <f aca="false">IF(A187="","",IF(L187=0,"LISTA","RESTRINGIDA"))</f>
        <v/>
      </c>
      <c r="N187" s="19" t="str">
        <f aca="false">IF(OR(A187="",H187=""),"",IFERROR(MIN(1,SUMIF(SEMANAL!$C$7:$C$506,A187,SEMANAL!$W$7:$W$506)/H187),0))</f>
        <v/>
      </c>
      <c r="O187" s="26"/>
      <c r="P187" s="26"/>
      <c r="Q187" s="26"/>
      <c r="R187" s="26"/>
      <c r="S187" s="26"/>
      <c r="T187" s="26"/>
      <c r="U187" s="9"/>
    </row>
    <row r="188" customFormat="false" ht="15" hidden="false" customHeight="false" outlineLevel="0" collapsed="false">
      <c r="A188" s="9"/>
      <c r="B188" s="9"/>
      <c r="C188" s="9"/>
      <c r="D188" s="18" t="str">
        <f aca="false">IF(C188="","",IFERROR(INDEX(MASTER!$B$19:$B$38,MATCH(C188,MASTER!$A$19:$A$38,0)),"ID no existe"))</f>
        <v/>
      </c>
      <c r="E188" s="9"/>
      <c r="F188" s="9"/>
      <c r="G188" s="9"/>
      <c r="H188" s="25"/>
      <c r="I188" s="14"/>
      <c r="J188" s="14"/>
      <c r="K188" s="18" t="str">
        <f aca="false">IF(A188="","",COUNTIF(RESTRICCIONES!$B$5:$B$304,A188))</f>
        <v/>
      </c>
      <c r="L188" s="18" t="str">
        <f aca="false">IF(A188="","",COUNTIFS(RESTRICCIONES!$B$5:$B$304,A188,RESTRICCIONES!$L$5:$L$304,"Pendiente"))</f>
        <v/>
      </c>
      <c r="M188" s="16" t="str">
        <f aca="false">IF(A188="","",IF(L188=0,"LISTA","RESTRINGIDA"))</f>
        <v/>
      </c>
      <c r="N188" s="19" t="str">
        <f aca="false">IF(OR(A188="",H188=""),"",IFERROR(MIN(1,SUMIF(SEMANAL!$C$7:$C$506,A188,SEMANAL!$W$7:$W$506)/H188),0))</f>
        <v/>
      </c>
      <c r="O188" s="26"/>
      <c r="P188" s="26"/>
      <c r="Q188" s="26"/>
      <c r="R188" s="26"/>
      <c r="S188" s="26"/>
      <c r="T188" s="26"/>
      <c r="U188" s="9"/>
    </row>
    <row r="189" customFormat="false" ht="15" hidden="false" customHeight="false" outlineLevel="0" collapsed="false">
      <c r="A189" s="9"/>
      <c r="B189" s="9"/>
      <c r="C189" s="9"/>
      <c r="D189" s="18" t="str">
        <f aca="false">IF(C189="","",IFERROR(INDEX(MASTER!$B$19:$B$38,MATCH(C189,MASTER!$A$19:$A$38,0)),"ID no existe"))</f>
        <v/>
      </c>
      <c r="E189" s="9"/>
      <c r="F189" s="9"/>
      <c r="G189" s="9"/>
      <c r="H189" s="25"/>
      <c r="I189" s="14"/>
      <c r="J189" s="14"/>
      <c r="K189" s="18" t="str">
        <f aca="false">IF(A189="","",COUNTIF(RESTRICCIONES!$B$5:$B$304,A189))</f>
        <v/>
      </c>
      <c r="L189" s="18" t="str">
        <f aca="false">IF(A189="","",COUNTIFS(RESTRICCIONES!$B$5:$B$304,A189,RESTRICCIONES!$L$5:$L$304,"Pendiente"))</f>
        <v/>
      </c>
      <c r="M189" s="16" t="str">
        <f aca="false">IF(A189="","",IF(L189=0,"LISTA","RESTRINGIDA"))</f>
        <v/>
      </c>
      <c r="N189" s="19" t="str">
        <f aca="false">IF(OR(A189="",H189=""),"",IFERROR(MIN(1,SUMIF(SEMANAL!$C$7:$C$506,A189,SEMANAL!$W$7:$W$506)/H189),0))</f>
        <v/>
      </c>
      <c r="O189" s="26"/>
      <c r="P189" s="26"/>
      <c r="Q189" s="26"/>
      <c r="R189" s="26"/>
      <c r="S189" s="26"/>
      <c r="T189" s="26"/>
      <c r="U189" s="9"/>
    </row>
    <row r="190" customFormat="false" ht="15" hidden="false" customHeight="false" outlineLevel="0" collapsed="false">
      <c r="A190" s="9"/>
      <c r="B190" s="9"/>
      <c r="C190" s="9"/>
      <c r="D190" s="18" t="str">
        <f aca="false">IF(C190="","",IFERROR(INDEX(MASTER!$B$19:$B$38,MATCH(C190,MASTER!$A$19:$A$38,0)),"ID no existe"))</f>
        <v/>
      </c>
      <c r="E190" s="9"/>
      <c r="F190" s="9"/>
      <c r="G190" s="9"/>
      <c r="H190" s="25"/>
      <c r="I190" s="14"/>
      <c r="J190" s="14"/>
      <c r="K190" s="18" t="str">
        <f aca="false">IF(A190="","",COUNTIF(RESTRICCIONES!$B$5:$B$304,A190))</f>
        <v/>
      </c>
      <c r="L190" s="18" t="str">
        <f aca="false">IF(A190="","",COUNTIFS(RESTRICCIONES!$B$5:$B$304,A190,RESTRICCIONES!$L$5:$L$304,"Pendiente"))</f>
        <v/>
      </c>
      <c r="M190" s="16" t="str">
        <f aca="false">IF(A190="","",IF(L190=0,"LISTA","RESTRINGIDA"))</f>
        <v/>
      </c>
      <c r="N190" s="19" t="str">
        <f aca="false">IF(OR(A190="",H190=""),"",IFERROR(MIN(1,SUMIF(SEMANAL!$C$7:$C$506,A190,SEMANAL!$W$7:$W$506)/H190),0))</f>
        <v/>
      </c>
      <c r="O190" s="26"/>
      <c r="P190" s="26"/>
      <c r="Q190" s="26"/>
      <c r="R190" s="26"/>
      <c r="S190" s="26"/>
      <c r="T190" s="26"/>
      <c r="U190" s="9"/>
    </row>
    <row r="191" customFormat="false" ht="15" hidden="false" customHeight="false" outlineLevel="0" collapsed="false">
      <c r="A191" s="9"/>
      <c r="B191" s="9"/>
      <c r="C191" s="9"/>
      <c r="D191" s="18" t="str">
        <f aca="false">IF(C191="","",IFERROR(INDEX(MASTER!$B$19:$B$38,MATCH(C191,MASTER!$A$19:$A$38,0)),"ID no existe"))</f>
        <v/>
      </c>
      <c r="E191" s="9"/>
      <c r="F191" s="9"/>
      <c r="G191" s="9"/>
      <c r="H191" s="25"/>
      <c r="I191" s="14"/>
      <c r="J191" s="14"/>
      <c r="K191" s="18" t="str">
        <f aca="false">IF(A191="","",COUNTIF(RESTRICCIONES!$B$5:$B$304,A191))</f>
        <v/>
      </c>
      <c r="L191" s="18" t="str">
        <f aca="false">IF(A191="","",COUNTIFS(RESTRICCIONES!$B$5:$B$304,A191,RESTRICCIONES!$L$5:$L$304,"Pendiente"))</f>
        <v/>
      </c>
      <c r="M191" s="16" t="str">
        <f aca="false">IF(A191="","",IF(L191=0,"LISTA","RESTRINGIDA"))</f>
        <v/>
      </c>
      <c r="N191" s="19" t="str">
        <f aca="false">IF(OR(A191="",H191=""),"",IFERROR(MIN(1,SUMIF(SEMANAL!$C$7:$C$506,A191,SEMANAL!$W$7:$W$506)/H191),0))</f>
        <v/>
      </c>
      <c r="O191" s="26"/>
      <c r="P191" s="26"/>
      <c r="Q191" s="26"/>
      <c r="R191" s="26"/>
      <c r="S191" s="26"/>
      <c r="T191" s="26"/>
      <c r="U191" s="9"/>
    </row>
    <row r="192" customFormat="false" ht="15" hidden="false" customHeight="false" outlineLevel="0" collapsed="false">
      <c r="A192" s="9"/>
      <c r="B192" s="9"/>
      <c r="C192" s="9"/>
      <c r="D192" s="18" t="str">
        <f aca="false">IF(C192="","",IFERROR(INDEX(MASTER!$B$19:$B$38,MATCH(C192,MASTER!$A$19:$A$38,0)),"ID no existe"))</f>
        <v/>
      </c>
      <c r="E192" s="9"/>
      <c r="F192" s="9"/>
      <c r="G192" s="9"/>
      <c r="H192" s="25"/>
      <c r="I192" s="14"/>
      <c r="J192" s="14"/>
      <c r="K192" s="18" t="str">
        <f aca="false">IF(A192="","",COUNTIF(RESTRICCIONES!$B$5:$B$304,A192))</f>
        <v/>
      </c>
      <c r="L192" s="18" t="str">
        <f aca="false">IF(A192="","",COUNTIFS(RESTRICCIONES!$B$5:$B$304,A192,RESTRICCIONES!$L$5:$L$304,"Pendiente"))</f>
        <v/>
      </c>
      <c r="M192" s="16" t="str">
        <f aca="false">IF(A192="","",IF(L192=0,"LISTA","RESTRINGIDA"))</f>
        <v/>
      </c>
      <c r="N192" s="19" t="str">
        <f aca="false">IF(OR(A192="",H192=""),"",IFERROR(MIN(1,SUMIF(SEMANAL!$C$7:$C$506,A192,SEMANAL!$W$7:$W$506)/H192),0))</f>
        <v/>
      </c>
      <c r="O192" s="26"/>
      <c r="P192" s="26"/>
      <c r="Q192" s="26"/>
      <c r="R192" s="26"/>
      <c r="S192" s="26"/>
      <c r="T192" s="26"/>
      <c r="U192" s="9"/>
    </row>
    <row r="193" customFormat="false" ht="15" hidden="false" customHeight="false" outlineLevel="0" collapsed="false">
      <c r="A193" s="9"/>
      <c r="B193" s="9"/>
      <c r="C193" s="9"/>
      <c r="D193" s="18" t="str">
        <f aca="false">IF(C193="","",IFERROR(INDEX(MASTER!$B$19:$B$38,MATCH(C193,MASTER!$A$19:$A$38,0)),"ID no existe"))</f>
        <v/>
      </c>
      <c r="E193" s="9"/>
      <c r="F193" s="9"/>
      <c r="G193" s="9"/>
      <c r="H193" s="25"/>
      <c r="I193" s="14"/>
      <c r="J193" s="14"/>
      <c r="K193" s="18" t="str">
        <f aca="false">IF(A193="","",COUNTIF(RESTRICCIONES!$B$5:$B$304,A193))</f>
        <v/>
      </c>
      <c r="L193" s="18" t="str">
        <f aca="false">IF(A193="","",COUNTIFS(RESTRICCIONES!$B$5:$B$304,A193,RESTRICCIONES!$L$5:$L$304,"Pendiente"))</f>
        <v/>
      </c>
      <c r="M193" s="16" t="str">
        <f aca="false">IF(A193="","",IF(L193=0,"LISTA","RESTRINGIDA"))</f>
        <v/>
      </c>
      <c r="N193" s="19" t="str">
        <f aca="false">IF(OR(A193="",H193=""),"",IFERROR(MIN(1,SUMIF(SEMANAL!$C$7:$C$506,A193,SEMANAL!$W$7:$W$506)/H193),0))</f>
        <v/>
      </c>
      <c r="O193" s="26"/>
      <c r="P193" s="26"/>
      <c r="Q193" s="26"/>
      <c r="R193" s="26"/>
      <c r="S193" s="26"/>
      <c r="T193" s="26"/>
      <c r="U193" s="9"/>
    </row>
    <row r="194" customFormat="false" ht="15" hidden="false" customHeight="false" outlineLevel="0" collapsed="false">
      <c r="A194" s="9"/>
      <c r="B194" s="9"/>
      <c r="C194" s="9"/>
      <c r="D194" s="18" t="str">
        <f aca="false">IF(C194="","",IFERROR(INDEX(MASTER!$B$19:$B$38,MATCH(C194,MASTER!$A$19:$A$38,0)),"ID no existe"))</f>
        <v/>
      </c>
      <c r="E194" s="9"/>
      <c r="F194" s="9"/>
      <c r="G194" s="9"/>
      <c r="H194" s="25"/>
      <c r="I194" s="14"/>
      <c r="J194" s="14"/>
      <c r="K194" s="18" t="str">
        <f aca="false">IF(A194="","",COUNTIF(RESTRICCIONES!$B$5:$B$304,A194))</f>
        <v/>
      </c>
      <c r="L194" s="18" t="str">
        <f aca="false">IF(A194="","",COUNTIFS(RESTRICCIONES!$B$5:$B$304,A194,RESTRICCIONES!$L$5:$L$304,"Pendiente"))</f>
        <v/>
      </c>
      <c r="M194" s="16" t="str">
        <f aca="false">IF(A194="","",IF(L194=0,"LISTA","RESTRINGIDA"))</f>
        <v/>
      </c>
      <c r="N194" s="19" t="str">
        <f aca="false">IF(OR(A194="",H194=""),"",IFERROR(MIN(1,SUMIF(SEMANAL!$C$7:$C$506,A194,SEMANAL!$W$7:$W$506)/H194),0))</f>
        <v/>
      </c>
      <c r="O194" s="26"/>
      <c r="P194" s="26"/>
      <c r="Q194" s="26"/>
      <c r="R194" s="26"/>
      <c r="S194" s="26"/>
      <c r="T194" s="26"/>
      <c r="U194" s="9"/>
    </row>
    <row r="195" customFormat="false" ht="15" hidden="false" customHeight="false" outlineLevel="0" collapsed="false">
      <c r="A195" s="9"/>
      <c r="B195" s="9"/>
      <c r="C195" s="9"/>
      <c r="D195" s="18" t="str">
        <f aca="false">IF(C195="","",IFERROR(INDEX(MASTER!$B$19:$B$38,MATCH(C195,MASTER!$A$19:$A$38,0)),"ID no existe"))</f>
        <v/>
      </c>
      <c r="E195" s="9"/>
      <c r="F195" s="9"/>
      <c r="G195" s="9"/>
      <c r="H195" s="25"/>
      <c r="I195" s="14"/>
      <c r="J195" s="14"/>
      <c r="K195" s="18" t="str">
        <f aca="false">IF(A195="","",COUNTIF(RESTRICCIONES!$B$5:$B$304,A195))</f>
        <v/>
      </c>
      <c r="L195" s="18" t="str">
        <f aca="false">IF(A195="","",COUNTIFS(RESTRICCIONES!$B$5:$B$304,A195,RESTRICCIONES!$L$5:$L$304,"Pendiente"))</f>
        <v/>
      </c>
      <c r="M195" s="16" t="str">
        <f aca="false">IF(A195="","",IF(L195=0,"LISTA","RESTRINGIDA"))</f>
        <v/>
      </c>
      <c r="N195" s="19" t="str">
        <f aca="false">IF(OR(A195="",H195=""),"",IFERROR(MIN(1,SUMIF(SEMANAL!$C$7:$C$506,A195,SEMANAL!$W$7:$W$506)/H195),0))</f>
        <v/>
      </c>
      <c r="O195" s="26"/>
      <c r="P195" s="26"/>
      <c r="Q195" s="26"/>
      <c r="R195" s="26"/>
      <c r="S195" s="26"/>
      <c r="T195" s="26"/>
      <c r="U195" s="9"/>
    </row>
    <row r="196" customFormat="false" ht="15" hidden="false" customHeight="false" outlineLevel="0" collapsed="false">
      <c r="A196" s="9"/>
      <c r="B196" s="9"/>
      <c r="C196" s="9"/>
      <c r="D196" s="18" t="str">
        <f aca="false">IF(C196="","",IFERROR(INDEX(MASTER!$B$19:$B$38,MATCH(C196,MASTER!$A$19:$A$38,0)),"ID no existe"))</f>
        <v/>
      </c>
      <c r="E196" s="9"/>
      <c r="F196" s="9"/>
      <c r="G196" s="9"/>
      <c r="H196" s="25"/>
      <c r="I196" s="14"/>
      <c r="J196" s="14"/>
      <c r="K196" s="18" t="str">
        <f aca="false">IF(A196="","",COUNTIF(RESTRICCIONES!$B$5:$B$304,A196))</f>
        <v/>
      </c>
      <c r="L196" s="18" t="str">
        <f aca="false">IF(A196="","",COUNTIFS(RESTRICCIONES!$B$5:$B$304,A196,RESTRICCIONES!$L$5:$L$304,"Pendiente"))</f>
        <v/>
      </c>
      <c r="M196" s="16" t="str">
        <f aca="false">IF(A196="","",IF(L196=0,"LISTA","RESTRINGIDA"))</f>
        <v/>
      </c>
      <c r="N196" s="19" t="str">
        <f aca="false">IF(OR(A196="",H196=""),"",IFERROR(MIN(1,SUMIF(SEMANAL!$C$7:$C$506,A196,SEMANAL!$W$7:$W$506)/H196),0))</f>
        <v/>
      </c>
      <c r="O196" s="26"/>
      <c r="P196" s="26"/>
      <c r="Q196" s="26"/>
      <c r="R196" s="26"/>
      <c r="S196" s="26"/>
      <c r="T196" s="26"/>
      <c r="U196" s="9"/>
    </row>
    <row r="197" customFormat="false" ht="15" hidden="false" customHeight="false" outlineLevel="0" collapsed="false">
      <c r="A197" s="9"/>
      <c r="B197" s="9"/>
      <c r="C197" s="9"/>
      <c r="D197" s="18" t="str">
        <f aca="false">IF(C197="","",IFERROR(INDEX(MASTER!$B$19:$B$38,MATCH(C197,MASTER!$A$19:$A$38,0)),"ID no existe"))</f>
        <v/>
      </c>
      <c r="E197" s="9"/>
      <c r="F197" s="9"/>
      <c r="G197" s="9"/>
      <c r="H197" s="25"/>
      <c r="I197" s="14"/>
      <c r="J197" s="14"/>
      <c r="K197" s="18" t="str">
        <f aca="false">IF(A197="","",COUNTIF(RESTRICCIONES!$B$5:$B$304,A197))</f>
        <v/>
      </c>
      <c r="L197" s="18" t="str">
        <f aca="false">IF(A197="","",COUNTIFS(RESTRICCIONES!$B$5:$B$304,A197,RESTRICCIONES!$L$5:$L$304,"Pendiente"))</f>
        <v/>
      </c>
      <c r="M197" s="16" t="str">
        <f aca="false">IF(A197="","",IF(L197=0,"LISTA","RESTRINGIDA"))</f>
        <v/>
      </c>
      <c r="N197" s="19" t="str">
        <f aca="false">IF(OR(A197="",H197=""),"",IFERROR(MIN(1,SUMIF(SEMANAL!$C$7:$C$506,A197,SEMANAL!$W$7:$W$506)/H197),0))</f>
        <v/>
      </c>
      <c r="O197" s="26"/>
      <c r="P197" s="26"/>
      <c r="Q197" s="26"/>
      <c r="R197" s="26"/>
      <c r="S197" s="26"/>
      <c r="T197" s="26"/>
      <c r="U197" s="9"/>
    </row>
    <row r="198" customFormat="false" ht="15" hidden="false" customHeight="false" outlineLevel="0" collapsed="false">
      <c r="A198" s="9"/>
      <c r="B198" s="9"/>
      <c r="C198" s="9"/>
      <c r="D198" s="18" t="str">
        <f aca="false">IF(C198="","",IFERROR(INDEX(MASTER!$B$19:$B$38,MATCH(C198,MASTER!$A$19:$A$38,0)),"ID no existe"))</f>
        <v/>
      </c>
      <c r="E198" s="9"/>
      <c r="F198" s="9"/>
      <c r="G198" s="9"/>
      <c r="H198" s="25"/>
      <c r="I198" s="14"/>
      <c r="J198" s="14"/>
      <c r="K198" s="18" t="str">
        <f aca="false">IF(A198="","",COUNTIF(RESTRICCIONES!$B$5:$B$304,A198))</f>
        <v/>
      </c>
      <c r="L198" s="18" t="str">
        <f aca="false">IF(A198="","",COUNTIFS(RESTRICCIONES!$B$5:$B$304,A198,RESTRICCIONES!$L$5:$L$304,"Pendiente"))</f>
        <v/>
      </c>
      <c r="M198" s="16" t="str">
        <f aca="false">IF(A198="","",IF(L198=0,"LISTA","RESTRINGIDA"))</f>
        <v/>
      </c>
      <c r="N198" s="19" t="str">
        <f aca="false">IF(OR(A198="",H198=""),"",IFERROR(MIN(1,SUMIF(SEMANAL!$C$7:$C$506,A198,SEMANAL!$W$7:$W$506)/H198),0))</f>
        <v/>
      </c>
      <c r="O198" s="26"/>
      <c r="P198" s="26"/>
      <c r="Q198" s="26"/>
      <c r="R198" s="26"/>
      <c r="S198" s="26"/>
      <c r="T198" s="26"/>
      <c r="U198" s="9"/>
    </row>
    <row r="199" customFormat="false" ht="15" hidden="false" customHeight="false" outlineLevel="0" collapsed="false">
      <c r="A199" s="9"/>
      <c r="B199" s="9"/>
      <c r="C199" s="9"/>
      <c r="D199" s="18" t="str">
        <f aca="false">IF(C199="","",IFERROR(INDEX(MASTER!$B$19:$B$38,MATCH(C199,MASTER!$A$19:$A$38,0)),"ID no existe"))</f>
        <v/>
      </c>
      <c r="E199" s="9"/>
      <c r="F199" s="9"/>
      <c r="G199" s="9"/>
      <c r="H199" s="25"/>
      <c r="I199" s="14"/>
      <c r="J199" s="14"/>
      <c r="K199" s="18" t="str">
        <f aca="false">IF(A199="","",COUNTIF(RESTRICCIONES!$B$5:$B$304,A199))</f>
        <v/>
      </c>
      <c r="L199" s="18" t="str">
        <f aca="false">IF(A199="","",COUNTIFS(RESTRICCIONES!$B$5:$B$304,A199,RESTRICCIONES!$L$5:$L$304,"Pendiente"))</f>
        <v/>
      </c>
      <c r="M199" s="16" t="str">
        <f aca="false">IF(A199="","",IF(L199=0,"LISTA","RESTRINGIDA"))</f>
        <v/>
      </c>
      <c r="N199" s="19" t="str">
        <f aca="false">IF(OR(A199="",H199=""),"",IFERROR(MIN(1,SUMIF(SEMANAL!$C$7:$C$506,A199,SEMANAL!$W$7:$W$506)/H199),0))</f>
        <v/>
      </c>
      <c r="O199" s="26"/>
      <c r="P199" s="26"/>
      <c r="Q199" s="26"/>
      <c r="R199" s="26"/>
      <c r="S199" s="26"/>
      <c r="T199" s="26"/>
      <c r="U199" s="9"/>
    </row>
    <row r="200" customFormat="false" ht="15" hidden="false" customHeight="false" outlineLevel="0" collapsed="false">
      <c r="A200" s="9"/>
      <c r="B200" s="9"/>
      <c r="C200" s="9"/>
      <c r="D200" s="18" t="str">
        <f aca="false">IF(C200="","",IFERROR(INDEX(MASTER!$B$19:$B$38,MATCH(C200,MASTER!$A$19:$A$38,0)),"ID no existe"))</f>
        <v/>
      </c>
      <c r="E200" s="9"/>
      <c r="F200" s="9"/>
      <c r="G200" s="9"/>
      <c r="H200" s="25"/>
      <c r="I200" s="14"/>
      <c r="J200" s="14"/>
      <c r="K200" s="18" t="str">
        <f aca="false">IF(A200="","",COUNTIF(RESTRICCIONES!$B$5:$B$304,A200))</f>
        <v/>
      </c>
      <c r="L200" s="18" t="str">
        <f aca="false">IF(A200="","",COUNTIFS(RESTRICCIONES!$B$5:$B$304,A200,RESTRICCIONES!$L$5:$L$304,"Pendiente"))</f>
        <v/>
      </c>
      <c r="M200" s="16" t="str">
        <f aca="false">IF(A200="","",IF(L200=0,"LISTA","RESTRINGIDA"))</f>
        <v/>
      </c>
      <c r="N200" s="19" t="str">
        <f aca="false">IF(OR(A200="",H200=""),"",IFERROR(MIN(1,SUMIF(SEMANAL!$C$7:$C$506,A200,SEMANAL!$W$7:$W$506)/H200),0))</f>
        <v/>
      </c>
      <c r="O200" s="26"/>
      <c r="P200" s="26"/>
      <c r="Q200" s="26"/>
      <c r="R200" s="26"/>
      <c r="S200" s="26"/>
      <c r="T200" s="26"/>
      <c r="U200" s="9"/>
    </row>
    <row r="201" customFormat="false" ht="15" hidden="false" customHeight="false" outlineLevel="0" collapsed="false">
      <c r="A201" s="9"/>
      <c r="B201" s="9"/>
      <c r="C201" s="9"/>
      <c r="D201" s="18" t="str">
        <f aca="false">IF(C201="","",IFERROR(INDEX(MASTER!$B$19:$B$38,MATCH(C201,MASTER!$A$19:$A$38,0)),"ID no existe"))</f>
        <v/>
      </c>
      <c r="E201" s="9"/>
      <c r="F201" s="9"/>
      <c r="G201" s="9"/>
      <c r="H201" s="25"/>
      <c r="I201" s="14"/>
      <c r="J201" s="14"/>
      <c r="K201" s="18" t="str">
        <f aca="false">IF(A201="","",COUNTIF(RESTRICCIONES!$B$5:$B$304,A201))</f>
        <v/>
      </c>
      <c r="L201" s="18" t="str">
        <f aca="false">IF(A201="","",COUNTIFS(RESTRICCIONES!$B$5:$B$304,A201,RESTRICCIONES!$L$5:$L$304,"Pendiente"))</f>
        <v/>
      </c>
      <c r="M201" s="16" t="str">
        <f aca="false">IF(A201="","",IF(L201=0,"LISTA","RESTRINGIDA"))</f>
        <v/>
      </c>
      <c r="N201" s="19" t="str">
        <f aca="false">IF(OR(A201="",H201=""),"",IFERROR(MIN(1,SUMIF(SEMANAL!$C$7:$C$506,A201,SEMANAL!$W$7:$W$506)/H201),0))</f>
        <v/>
      </c>
      <c r="O201" s="26"/>
      <c r="P201" s="26"/>
      <c r="Q201" s="26"/>
      <c r="R201" s="26"/>
      <c r="S201" s="26"/>
      <c r="T201" s="26"/>
      <c r="U201" s="9"/>
    </row>
    <row r="202" customFormat="false" ht="15" hidden="false" customHeight="false" outlineLevel="0" collapsed="false">
      <c r="A202" s="9"/>
      <c r="B202" s="9"/>
      <c r="C202" s="9"/>
      <c r="D202" s="18" t="str">
        <f aca="false">IF(C202="","",IFERROR(INDEX(MASTER!$B$19:$B$38,MATCH(C202,MASTER!$A$19:$A$38,0)),"ID no existe"))</f>
        <v/>
      </c>
      <c r="E202" s="9"/>
      <c r="F202" s="9"/>
      <c r="G202" s="9"/>
      <c r="H202" s="25"/>
      <c r="I202" s="14"/>
      <c r="J202" s="14"/>
      <c r="K202" s="18" t="str">
        <f aca="false">IF(A202="","",COUNTIF(RESTRICCIONES!$B$5:$B$304,A202))</f>
        <v/>
      </c>
      <c r="L202" s="18" t="str">
        <f aca="false">IF(A202="","",COUNTIFS(RESTRICCIONES!$B$5:$B$304,A202,RESTRICCIONES!$L$5:$L$304,"Pendiente"))</f>
        <v/>
      </c>
      <c r="M202" s="16" t="str">
        <f aca="false">IF(A202="","",IF(L202=0,"LISTA","RESTRINGIDA"))</f>
        <v/>
      </c>
      <c r="N202" s="19" t="str">
        <f aca="false">IF(OR(A202="",H202=""),"",IFERROR(MIN(1,SUMIF(SEMANAL!$C$7:$C$506,A202,SEMANAL!$W$7:$W$506)/H202),0))</f>
        <v/>
      </c>
      <c r="O202" s="26"/>
      <c r="P202" s="26"/>
      <c r="Q202" s="26"/>
      <c r="R202" s="26"/>
      <c r="S202" s="26"/>
      <c r="T202" s="26"/>
      <c r="U202" s="9"/>
    </row>
    <row r="203" customFormat="false" ht="15" hidden="false" customHeight="false" outlineLevel="0" collapsed="false">
      <c r="A203" s="9"/>
      <c r="B203" s="9"/>
      <c r="C203" s="9"/>
      <c r="D203" s="18" t="str">
        <f aca="false">IF(C203="","",IFERROR(INDEX(MASTER!$B$19:$B$38,MATCH(C203,MASTER!$A$19:$A$38,0)),"ID no existe"))</f>
        <v/>
      </c>
      <c r="E203" s="9"/>
      <c r="F203" s="9"/>
      <c r="G203" s="9"/>
      <c r="H203" s="25"/>
      <c r="I203" s="14"/>
      <c r="J203" s="14"/>
      <c r="K203" s="18" t="str">
        <f aca="false">IF(A203="","",COUNTIF(RESTRICCIONES!$B$5:$B$304,A203))</f>
        <v/>
      </c>
      <c r="L203" s="18" t="str">
        <f aca="false">IF(A203="","",COUNTIFS(RESTRICCIONES!$B$5:$B$304,A203,RESTRICCIONES!$L$5:$L$304,"Pendiente"))</f>
        <v/>
      </c>
      <c r="M203" s="16" t="str">
        <f aca="false">IF(A203="","",IF(L203=0,"LISTA","RESTRINGIDA"))</f>
        <v/>
      </c>
      <c r="N203" s="19" t="str">
        <f aca="false">IF(OR(A203="",H203=""),"",IFERROR(MIN(1,SUMIF(SEMANAL!$C$7:$C$506,A203,SEMANAL!$W$7:$W$506)/H203),0))</f>
        <v/>
      </c>
      <c r="O203" s="26"/>
      <c r="P203" s="26"/>
      <c r="Q203" s="26"/>
      <c r="R203" s="26"/>
      <c r="S203" s="26"/>
      <c r="T203" s="26"/>
      <c r="U203" s="9"/>
    </row>
    <row r="204" customFormat="false" ht="15" hidden="false" customHeight="false" outlineLevel="0" collapsed="false">
      <c r="A204" s="9"/>
      <c r="B204" s="9"/>
      <c r="C204" s="9"/>
      <c r="D204" s="18" t="str">
        <f aca="false">IF(C204="","",IFERROR(INDEX(MASTER!$B$19:$B$38,MATCH(C204,MASTER!$A$19:$A$38,0)),"ID no existe"))</f>
        <v/>
      </c>
      <c r="E204" s="9"/>
      <c r="F204" s="9"/>
      <c r="G204" s="9"/>
      <c r="H204" s="25"/>
      <c r="I204" s="14"/>
      <c r="J204" s="14"/>
      <c r="K204" s="18" t="str">
        <f aca="false">IF(A204="","",COUNTIF(RESTRICCIONES!$B$5:$B$304,A204))</f>
        <v/>
      </c>
      <c r="L204" s="18" t="str">
        <f aca="false">IF(A204="","",COUNTIFS(RESTRICCIONES!$B$5:$B$304,A204,RESTRICCIONES!$L$5:$L$304,"Pendiente"))</f>
        <v/>
      </c>
      <c r="M204" s="16" t="str">
        <f aca="false">IF(A204="","",IF(L204=0,"LISTA","RESTRINGIDA"))</f>
        <v/>
      </c>
      <c r="N204" s="19" t="str">
        <f aca="false">IF(OR(A204="",H204=""),"",IFERROR(MIN(1,SUMIF(SEMANAL!$C$7:$C$506,A204,SEMANAL!$W$7:$W$506)/H204),0))</f>
        <v/>
      </c>
      <c r="O204" s="26"/>
      <c r="P204" s="26"/>
      <c r="Q204" s="26"/>
      <c r="R204" s="26"/>
      <c r="S204" s="26"/>
      <c r="T204" s="26"/>
      <c r="U204" s="9"/>
    </row>
  </sheetData>
  <autoFilter ref="A4:U204"/>
  <conditionalFormatting sqref="M5:M204">
    <cfRule type="cellIs" priority="2" operator="equal" aboveAverage="0" equalAverage="0" bottom="0" percent="0" rank="0" text="" dxfId="0">
      <formula>"LISTA"</formula>
    </cfRule>
    <cfRule type="cellIs" priority="3" operator="equal" aboveAverage="0" equalAverage="0" bottom="0" percent="0" rank="0" text="" dxfId="2">
      <formula>"RESTRINGIDA"</formula>
    </cfRule>
  </conditionalFormatting>
  <conditionalFormatting sqref="O5:T204">
    <cfRule type="expression" priority="4" aboveAverage="0" equalAverage="0" bottom="0" percent="0" rank="0" text="" dxfId="14">
      <formula>AND($I5&lt;&gt;"",O$4&lt;=$J5,O$4+6&gt;=$I5,$M5="LISTA")</formula>
    </cfRule>
    <cfRule type="expression" priority="5" aboveAverage="0" equalAverage="0" bottom="0" percent="0" rank="0" text="" dxfId="15">
      <formula>AND($I5&lt;&gt;"",O$4&lt;=$J5,O$4+6&gt;=$I5,$M5="RESTRINGIDA")</formula>
    </cfRule>
  </conditionalFormatting>
  <dataValidations count="3">
    <dataValidation allowBlank="true" errorStyle="stop" operator="between" showDropDown="false" showErrorMessage="true" showInputMessage="false" sqref="C5:C204" type="list">
      <formula1>MASTER!$A$19:$A$38</formula1>
      <formula2>0</formula2>
    </dataValidation>
    <dataValidation allowBlank="true" errorStyle="stop" operator="between" showDropDown="false" showErrorMessage="true" showInputMessage="false" sqref="F5:F204" type="list">
      <formula1>Cuadrillas</formula1>
      <formula2>0</formula2>
    </dataValidation>
    <dataValidation allowBlank="true" errorStyle="stop" operator="between" showDropDown="false" showErrorMessage="true" showInputMessage="false" sqref="G5:G204" type="list">
      <formula1>Unidades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17.35" hidden="false" customHeight="false" outlineLevel="0" collapsed="false">
      <c r="A1" s="1" t="s">
        <v>176</v>
      </c>
      <c r="D1" s="7" t="s">
        <v>177</v>
      </c>
    </row>
    <row r="2" customFormat="false" ht="15" hidden="false" customHeight="false" outlineLevel="0" collapsed="false">
      <c r="A2" s="10" t="s">
        <v>178</v>
      </c>
      <c r="D2" s="11" t="n">
        <v>3</v>
      </c>
      <c r="F2" s="10" t="s">
        <v>179</v>
      </c>
      <c r="G2" s="22" t="n">
        <f aca="false">COUNTIF($L$5:$L$304,"Pendiente")</f>
        <v>6</v>
      </c>
      <c r="H2" s="10" t="s">
        <v>180</v>
      </c>
      <c r="I2" s="22" t="n">
        <f aca="false">COUNTIF($M$5:$M$304,"VENCIDA")</f>
        <v>1</v>
      </c>
    </row>
    <row r="4" customFormat="false" ht="31.5" hidden="false" customHeight="true" outlineLevel="0" collapsed="false">
      <c r="A4" s="8" t="s">
        <v>181</v>
      </c>
      <c r="B4" s="8" t="s">
        <v>145</v>
      </c>
      <c r="C4" s="8" t="s">
        <v>146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  <c r="I4" s="8" t="s">
        <v>187</v>
      </c>
      <c r="J4" s="8" t="s">
        <v>188</v>
      </c>
      <c r="K4" s="8" t="s">
        <v>189</v>
      </c>
      <c r="L4" s="8" t="s">
        <v>105</v>
      </c>
      <c r="M4" s="8" t="s">
        <v>190</v>
      </c>
      <c r="N4" s="8" t="s">
        <v>191</v>
      </c>
      <c r="O4" s="8" t="s">
        <v>192</v>
      </c>
    </row>
    <row r="5" customFormat="false" ht="15" hidden="false" customHeight="false" outlineLevel="0" collapsed="false">
      <c r="A5" s="9" t="s">
        <v>193</v>
      </c>
      <c r="B5" s="9" t="s">
        <v>163</v>
      </c>
      <c r="C5" s="18" t="str">
        <f aca="false">IF(B5="","",IFERROR(INDEX(LOOKAHEAD!$B$5:$B$204,MATCH(B5,LOOKAHEAD!$A$5:$A$204,0)),"ID no existe"))</f>
        <v>Moldaje muros piso 1</v>
      </c>
      <c r="D5" s="27" t="n">
        <f aca="false">IF(B5="","",IFERROR(INDEX(LOOKAHEAD!$I$5:$I$204,MATCH(B5,LOOKAHEAD!$A$5:$A$204,0)),""))</f>
        <v>46307</v>
      </c>
      <c r="E5" s="9" t="s">
        <v>55</v>
      </c>
      <c r="F5" s="9" t="s">
        <v>194</v>
      </c>
      <c r="G5" s="9" t="s">
        <v>63</v>
      </c>
      <c r="H5" s="14" t="n">
        <v>46293</v>
      </c>
      <c r="I5" s="27" t="n">
        <f aca="false">IF(OR(D5="",D5=0),"",D5-$D$2)</f>
        <v>46304</v>
      </c>
      <c r="J5" s="14" t="n">
        <v>46304</v>
      </c>
      <c r="K5" s="14" t="n">
        <v>46303</v>
      </c>
      <c r="L5" s="16" t="str">
        <f aca="false">IF(B5="","",IF(K5&lt;&gt;"","Liberado","Pendiente"))</f>
        <v>Liberado</v>
      </c>
      <c r="M5" s="16" t="str">
        <f aca="true">IF(B5="","",IF(L5="Liberado",IF(OR(I5="",K5&lt;=I5),"A tiempo","Liberada tarde"),IF(J5="","Sin compromiso",IF(TODAY()&gt;J5,"VENCIDA",IF(AND(I5&lt;&gt;"",J5&gt;I5),"En riesgo","En gestión")))))</f>
        <v>A tiempo</v>
      </c>
      <c r="N5" s="15" t="n">
        <f aca="false">IF(OR(B5="",I5=""),"",IF(K5&lt;&gt;"",I5-K5,IF(J5&lt;&gt;"",I5-J5,"")))</f>
        <v>1</v>
      </c>
      <c r="O5" s="9"/>
    </row>
    <row r="6" customFormat="false" ht="15" hidden="false" customHeight="false" outlineLevel="0" collapsed="false">
      <c r="A6" s="9" t="s">
        <v>195</v>
      </c>
      <c r="B6" s="9" t="s">
        <v>165</v>
      </c>
      <c r="C6" s="18" t="str">
        <f aca="false">IF(B6="","",IFERROR(INDEX(LOOKAHEAD!$B$5:$B$204,MATCH(B6,LOOKAHEAD!$A$5:$A$204,0)),"ID no existe"))</f>
        <v>Hormigonado muros piso 1</v>
      </c>
      <c r="D6" s="27" t="n">
        <f aca="false">IF(B6="","",IFERROR(INDEX(LOOKAHEAD!$I$5:$I$204,MATCH(B6,LOOKAHEAD!$A$5:$A$204,0)),""))</f>
        <v>46314</v>
      </c>
      <c r="E6" s="9" t="s">
        <v>75</v>
      </c>
      <c r="F6" s="9" t="s">
        <v>196</v>
      </c>
      <c r="G6" s="9" t="s">
        <v>53</v>
      </c>
      <c r="H6" s="14" t="n">
        <v>46293</v>
      </c>
      <c r="I6" s="27" t="n">
        <f aca="false">IF(OR(D6="",D6=0),"",D6-$D$2)</f>
        <v>46311</v>
      </c>
      <c r="J6" s="14" t="n">
        <v>46309</v>
      </c>
      <c r="K6" s="14"/>
      <c r="L6" s="16" t="str">
        <f aca="false">IF(B6="","",IF(K6&lt;&gt;"","Liberado","Pendiente"))</f>
        <v>Pendiente</v>
      </c>
      <c r="M6" s="16" t="str">
        <f aca="true">IF(B6="","",IF(L6="Liberado",IF(OR(I6="",K6&lt;=I6),"A tiempo","Liberada tarde"),IF(J6="","Sin compromiso",IF(TODAY()&gt;J6,"VENCIDA",IF(AND(I6&lt;&gt;"",J6&gt;I6),"En riesgo","En gestión")))))</f>
        <v>En gestión</v>
      </c>
      <c r="N6" s="15" t="n">
        <f aca="false">IF(OR(B6="",I6=""),"",IF(K6&lt;&gt;"",I6-K6,IF(J6&lt;&gt;"",I6-J6,"")))</f>
        <v>2</v>
      </c>
      <c r="O6" s="9"/>
    </row>
    <row r="7" customFormat="false" ht="15" hidden="false" customHeight="false" outlineLevel="0" collapsed="false">
      <c r="A7" s="9" t="s">
        <v>197</v>
      </c>
      <c r="B7" s="9" t="s">
        <v>165</v>
      </c>
      <c r="C7" s="18" t="str">
        <f aca="false">IF(B7="","",IFERROR(INDEX(LOOKAHEAD!$B$5:$B$204,MATCH(B7,LOOKAHEAD!$A$5:$A$204,0)),"ID no existe"))</f>
        <v>Hormigonado muros piso 1</v>
      </c>
      <c r="D7" s="27" t="n">
        <f aca="false">IF(B7="","",IFERROR(INDEX(LOOKAHEAD!$I$5:$I$204,MATCH(B7,LOOKAHEAD!$A$5:$A$204,0)),""))</f>
        <v>46314</v>
      </c>
      <c r="E7" s="9" t="s">
        <v>89</v>
      </c>
      <c r="F7" s="9" t="s">
        <v>198</v>
      </c>
      <c r="G7" s="9" t="s">
        <v>73</v>
      </c>
      <c r="H7" s="14" t="n">
        <v>46296</v>
      </c>
      <c r="I7" s="27" t="n">
        <f aca="false">IF(OR(D7="",D7=0),"",D7-$D$2)</f>
        <v>46311</v>
      </c>
      <c r="J7" s="14" t="n">
        <v>46311</v>
      </c>
      <c r="K7" s="14"/>
      <c r="L7" s="16" t="str">
        <f aca="false">IF(B7="","",IF(K7&lt;&gt;"","Liberado","Pendiente"))</f>
        <v>Pendiente</v>
      </c>
      <c r="M7" s="16" t="str">
        <f aca="true">IF(B7="","",IF(L7="Liberado",IF(OR(I7="",K7&lt;=I7),"A tiempo","Liberada tarde"),IF(J7="","Sin compromiso",IF(TODAY()&gt;J7,"VENCIDA",IF(AND(I7&lt;&gt;"",J7&gt;I7),"En riesgo","En gestión")))))</f>
        <v>En gestión</v>
      </c>
      <c r="N7" s="15" t="n">
        <f aca="false">IF(OR(B7="",I7=""),"",IF(K7&lt;&gt;"",I7-K7,IF(J7&lt;&gt;"",I7-J7,"")))</f>
        <v>0</v>
      </c>
      <c r="O7" s="9"/>
    </row>
    <row r="8" customFormat="false" ht="15" hidden="false" customHeight="false" outlineLevel="0" collapsed="false">
      <c r="A8" s="9" t="s">
        <v>199</v>
      </c>
      <c r="B8" s="9" t="s">
        <v>167</v>
      </c>
      <c r="C8" s="18" t="str">
        <f aca="false">IF(B8="","",IFERROR(INDEX(LOOKAHEAD!$B$5:$B$204,MATCH(B8,LOOKAHEAD!$A$5:$A$204,0)),"ID no existe"))</f>
        <v>Moldaje y enfierradura losa piso 2</v>
      </c>
      <c r="D8" s="27" t="n">
        <f aca="false">IF(B8="","",IFERROR(INDEX(LOOKAHEAD!$I$5:$I$204,MATCH(B8,LOOKAHEAD!$A$5:$A$204,0)),""))</f>
        <v>46321</v>
      </c>
      <c r="E8" s="9" t="s">
        <v>70</v>
      </c>
      <c r="F8" s="9" t="s">
        <v>200</v>
      </c>
      <c r="G8" s="9" t="s">
        <v>58</v>
      </c>
      <c r="H8" s="14" t="n">
        <v>46296</v>
      </c>
      <c r="I8" s="27" t="n">
        <f aca="false">IF(OR(D8="",D8=0),"",D8-$D$2)</f>
        <v>46318</v>
      </c>
      <c r="J8" s="14" t="n">
        <v>46302</v>
      </c>
      <c r="K8" s="14"/>
      <c r="L8" s="16" t="str">
        <f aca="false">IF(B8="","",IF(K8&lt;&gt;"","Liberado","Pendiente"))</f>
        <v>Pendiente</v>
      </c>
      <c r="M8" s="16" t="str">
        <f aca="true">IF(B8="","",IF(L8="Liberado",IF(OR(I8="",K8&lt;=I8),"A tiempo","Liberada tarde"),IF(J8="","Sin compromiso",IF(TODAY()&gt;J8,"VENCIDA",IF(AND(I8&lt;&gt;"",J8&gt;I8),"En riesgo","En gestión")))))</f>
        <v>VENCIDA</v>
      </c>
      <c r="N8" s="15" t="n">
        <f aca="false">IF(OR(B8="",I8=""),"",IF(K8&lt;&gt;"",I8-K8,IF(J8&lt;&gt;"",I8-J8,"")))</f>
        <v>16</v>
      </c>
      <c r="O8" s="9"/>
    </row>
    <row r="9" customFormat="false" ht="15" hidden="false" customHeight="false" outlineLevel="0" collapsed="false">
      <c r="A9" s="9" t="s">
        <v>201</v>
      </c>
      <c r="B9" s="9" t="s">
        <v>170</v>
      </c>
      <c r="C9" s="18" t="str">
        <f aca="false">IF(B9="","",IFERROR(INDEX(LOOKAHEAD!$B$5:$B$204,MATCH(B9,LOOKAHEAD!$A$5:$A$204,0)),"ID no existe"))</f>
        <v>Hormigonado losa piso 2</v>
      </c>
      <c r="D9" s="27" t="n">
        <f aca="false">IF(B9="","",IFERROR(INDEX(LOOKAHEAD!$I$5:$I$204,MATCH(B9,LOOKAHEAD!$A$5:$A$204,0)),""))</f>
        <v>46333</v>
      </c>
      <c r="E9" s="9" t="s">
        <v>65</v>
      </c>
      <c r="F9" s="9" t="s">
        <v>202</v>
      </c>
      <c r="G9" s="9" t="s">
        <v>78</v>
      </c>
      <c r="H9" s="14" t="n">
        <v>46297</v>
      </c>
      <c r="I9" s="27" t="n">
        <f aca="false">IF(OR(D9="",D9=0),"",D9-$D$2)</f>
        <v>46330</v>
      </c>
      <c r="J9" s="14" t="n">
        <v>46325</v>
      </c>
      <c r="K9" s="14"/>
      <c r="L9" s="16" t="str">
        <f aca="false">IF(B9="","",IF(K9&lt;&gt;"","Liberado","Pendiente"))</f>
        <v>Pendiente</v>
      </c>
      <c r="M9" s="16" t="str">
        <f aca="true">IF(B9="","",IF(L9="Liberado",IF(OR(I9="",K9&lt;=I9),"A tiempo","Liberada tarde"),IF(J9="","Sin compromiso",IF(TODAY()&gt;J9,"VENCIDA",IF(AND(I9&lt;&gt;"",J9&gt;I9),"En riesgo","En gestión")))))</f>
        <v>En gestión</v>
      </c>
      <c r="N9" s="15" t="n">
        <f aca="false">IF(OR(B9="",I9=""),"",IF(K9&lt;&gt;"",I9-K9,IF(J9&lt;&gt;"",I9-J9,"")))</f>
        <v>5</v>
      </c>
      <c r="O9" s="9"/>
    </row>
    <row r="10" customFormat="false" ht="15" hidden="false" customHeight="false" outlineLevel="0" collapsed="false">
      <c r="A10" s="9" t="s">
        <v>203</v>
      </c>
      <c r="B10" s="9" t="s">
        <v>172</v>
      </c>
      <c r="C10" s="18" t="str">
        <f aca="false">IF(B10="","",IFERROR(INDEX(LOOKAHEAD!$B$5:$B$204,MATCH(B10,LOOKAHEAD!$A$5:$A$204,0)),"ID no existe"))</f>
        <v>Canalización eléctrica embutida losa P2</v>
      </c>
      <c r="D10" s="27" t="n">
        <f aca="false">IF(B10="","",IFERROR(INDEX(LOOKAHEAD!$I$5:$I$204,MATCH(B10,LOOKAHEAD!$A$5:$A$204,0)),""))</f>
        <v>46328</v>
      </c>
      <c r="E10" s="9" t="s">
        <v>65</v>
      </c>
      <c r="F10" s="9" t="s">
        <v>204</v>
      </c>
      <c r="G10" s="9" t="s">
        <v>78</v>
      </c>
      <c r="H10" s="14" t="n">
        <v>46297</v>
      </c>
      <c r="I10" s="27" t="n">
        <f aca="false">IF(OR(D10="",D10=0),"",D10-$D$2)</f>
        <v>46325</v>
      </c>
      <c r="J10" s="14" t="n">
        <v>46318</v>
      </c>
      <c r="K10" s="14"/>
      <c r="L10" s="16" t="str">
        <f aca="false">IF(B10="","",IF(K10&lt;&gt;"","Liberado","Pendiente"))</f>
        <v>Pendiente</v>
      </c>
      <c r="M10" s="16" t="str">
        <f aca="true">IF(B10="","",IF(L10="Liberado",IF(OR(I10="",K10&lt;=I10),"A tiempo","Liberada tarde"),IF(J10="","Sin compromiso",IF(TODAY()&gt;J10,"VENCIDA",IF(AND(I10&lt;&gt;"",J10&gt;I10),"En riesgo","En gestión")))))</f>
        <v>En gestión</v>
      </c>
      <c r="N10" s="15" t="n">
        <f aca="false">IF(OR(B10="",I10=""),"",IF(K10&lt;&gt;"",I10-K10,IF(J10&lt;&gt;"",I10-J10,"")))</f>
        <v>7</v>
      </c>
      <c r="O10" s="9"/>
    </row>
    <row r="11" customFormat="false" ht="15" hidden="false" customHeight="false" outlineLevel="0" collapsed="false">
      <c r="A11" s="9" t="s">
        <v>205</v>
      </c>
      <c r="B11" s="9" t="s">
        <v>174</v>
      </c>
      <c r="C11" s="18" t="str">
        <f aca="false">IF(B11="","",IFERROR(INDEX(LOOKAHEAD!$B$5:$B$204,MATCH(B11,LOOKAHEAD!$A$5:$A$204,0)),"ID no existe"))</f>
        <v>Pasadas sanitarias losa P2</v>
      </c>
      <c r="D11" s="27" t="n">
        <f aca="false">IF(B11="","",IFERROR(INDEX(LOOKAHEAD!$I$5:$I$204,MATCH(B11,LOOKAHEAD!$A$5:$A$204,0)),""))</f>
        <v>46328</v>
      </c>
      <c r="E11" s="9" t="s">
        <v>70</v>
      </c>
      <c r="F11" s="9" t="s">
        <v>206</v>
      </c>
      <c r="G11" s="9" t="s">
        <v>58</v>
      </c>
      <c r="H11" s="14" t="n">
        <v>46300</v>
      </c>
      <c r="I11" s="27" t="n">
        <f aca="false">IF(OR(D11="",D11=0),"",D11-$D$2)</f>
        <v>46325</v>
      </c>
      <c r="J11" s="14" t="n">
        <v>46322</v>
      </c>
      <c r="K11" s="14"/>
      <c r="L11" s="16" t="str">
        <f aca="false">IF(B11="","",IF(K11&lt;&gt;"","Liberado","Pendiente"))</f>
        <v>Pendiente</v>
      </c>
      <c r="M11" s="16" t="str">
        <f aca="true">IF(B11="","",IF(L11="Liberado",IF(OR(I11="",K11&lt;=I11),"A tiempo","Liberada tarde"),IF(J11="","Sin compromiso",IF(TODAY()&gt;J11,"VENCIDA",IF(AND(I11&lt;&gt;"",J11&gt;I11),"En riesgo","En gestión")))))</f>
        <v>En gestión</v>
      </c>
      <c r="N11" s="15" t="n">
        <f aca="false">IF(OR(B11="",I11=""),"",IF(K11&lt;&gt;"",I11-K11,IF(J11&lt;&gt;"",I11-J11,"")))</f>
        <v>3</v>
      </c>
      <c r="O11" s="9"/>
    </row>
    <row r="12" customFormat="false" ht="15" hidden="false" customHeight="false" outlineLevel="0" collapsed="false">
      <c r="A12" s="9" t="s">
        <v>207</v>
      </c>
      <c r="B12" s="9" t="s">
        <v>160</v>
      </c>
      <c r="C12" s="18" t="str">
        <f aca="false">IF(B12="","",IFERROR(INDEX(LOOKAHEAD!$B$5:$B$204,MATCH(B12,LOOKAHEAD!$A$5:$A$204,0)),"ID no existe"))</f>
        <v>Enfierradura muros piso 1</v>
      </c>
      <c r="D12" s="27" t="n">
        <f aca="false">IF(B12="","",IFERROR(INDEX(LOOKAHEAD!$I$5:$I$204,MATCH(B12,LOOKAHEAD!$A$5:$A$204,0)),""))</f>
        <v>46300</v>
      </c>
      <c r="E12" s="9" t="s">
        <v>60</v>
      </c>
      <c r="F12" s="9" t="s">
        <v>208</v>
      </c>
      <c r="G12" s="9" t="s">
        <v>53</v>
      </c>
      <c r="H12" s="14" t="n">
        <v>46290</v>
      </c>
      <c r="I12" s="27" t="n">
        <f aca="false">IF(OR(D12="",D12=0),"",D12-$D$2)</f>
        <v>46297</v>
      </c>
      <c r="J12" s="14" t="n">
        <v>46297</v>
      </c>
      <c r="K12" s="14" t="n">
        <v>46297</v>
      </c>
      <c r="L12" s="16" t="str">
        <f aca="false">IF(B12="","",IF(K12&lt;&gt;"","Liberado","Pendiente"))</f>
        <v>Liberado</v>
      </c>
      <c r="M12" s="16" t="str">
        <f aca="true">IF(B12="","",IF(L12="Liberado",IF(OR(I12="",K12&lt;=I12),"A tiempo","Liberada tarde"),IF(J12="","Sin compromiso",IF(TODAY()&gt;J12,"VENCIDA",IF(AND(I12&lt;&gt;"",J12&gt;I12),"En riesgo","En gestión")))))</f>
        <v>A tiempo</v>
      </c>
      <c r="N12" s="15" t="n">
        <f aca="false">IF(OR(B12="",I12=""),"",IF(K12&lt;&gt;"",I12-K12,IF(J12&lt;&gt;"",I12-J12,"")))</f>
        <v>0</v>
      </c>
      <c r="O12" s="9"/>
    </row>
    <row r="13" customFormat="false" ht="15" hidden="false" customHeight="false" outlineLevel="0" collapsed="false">
      <c r="A13" s="9"/>
      <c r="B13" s="9"/>
      <c r="C13" s="18" t="str">
        <f aca="false">IF(B13="","",IFERROR(INDEX(LOOKAHEAD!$B$5:$B$204,MATCH(B13,LOOKAHEAD!$A$5:$A$204,0)),"ID no existe"))</f>
        <v/>
      </c>
      <c r="D13" s="27" t="str">
        <f aca="false">IF(B13="","",IFERROR(INDEX(LOOKAHEAD!$I$5:$I$204,MATCH(B13,LOOKAHEAD!$A$5:$A$204,0)),""))</f>
        <v/>
      </c>
      <c r="E13" s="9"/>
      <c r="F13" s="9"/>
      <c r="G13" s="9"/>
      <c r="H13" s="14"/>
      <c r="I13" s="27" t="str">
        <f aca="false">IF(OR(D13="",D13=0),"",D13-$D$2)</f>
        <v/>
      </c>
      <c r="J13" s="14"/>
      <c r="K13" s="14"/>
      <c r="L13" s="16" t="str">
        <f aca="false">IF(B13="","",IF(K13&lt;&gt;"","Liberado","Pendiente"))</f>
        <v/>
      </c>
      <c r="M13" s="16" t="str">
        <f aca="true">IF(B13="","",IF(L13="Liberado",IF(OR(I13="",K13&lt;=I13),"A tiempo","Liberada tarde"),IF(J13="","Sin compromiso",IF(TODAY()&gt;J13,"VENCIDA",IF(AND(I13&lt;&gt;"",J13&gt;I13),"En riesgo","En gestión")))))</f>
        <v/>
      </c>
      <c r="N13" s="15" t="str">
        <f aca="false">IF(OR(B13="",I13=""),"",IF(K13&lt;&gt;"",I13-K13,IF(J13&lt;&gt;"",I13-J13,"")))</f>
        <v/>
      </c>
      <c r="O13" s="9"/>
    </row>
    <row r="14" customFormat="false" ht="15" hidden="false" customHeight="false" outlineLevel="0" collapsed="false">
      <c r="A14" s="9"/>
      <c r="B14" s="9"/>
      <c r="C14" s="18" t="str">
        <f aca="false">IF(B14="","",IFERROR(INDEX(LOOKAHEAD!$B$5:$B$204,MATCH(B14,LOOKAHEAD!$A$5:$A$204,0)),"ID no existe"))</f>
        <v/>
      </c>
      <c r="D14" s="27" t="str">
        <f aca="false">IF(B14="","",IFERROR(INDEX(LOOKAHEAD!$I$5:$I$204,MATCH(B14,LOOKAHEAD!$A$5:$A$204,0)),""))</f>
        <v/>
      </c>
      <c r="E14" s="9"/>
      <c r="F14" s="9"/>
      <c r="G14" s="9"/>
      <c r="H14" s="14"/>
      <c r="I14" s="27" t="str">
        <f aca="false">IF(OR(D14="",D14=0),"",D14-$D$2)</f>
        <v/>
      </c>
      <c r="J14" s="14"/>
      <c r="K14" s="14"/>
      <c r="L14" s="16" t="str">
        <f aca="false">IF(B14="","",IF(K14&lt;&gt;"","Liberado","Pendiente"))</f>
        <v/>
      </c>
      <c r="M14" s="16" t="str">
        <f aca="true">IF(B14="","",IF(L14="Liberado",IF(OR(I14="",K14&lt;=I14),"A tiempo","Liberada tarde"),IF(J14="","Sin compromiso",IF(TODAY()&gt;J14,"VENCIDA",IF(AND(I14&lt;&gt;"",J14&gt;I14),"En riesgo","En gestión")))))</f>
        <v/>
      </c>
      <c r="N14" s="15" t="str">
        <f aca="false">IF(OR(B14="",I14=""),"",IF(K14&lt;&gt;"",I14-K14,IF(J14&lt;&gt;"",I14-J14,"")))</f>
        <v/>
      </c>
      <c r="O14" s="9"/>
    </row>
    <row r="15" customFormat="false" ht="15" hidden="false" customHeight="false" outlineLevel="0" collapsed="false">
      <c r="A15" s="9"/>
      <c r="B15" s="9"/>
      <c r="C15" s="18" t="str">
        <f aca="false">IF(B15="","",IFERROR(INDEX(LOOKAHEAD!$B$5:$B$204,MATCH(B15,LOOKAHEAD!$A$5:$A$204,0)),"ID no existe"))</f>
        <v/>
      </c>
      <c r="D15" s="27" t="str">
        <f aca="false">IF(B15="","",IFERROR(INDEX(LOOKAHEAD!$I$5:$I$204,MATCH(B15,LOOKAHEAD!$A$5:$A$204,0)),""))</f>
        <v/>
      </c>
      <c r="E15" s="9"/>
      <c r="F15" s="9"/>
      <c r="G15" s="9"/>
      <c r="H15" s="14"/>
      <c r="I15" s="27" t="str">
        <f aca="false">IF(OR(D15="",D15=0),"",D15-$D$2)</f>
        <v/>
      </c>
      <c r="J15" s="14"/>
      <c r="K15" s="14"/>
      <c r="L15" s="16" t="str">
        <f aca="false">IF(B15="","",IF(K15&lt;&gt;"","Liberado","Pendiente"))</f>
        <v/>
      </c>
      <c r="M15" s="16" t="str">
        <f aca="true">IF(B15="","",IF(L15="Liberado",IF(OR(I15="",K15&lt;=I15),"A tiempo","Liberada tarde"),IF(J15="","Sin compromiso",IF(TODAY()&gt;J15,"VENCIDA",IF(AND(I15&lt;&gt;"",J15&gt;I15),"En riesgo","En gestión")))))</f>
        <v/>
      </c>
      <c r="N15" s="15" t="str">
        <f aca="false">IF(OR(B15="",I15=""),"",IF(K15&lt;&gt;"",I15-K15,IF(J15&lt;&gt;"",I15-J15,"")))</f>
        <v/>
      </c>
      <c r="O15" s="9"/>
    </row>
    <row r="16" customFormat="false" ht="15" hidden="false" customHeight="false" outlineLevel="0" collapsed="false">
      <c r="A16" s="9"/>
      <c r="B16" s="9"/>
      <c r="C16" s="18" t="str">
        <f aca="false">IF(B16="","",IFERROR(INDEX(LOOKAHEAD!$B$5:$B$204,MATCH(B16,LOOKAHEAD!$A$5:$A$204,0)),"ID no existe"))</f>
        <v/>
      </c>
      <c r="D16" s="27" t="str">
        <f aca="false">IF(B16="","",IFERROR(INDEX(LOOKAHEAD!$I$5:$I$204,MATCH(B16,LOOKAHEAD!$A$5:$A$204,0)),""))</f>
        <v/>
      </c>
      <c r="E16" s="9"/>
      <c r="F16" s="9"/>
      <c r="G16" s="9"/>
      <c r="H16" s="14"/>
      <c r="I16" s="27" t="str">
        <f aca="false">IF(OR(D16="",D16=0),"",D16-$D$2)</f>
        <v/>
      </c>
      <c r="J16" s="14"/>
      <c r="K16" s="14"/>
      <c r="L16" s="16" t="str">
        <f aca="false">IF(B16="","",IF(K16&lt;&gt;"","Liberado","Pendiente"))</f>
        <v/>
      </c>
      <c r="M16" s="16" t="str">
        <f aca="true">IF(B16="","",IF(L16="Liberado",IF(OR(I16="",K16&lt;=I16),"A tiempo","Liberada tarde"),IF(J16="","Sin compromiso",IF(TODAY()&gt;J16,"VENCIDA",IF(AND(I16&lt;&gt;"",J16&gt;I16),"En riesgo","En gestión")))))</f>
        <v/>
      </c>
      <c r="N16" s="15" t="str">
        <f aca="false">IF(OR(B16="",I16=""),"",IF(K16&lt;&gt;"",I16-K16,IF(J16&lt;&gt;"",I16-J16,"")))</f>
        <v/>
      </c>
      <c r="O16" s="9"/>
    </row>
    <row r="17" customFormat="false" ht="15" hidden="false" customHeight="false" outlineLevel="0" collapsed="false">
      <c r="A17" s="9"/>
      <c r="B17" s="9"/>
      <c r="C17" s="18" t="str">
        <f aca="false">IF(B17="","",IFERROR(INDEX(LOOKAHEAD!$B$5:$B$204,MATCH(B17,LOOKAHEAD!$A$5:$A$204,0)),"ID no existe"))</f>
        <v/>
      </c>
      <c r="D17" s="27" t="str">
        <f aca="false">IF(B17="","",IFERROR(INDEX(LOOKAHEAD!$I$5:$I$204,MATCH(B17,LOOKAHEAD!$A$5:$A$204,0)),""))</f>
        <v/>
      </c>
      <c r="E17" s="9"/>
      <c r="F17" s="9"/>
      <c r="G17" s="9"/>
      <c r="H17" s="14"/>
      <c r="I17" s="27" t="str">
        <f aca="false">IF(OR(D17="",D17=0),"",D17-$D$2)</f>
        <v/>
      </c>
      <c r="J17" s="14"/>
      <c r="K17" s="14"/>
      <c r="L17" s="16" t="str">
        <f aca="false">IF(B17="","",IF(K17&lt;&gt;"","Liberado","Pendiente"))</f>
        <v/>
      </c>
      <c r="M17" s="16" t="str">
        <f aca="true">IF(B17="","",IF(L17="Liberado",IF(OR(I17="",K17&lt;=I17),"A tiempo","Liberada tarde"),IF(J17="","Sin compromiso",IF(TODAY()&gt;J17,"VENCIDA",IF(AND(I17&lt;&gt;"",J17&gt;I17),"En riesgo","En gestión")))))</f>
        <v/>
      </c>
      <c r="N17" s="15" t="str">
        <f aca="false">IF(OR(B17="",I17=""),"",IF(K17&lt;&gt;"",I17-K17,IF(J17&lt;&gt;"",I17-J17,"")))</f>
        <v/>
      </c>
      <c r="O17" s="9"/>
    </row>
    <row r="18" customFormat="false" ht="15" hidden="false" customHeight="false" outlineLevel="0" collapsed="false">
      <c r="A18" s="9"/>
      <c r="B18" s="9"/>
      <c r="C18" s="18" t="str">
        <f aca="false">IF(B18="","",IFERROR(INDEX(LOOKAHEAD!$B$5:$B$204,MATCH(B18,LOOKAHEAD!$A$5:$A$204,0)),"ID no existe"))</f>
        <v/>
      </c>
      <c r="D18" s="27" t="str">
        <f aca="false">IF(B18="","",IFERROR(INDEX(LOOKAHEAD!$I$5:$I$204,MATCH(B18,LOOKAHEAD!$A$5:$A$204,0)),""))</f>
        <v/>
      </c>
      <c r="E18" s="9"/>
      <c r="F18" s="9"/>
      <c r="G18" s="9"/>
      <c r="H18" s="14"/>
      <c r="I18" s="27" t="str">
        <f aca="false">IF(OR(D18="",D18=0),"",D18-$D$2)</f>
        <v/>
      </c>
      <c r="J18" s="14"/>
      <c r="K18" s="14"/>
      <c r="L18" s="16" t="str">
        <f aca="false">IF(B18="","",IF(K18&lt;&gt;"","Liberado","Pendiente"))</f>
        <v/>
      </c>
      <c r="M18" s="16" t="str">
        <f aca="true">IF(B18="","",IF(L18="Liberado",IF(OR(I18="",K18&lt;=I18),"A tiempo","Liberada tarde"),IF(J18="","Sin compromiso",IF(TODAY()&gt;J18,"VENCIDA",IF(AND(I18&lt;&gt;"",J18&gt;I18),"En riesgo","En gestión")))))</f>
        <v/>
      </c>
      <c r="N18" s="15" t="str">
        <f aca="false">IF(OR(B18="",I18=""),"",IF(K18&lt;&gt;"",I18-K18,IF(J18&lt;&gt;"",I18-J18,"")))</f>
        <v/>
      </c>
      <c r="O18" s="9"/>
    </row>
    <row r="19" customFormat="false" ht="15" hidden="false" customHeight="false" outlineLevel="0" collapsed="false">
      <c r="A19" s="9"/>
      <c r="B19" s="9"/>
      <c r="C19" s="18" t="str">
        <f aca="false">IF(B19="","",IFERROR(INDEX(LOOKAHEAD!$B$5:$B$204,MATCH(B19,LOOKAHEAD!$A$5:$A$204,0)),"ID no existe"))</f>
        <v/>
      </c>
      <c r="D19" s="27" t="str">
        <f aca="false">IF(B19="","",IFERROR(INDEX(LOOKAHEAD!$I$5:$I$204,MATCH(B19,LOOKAHEAD!$A$5:$A$204,0)),""))</f>
        <v/>
      </c>
      <c r="E19" s="9"/>
      <c r="F19" s="9"/>
      <c r="G19" s="9"/>
      <c r="H19" s="14"/>
      <c r="I19" s="27" t="str">
        <f aca="false">IF(OR(D19="",D19=0),"",D19-$D$2)</f>
        <v/>
      </c>
      <c r="J19" s="14"/>
      <c r="K19" s="14"/>
      <c r="L19" s="16" t="str">
        <f aca="false">IF(B19="","",IF(K19&lt;&gt;"","Liberado","Pendiente"))</f>
        <v/>
      </c>
      <c r="M19" s="16" t="str">
        <f aca="true">IF(B19="","",IF(L19="Liberado",IF(OR(I19="",K19&lt;=I19),"A tiempo","Liberada tarde"),IF(J19="","Sin compromiso",IF(TODAY()&gt;J19,"VENCIDA",IF(AND(I19&lt;&gt;"",J19&gt;I19),"En riesgo","En gestión")))))</f>
        <v/>
      </c>
      <c r="N19" s="15" t="str">
        <f aca="false">IF(OR(B19="",I19=""),"",IF(K19&lt;&gt;"",I19-K19,IF(J19&lt;&gt;"",I19-J19,"")))</f>
        <v/>
      </c>
      <c r="O19" s="9"/>
    </row>
    <row r="20" customFormat="false" ht="15" hidden="false" customHeight="false" outlineLevel="0" collapsed="false">
      <c r="A20" s="9"/>
      <c r="B20" s="9"/>
      <c r="C20" s="18" t="str">
        <f aca="false">IF(B20="","",IFERROR(INDEX(LOOKAHEAD!$B$5:$B$204,MATCH(B20,LOOKAHEAD!$A$5:$A$204,0)),"ID no existe"))</f>
        <v/>
      </c>
      <c r="D20" s="27" t="str">
        <f aca="false">IF(B20="","",IFERROR(INDEX(LOOKAHEAD!$I$5:$I$204,MATCH(B20,LOOKAHEAD!$A$5:$A$204,0)),""))</f>
        <v/>
      </c>
      <c r="E20" s="9"/>
      <c r="F20" s="9"/>
      <c r="G20" s="9"/>
      <c r="H20" s="14"/>
      <c r="I20" s="27" t="str">
        <f aca="false">IF(OR(D20="",D20=0),"",D20-$D$2)</f>
        <v/>
      </c>
      <c r="J20" s="14"/>
      <c r="K20" s="14"/>
      <c r="L20" s="16" t="str">
        <f aca="false">IF(B20="","",IF(K20&lt;&gt;"","Liberado","Pendiente"))</f>
        <v/>
      </c>
      <c r="M20" s="16" t="str">
        <f aca="true">IF(B20="","",IF(L20="Liberado",IF(OR(I20="",K20&lt;=I20),"A tiempo","Liberada tarde"),IF(J20="","Sin compromiso",IF(TODAY()&gt;J20,"VENCIDA",IF(AND(I20&lt;&gt;"",J20&gt;I20),"En riesgo","En gestión")))))</f>
        <v/>
      </c>
      <c r="N20" s="15" t="str">
        <f aca="false">IF(OR(B20="",I20=""),"",IF(K20&lt;&gt;"",I20-K20,IF(J20&lt;&gt;"",I20-J20,"")))</f>
        <v/>
      </c>
      <c r="O20" s="9"/>
    </row>
    <row r="21" customFormat="false" ht="15" hidden="false" customHeight="false" outlineLevel="0" collapsed="false">
      <c r="A21" s="9"/>
      <c r="B21" s="9"/>
      <c r="C21" s="18" t="str">
        <f aca="false">IF(B21="","",IFERROR(INDEX(LOOKAHEAD!$B$5:$B$204,MATCH(B21,LOOKAHEAD!$A$5:$A$204,0)),"ID no existe"))</f>
        <v/>
      </c>
      <c r="D21" s="27" t="str">
        <f aca="false">IF(B21="","",IFERROR(INDEX(LOOKAHEAD!$I$5:$I$204,MATCH(B21,LOOKAHEAD!$A$5:$A$204,0)),""))</f>
        <v/>
      </c>
      <c r="E21" s="9"/>
      <c r="F21" s="9"/>
      <c r="G21" s="9"/>
      <c r="H21" s="14"/>
      <c r="I21" s="27" t="str">
        <f aca="false">IF(OR(D21="",D21=0),"",D21-$D$2)</f>
        <v/>
      </c>
      <c r="J21" s="14"/>
      <c r="K21" s="14"/>
      <c r="L21" s="16" t="str">
        <f aca="false">IF(B21="","",IF(K21&lt;&gt;"","Liberado","Pendiente"))</f>
        <v/>
      </c>
      <c r="M21" s="16" t="str">
        <f aca="true">IF(B21="","",IF(L21="Liberado",IF(OR(I21="",K21&lt;=I21),"A tiempo","Liberada tarde"),IF(J21="","Sin compromiso",IF(TODAY()&gt;J21,"VENCIDA",IF(AND(I21&lt;&gt;"",J21&gt;I21),"En riesgo","En gestión")))))</f>
        <v/>
      </c>
      <c r="N21" s="15" t="str">
        <f aca="false">IF(OR(B21="",I21=""),"",IF(K21&lt;&gt;"",I21-K21,IF(J21&lt;&gt;"",I21-J21,"")))</f>
        <v/>
      </c>
      <c r="O21" s="9"/>
    </row>
    <row r="22" customFormat="false" ht="15" hidden="false" customHeight="false" outlineLevel="0" collapsed="false">
      <c r="A22" s="9"/>
      <c r="B22" s="9"/>
      <c r="C22" s="18" t="str">
        <f aca="false">IF(B22="","",IFERROR(INDEX(LOOKAHEAD!$B$5:$B$204,MATCH(B22,LOOKAHEAD!$A$5:$A$204,0)),"ID no existe"))</f>
        <v/>
      </c>
      <c r="D22" s="27" t="str">
        <f aca="false">IF(B22="","",IFERROR(INDEX(LOOKAHEAD!$I$5:$I$204,MATCH(B22,LOOKAHEAD!$A$5:$A$204,0)),""))</f>
        <v/>
      </c>
      <c r="E22" s="9"/>
      <c r="F22" s="9"/>
      <c r="G22" s="9"/>
      <c r="H22" s="14"/>
      <c r="I22" s="27" t="str">
        <f aca="false">IF(OR(D22="",D22=0),"",D22-$D$2)</f>
        <v/>
      </c>
      <c r="J22" s="14"/>
      <c r="K22" s="14"/>
      <c r="L22" s="16" t="str">
        <f aca="false">IF(B22="","",IF(K22&lt;&gt;"","Liberado","Pendiente"))</f>
        <v/>
      </c>
      <c r="M22" s="16" t="str">
        <f aca="true">IF(B22="","",IF(L22="Liberado",IF(OR(I22="",K22&lt;=I22),"A tiempo","Liberada tarde"),IF(J22="","Sin compromiso",IF(TODAY()&gt;J22,"VENCIDA",IF(AND(I22&lt;&gt;"",J22&gt;I22),"En riesgo","En gestión")))))</f>
        <v/>
      </c>
      <c r="N22" s="15" t="str">
        <f aca="false">IF(OR(B22="",I22=""),"",IF(K22&lt;&gt;"",I22-K22,IF(J22&lt;&gt;"",I22-J22,"")))</f>
        <v/>
      </c>
      <c r="O22" s="9"/>
    </row>
    <row r="23" customFormat="false" ht="15" hidden="false" customHeight="false" outlineLevel="0" collapsed="false">
      <c r="A23" s="9"/>
      <c r="B23" s="9"/>
      <c r="C23" s="18" t="str">
        <f aca="false">IF(B23="","",IFERROR(INDEX(LOOKAHEAD!$B$5:$B$204,MATCH(B23,LOOKAHEAD!$A$5:$A$204,0)),"ID no existe"))</f>
        <v/>
      </c>
      <c r="D23" s="27" t="str">
        <f aca="false">IF(B23="","",IFERROR(INDEX(LOOKAHEAD!$I$5:$I$204,MATCH(B23,LOOKAHEAD!$A$5:$A$204,0)),""))</f>
        <v/>
      </c>
      <c r="E23" s="9"/>
      <c r="F23" s="9"/>
      <c r="G23" s="9"/>
      <c r="H23" s="14"/>
      <c r="I23" s="27" t="str">
        <f aca="false">IF(OR(D23="",D23=0),"",D23-$D$2)</f>
        <v/>
      </c>
      <c r="J23" s="14"/>
      <c r="K23" s="14"/>
      <c r="L23" s="16" t="str">
        <f aca="false">IF(B23="","",IF(K23&lt;&gt;"","Liberado","Pendiente"))</f>
        <v/>
      </c>
      <c r="M23" s="16" t="str">
        <f aca="true">IF(B23="","",IF(L23="Liberado",IF(OR(I23="",K23&lt;=I23),"A tiempo","Liberada tarde"),IF(J23="","Sin compromiso",IF(TODAY()&gt;J23,"VENCIDA",IF(AND(I23&lt;&gt;"",J23&gt;I23),"En riesgo","En gestión")))))</f>
        <v/>
      </c>
      <c r="N23" s="15" t="str">
        <f aca="false">IF(OR(B23="",I23=""),"",IF(K23&lt;&gt;"",I23-K23,IF(J23&lt;&gt;"",I23-J23,"")))</f>
        <v/>
      </c>
      <c r="O23" s="9"/>
    </row>
    <row r="24" customFormat="false" ht="15" hidden="false" customHeight="false" outlineLevel="0" collapsed="false">
      <c r="A24" s="9"/>
      <c r="B24" s="9"/>
      <c r="C24" s="18" t="str">
        <f aca="false">IF(B24="","",IFERROR(INDEX(LOOKAHEAD!$B$5:$B$204,MATCH(B24,LOOKAHEAD!$A$5:$A$204,0)),"ID no existe"))</f>
        <v/>
      </c>
      <c r="D24" s="27" t="str">
        <f aca="false">IF(B24="","",IFERROR(INDEX(LOOKAHEAD!$I$5:$I$204,MATCH(B24,LOOKAHEAD!$A$5:$A$204,0)),""))</f>
        <v/>
      </c>
      <c r="E24" s="9"/>
      <c r="F24" s="9"/>
      <c r="G24" s="9"/>
      <c r="H24" s="14"/>
      <c r="I24" s="27" t="str">
        <f aca="false">IF(OR(D24="",D24=0),"",D24-$D$2)</f>
        <v/>
      </c>
      <c r="J24" s="14"/>
      <c r="K24" s="14"/>
      <c r="L24" s="16" t="str">
        <f aca="false">IF(B24="","",IF(K24&lt;&gt;"","Liberado","Pendiente"))</f>
        <v/>
      </c>
      <c r="M24" s="16" t="str">
        <f aca="true">IF(B24="","",IF(L24="Liberado",IF(OR(I24="",K24&lt;=I24),"A tiempo","Liberada tarde"),IF(J24="","Sin compromiso",IF(TODAY()&gt;J24,"VENCIDA",IF(AND(I24&lt;&gt;"",J24&gt;I24),"En riesgo","En gestión")))))</f>
        <v/>
      </c>
      <c r="N24" s="15" t="str">
        <f aca="false">IF(OR(B24="",I24=""),"",IF(K24&lt;&gt;"",I24-K24,IF(J24&lt;&gt;"",I24-J24,"")))</f>
        <v/>
      </c>
      <c r="O24" s="9"/>
    </row>
    <row r="25" customFormat="false" ht="15" hidden="false" customHeight="false" outlineLevel="0" collapsed="false">
      <c r="A25" s="9"/>
      <c r="B25" s="9"/>
      <c r="C25" s="18" t="str">
        <f aca="false">IF(B25="","",IFERROR(INDEX(LOOKAHEAD!$B$5:$B$204,MATCH(B25,LOOKAHEAD!$A$5:$A$204,0)),"ID no existe"))</f>
        <v/>
      </c>
      <c r="D25" s="27" t="str">
        <f aca="false">IF(B25="","",IFERROR(INDEX(LOOKAHEAD!$I$5:$I$204,MATCH(B25,LOOKAHEAD!$A$5:$A$204,0)),""))</f>
        <v/>
      </c>
      <c r="E25" s="9"/>
      <c r="F25" s="9"/>
      <c r="G25" s="9"/>
      <c r="H25" s="14"/>
      <c r="I25" s="27" t="str">
        <f aca="false">IF(OR(D25="",D25=0),"",D25-$D$2)</f>
        <v/>
      </c>
      <c r="J25" s="14"/>
      <c r="K25" s="14"/>
      <c r="L25" s="16" t="str">
        <f aca="false">IF(B25="","",IF(K25&lt;&gt;"","Liberado","Pendiente"))</f>
        <v/>
      </c>
      <c r="M25" s="16" t="str">
        <f aca="true">IF(B25="","",IF(L25="Liberado",IF(OR(I25="",K25&lt;=I25),"A tiempo","Liberada tarde"),IF(J25="","Sin compromiso",IF(TODAY()&gt;J25,"VENCIDA",IF(AND(I25&lt;&gt;"",J25&gt;I25),"En riesgo","En gestión")))))</f>
        <v/>
      </c>
      <c r="N25" s="15" t="str">
        <f aca="false">IF(OR(B25="",I25=""),"",IF(K25&lt;&gt;"",I25-K25,IF(J25&lt;&gt;"",I25-J25,"")))</f>
        <v/>
      </c>
      <c r="O25" s="9"/>
    </row>
    <row r="26" customFormat="false" ht="15" hidden="false" customHeight="false" outlineLevel="0" collapsed="false">
      <c r="A26" s="9"/>
      <c r="B26" s="9"/>
      <c r="C26" s="18" t="str">
        <f aca="false">IF(B26="","",IFERROR(INDEX(LOOKAHEAD!$B$5:$B$204,MATCH(B26,LOOKAHEAD!$A$5:$A$204,0)),"ID no existe"))</f>
        <v/>
      </c>
      <c r="D26" s="27" t="str">
        <f aca="false">IF(B26="","",IFERROR(INDEX(LOOKAHEAD!$I$5:$I$204,MATCH(B26,LOOKAHEAD!$A$5:$A$204,0)),""))</f>
        <v/>
      </c>
      <c r="E26" s="9"/>
      <c r="F26" s="9"/>
      <c r="G26" s="9"/>
      <c r="H26" s="14"/>
      <c r="I26" s="27" t="str">
        <f aca="false">IF(OR(D26="",D26=0),"",D26-$D$2)</f>
        <v/>
      </c>
      <c r="J26" s="14"/>
      <c r="K26" s="14"/>
      <c r="L26" s="16" t="str">
        <f aca="false">IF(B26="","",IF(K26&lt;&gt;"","Liberado","Pendiente"))</f>
        <v/>
      </c>
      <c r="M26" s="16" t="str">
        <f aca="true">IF(B26="","",IF(L26="Liberado",IF(OR(I26="",K26&lt;=I26),"A tiempo","Liberada tarde"),IF(J26="","Sin compromiso",IF(TODAY()&gt;J26,"VENCIDA",IF(AND(I26&lt;&gt;"",J26&gt;I26),"En riesgo","En gestión")))))</f>
        <v/>
      </c>
      <c r="N26" s="15" t="str">
        <f aca="false">IF(OR(B26="",I26=""),"",IF(K26&lt;&gt;"",I26-K26,IF(J26&lt;&gt;"",I26-J26,"")))</f>
        <v/>
      </c>
      <c r="O26" s="9"/>
    </row>
    <row r="27" customFormat="false" ht="15" hidden="false" customHeight="false" outlineLevel="0" collapsed="false">
      <c r="A27" s="9"/>
      <c r="B27" s="9"/>
      <c r="C27" s="18" t="str">
        <f aca="false">IF(B27="","",IFERROR(INDEX(LOOKAHEAD!$B$5:$B$204,MATCH(B27,LOOKAHEAD!$A$5:$A$204,0)),"ID no existe"))</f>
        <v/>
      </c>
      <c r="D27" s="27" t="str">
        <f aca="false">IF(B27="","",IFERROR(INDEX(LOOKAHEAD!$I$5:$I$204,MATCH(B27,LOOKAHEAD!$A$5:$A$204,0)),""))</f>
        <v/>
      </c>
      <c r="E27" s="9"/>
      <c r="F27" s="9"/>
      <c r="G27" s="9"/>
      <c r="H27" s="14"/>
      <c r="I27" s="27" t="str">
        <f aca="false">IF(OR(D27="",D27=0),"",D27-$D$2)</f>
        <v/>
      </c>
      <c r="J27" s="14"/>
      <c r="K27" s="14"/>
      <c r="L27" s="16" t="str">
        <f aca="false">IF(B27="","",IF(K27&lt;&gt;"","Liberado","Pendiente"))</f>
        <v/>
      </c>
      <c r="M27" s="16" t="str">
        <f aca="true">IF(B27="","",IF(L27="Liberado",IF(OR(I27="",K27&lt;=I27),"A tiempo","Liberada tarde"),IF(J27="","Sin compromiso",IF(TODAY()&gt;J27,"VENCIDA",IF(AND(I27&lt;&gt;"",J27&gt;I27),"En riesgo","En gestión")))))</f>
        <v/>
      </c>
      <c r="N27" s="15" t="str">
        <f aca="false">IF(OR(B27="",I27=""),"",IF(K27&lt;&gt;"",I27-K27,IF(J27&lt;&gt;"",I27-J27,"")))</f>
        <v/>
      </c>
      <c r="O27" s="9"/>
    </row>
    <row r="28" customFormat="false" ht="15" hidden="false" customHeight="false" outlineLevel="0" collapsed="false">
      <c r="A28" s="9"/>
      <c r="B28" s="9"/>
      <c r="C28" s="18" t="str">
        <f aca="false">IF(B28="","",IFERROR(INDEX(LOOKAHEAD!$B$5:$B$204,MATCH(B28,LOOKAHEAD!$A$5:$A$204,0)),"ID no existe"))</f>
        <v/>
      </c>
      <c r="D28" s="27" t="str">
        <f aca="false">IF(B28="","",IFERROR(INDEX(LOOKAHEAD!$I$5:$I$204,MATCH(B28,LOOKAHEAD!$A$5:$A$204,0)),""))</f>
        <v/>
      </c>
      <c r="E28" s="9"/>
      <c r="F28" s="9"/>
      <c r="G28" s="9"/>
      <c r="H28" s="14"/>
      <c r="I28" s="27" t="str">
        <f aca="false">IF(OR(D28="",D28=0),"",D28-$D$2)</f>
        <v/>
      </c>
      <c r="J28" s="14"/>
      <c r="K28" s="14"/>
      <c r="L28" s="16" t="str">
        <f aca="false">IF(B28="","",IF(K28&lt;&gt;"","Liberado","Pendiente"))</f>
        <v/>
      </c>
      <c r="M28" s="16" t="str">
        <f aca="true">IF(B28="","",IF(L28="Liberado",IF(OR(I28="",K28&lt;=I28),"A tiempo","Liberada tarde"),IF(J28="","Sin compromiso",IF(TODAY()&gt;J28,"VENCIDA",IF(AND(I28&lt;&gt;"",J28&gt;I28),"En riesgo","En gestión")))))</f>
        <v/>
      </c>
      <c r="N28" s="15" t="str">
        <f aca="false">IF(OR(B28="",I28=""),"",IF(K28&lt;&gt;"",I28-K28,IF(J28&lt;&gt;"",I28-J28,"")))</f>
        <v/>
      </c>
      <c r="O28" s="9"/>
    </row>
    <row r="29" customFormat="false" ht="15" hidden="false" customHeight="false" outlineLevel="0" collapsed="false">
      <c r="A29" s="9"/>
      <c r="B29" s="9"/>
      <c r="C29" s="18" t="str">
        <f aca="false">IF(B29="","",IFERROR(INDEX(LOOKAHEAD!$B$5:$B$204,MATCH(B29,LOOKAHEAD!$A$5:$A$204,0)),"ID no existe"))</f>
        <v/>
      </c>
      <c r="D29" s="27" t="str">
        <f aca="false">IF(B29="","",IFERROR(INDEX(LOOKAHEAD!$I$5:$I$204,MATCH(B29,LOOKAHEAD!$A$5:$A$204,0)),""))</f>
        <v/>
      </c>
      <c r="E29" s="9"/>
      <c r="F29" s="9"/>
      <c r="G29" s="9"/>
      <c r="H29" s="14"/>
      <c r="I29" s="27" t="str">
        <f aca="false">IF(OR(D29="",D29=0),"",D29-$D$2)</f>
        <v/>
      </c>
      <c r="J29" s="14"/>
      <c r="K29" s="14"/>
      <c r="L29" s="16" t="str">
        <f aca="false">IF(B29="","",IF(K29&lt;&gt;"","Liberado","Pendiente"))</f>
        <v/>
      </c>
      <c r="M29" s="16" t="str">
        <f aca="true">IF(B29="","",IF(L29="Liberado",IF(OR(I29="",K29&lt;=I29),"A tiempo","Liberada tarde"),IF(J29="","Sin compromiso",IF(TODAY()&gt;J29,"VENCIDA",IF(AND(I29&lt;&gt;"",J29&gt;I29),"En riesgo","En gestión")))))</f>
        <v/>
      </c>
      <c r="N29" s="15" t="str">
        <f aca="false">IF(OR(B29="",I29=""),"",IF(K29&lt;&gt;"",I29-K29,IF(J29&lt;&gt;"",I29-J29,"")))</f>
        <v/>
      </c>
      <c r="O29" s="9"/>
    </row>
    <row r="30" customFormat="false" ht="15" hidden="false" customHeight="false" outlineLevel="0" collapsed="false">
      <c r="A30" s="9"/>
      <c r="B30" s="9"/>
      <c r="C30" s="18" t="str">
        <f aca="false">IF(B30="","",IFERROR(INDEX(LOOKAHEAD!$B$5:$B$204,MATCH(B30,LOOKAHEAD!$A$5:$A$204,0)),"ID no existe"))</f>
        <v/>
      </c>
      <c r="D30" s="27" t="str">
        <f aca="false">IF(B30="","",IFERROR(INDEX(LOOKAHEAD!$I$5:$I$204,MATCH(B30,LOOKAHEAD!$A$5:$A$204,0)),""))</f>
        <v/>
      </c>
      <c r="E30" s="9"/>
      <c r="F30" s="9"/>
      <c r="G30" s="9"/>
      <c r="H30" s="14"/>
      <c r="I30" s="27" t="str">
        <f aca="false">IF(OR(D30="",D30=0),"",D30-$D$2)</f>
        <v/>
      </c>
      <c r="J30" s="14"/>
      <c r="K30" s="14"/>
      <c r="L30" s="16" t="str">
        <f aca="false">IF(B30="","",IF(K30&lt;&gt;"","Liberado","Pendiente"))</f>
        <v/>
      </c>
      <c r="M30" s="16" t="str">
        <f aca="true">IF(B30="","",IF(L30="Liberado",IF(OR(I30="",K30&lt;=I30),"A tiempo","Liberada tarde"),IF(J30="","Sin compromiso",IF(TODAY()&gt;J30,"VENCIDA",IF(AND(I30&lt;&gt;"",J30&gt;I30),"En riesgo","En gestión")))))</f>
        <v/>
      </c>
      <c r="N30" s="15" t="str">
        <f aca="false">IF(OR(B30="",I30=""),"",IF(K30&lt;&gt;"",I30-K30,IF(J30&lt;&gt;"",I30-J30,"")))</f>
        <v/>
      </c>
      <c r="O30" s="9"/>
    </row>
    <row r="31" customFormat="false" ht="15" hidden="false" customHeight="false" outlineLevel="0" collapsed="false">
      <c r="A31" s="9"/>
      <c r="B31" s="9"/>
      <c r="C31" s="18" t="str">
        <f aca="false">IF(B31="","",IFERROR(INDEX(LOOKAHEAD!$B$5:$B$204,MATCH(B31,LOOKAHEAD!$A$5:$A$204,0)),"ID no existe"))</f>
        <v/>
      </c>
      <c r="D31" s="27" t="str">
        <f aca="false">IF(B31="","",IFERROR(INDEX(LOOKAHEAD!$I$5:$I$204,MATCH(B31,LOOKAHEAD!$A$5:$A$204,0)),""))</f>
        <v/>
      </c>
      <c r="E31" s="9"/>
      <c r="F31" s="9"/>
      <c r="G31" s="9"/>
      <c r="H31" s="14"/>
      <c r="I31" s="27" t="str">
        <f aca="false">IF(OR(D31="",D31=0),"",D31-$D$2)</f>
        <v/>
      </c>
      <c r="J31" s="14"/>
      <c r="K31" s="14"/>
      <c r="L31" s="16" t="str">
        <f aca="false">IF(B31="","",IF(K31&lt;&gt;"","Liberado","Pendiente"))</f>
        <v/>
      </c>
      <c r="M31" s="16" t="str">
        <f aca="true">IF(B31="","",IF(L31="Liberado",IF(OR(I31="",K31&lt;=I31),"A tiempo","Liberada tarde"),IF(J31="","Sin compromiso",IF(TODAY()&gt;J31,"VENCIDA",IF(AND(I31&lt;&gt;"",J31&gt;I31),"En riesgo","En gestión")))))</f>
        <v/>
      </c>
      <c r="N31" s="15" t="str">
        <f aca="false">IF(OR(B31="",I31=""),"",IF(K31&lt;&gt;"",I31-K31,IF(J31&lt;&gt;"",I31-J31,"")))</f>
        <v/>
      </c>
      <c r="O31" s="9"/>
    </row>
    <row r="32" customFormat="false" ht="15" hidden="false" customHeight="false" outlineLevel="0" collapsed="false">
      <c r="A32" s="9"/>
      <c r="B32" s="9"/>
      <c r="C32" s="18" t="str">
        <f aca="false">IF(B32="","",IFERROR(INDEX(LOOKAHEAD!$B$5:$B$204,MATCH(B32,LOOKAHEAD!$A$5:$A$204,0)),"ID no existe"))</f>
        <v/>
      </c>
      <c r="D32" s="27" t="str">
        <f aca="false">IF(B32="","",IFERROR(INDEX(LOOKAHEAD!$I$5:$I$204,MATCH(B32,LOOKAHEAD!$A$5:$A$204,0)),""))</f>
        <v/>
      </c>
      <c r="E32" s="9"/>
      <c r="F32" s="9"/>
      <c r="G32" s="9"/>
      <c r="H32" s="14"/>
      <c r="I32" s="27" t="str">
        <f aca="false">IF(OR(D32="",D32=0),"",D32-$D$2)</f>
        <v/>
      </c>
      <c r="J32" s="14"/>
      <c r="K32" s="14"/>
      <c r="L32" s="16" t="str">
        <f aca="false">IF(B32="","",IF(K32&lt;&gt;"","Liberado","Pendiente"))</f>
        <v/>
      </c>
      <c r="M32" s="16" t="str">
        <f aca="true">IF(B32="","",IF(L32="Liberado",IF(OR(I32="",K32&lt;=I32),"A tiempo","Liberada tarde"),IF(J32="","Sin compromiso",IF(TODAY()&gt;J32,"VENCIDA",IF(AND(I32&lt;&gt;"",J32&gt;I32),"En riesgo","En gestión")))))</f>
        <v/>
      </c>
      <c r="N32" s="15" t="str">
        <f aca="false">IF(OR(B32="",I32=""),"",IF(K32&lt;&gt;"",I32-K32,IF(J32&lt;&gt;"",I32-J32,"")))</f>
        <v/>
      </c>
      <c r="O32" s="9"/>
    </row>
    <row r="33" customFormat="false" ht="15" hidden="false" customHeight="false" outlineLevel="0" collapsed="false">
      <c r="A33" s="9"/>
      <c r="B33" s="9"/>
      <c r="C33" s="18" t="str">
        <f aca="false">IF(B33="","",IFERROR(INDEX(LOOKAHEAD!$B$5:$B$204,MATCH(B33,LOOKAHEAD!$A$5:$A$204,0)),"ID no existe"))</f>
        <v/>
      </c>
      <c r="D33" s="27" t="str">
        <f aca="false">IF(B33="","",IFERROR(INDEX(LOOKAHEAD!$I$5:$I$204,MATCH(B33,LOOKAHEAD!$A$5:$A$204,0)),""))</f>
        <v/>
      </c>
      <c r="E33" s="9"/>
      <c r="F33" s="9"/>
      <c r="G33" s="9"/>
      <c r="H33" s="14"/>
      <c r="I33" s="27" t="str">
        <f aca="false">IF(OR(D33="",D33=0),"",D33-$D$2)</f>
        <v/>
      </c>
      <c r="J33" s="14"/>
      <c r="K33" s="14"/>
      <c r="L33" s="16" t="str">
        <f aca="false">IF(B33="","",IF(K33&lt;&gt;"","Liberado","Pendiente"))</f>
        <v/>
      </c>
      <c r="M33" s="16" t="str">
        <f aca="true">IF(B33="","",IF(L33="Liberado",IF(OR(I33="",K33&lt;=I33),"A tiempo","Liberada tarde"),IF(J33="","Sin compromiso",IF(TODAY()&gt;J33,"VENCIDA",IF(AND(I33&lt;&gt;"",J33&gt;I33),"En riesgo","En gestión")))))</f>
        <v/>
      </c>
      <c r="N33" s="15" t="str">
        <f aca="false">IF(OR(B33="",I33=""),"",IF(K33&lt;&gt;"",I33-K33,IF(J33&lt;&gt;"",I33-J33,"")))</f>
        <v/>
      </c>
      <c r="O33" s="9"/>
    </row>
    <row r="34" customFormat="false" ht="15" hidden="false" customHeight="false" outlineLevel="0" collapsed="false">
      <c r="A34" s="9"/>
      <c r="B34" s="9"/>
      <c r="C34" s="18" t="str">
        <f aca="false">IF(B34="","",IFERROR(INDEX(LOOKAHEAD!$B$5:$B$204,MATCH(B34,LOOKAHEAD!$A$5:$A$204,0)),"ID no existe"))</f>
        <v/>
      </c>
      <c r="D34" s="27" t="str">
        <f aca="false">IF(B34="","",IFERROR(INDEX(LOOKAHEAD!$I$5:$I$204,MATCH(B34,LOOKAHEAD!$A$5:$A$204,0)),""))</f>
        <v/>
      </c>
      <c r="E34" s="9"/>
      <c r="F34" s="9"/>
      <c r="G34" s="9"/>
      <c r="H34" s="14"/>
      <c r="I34" s="27" t="str">
        <f aca="false">IF(OR(D34="",D34=0),"",D34-$D$2)</f>
        <v/>
      </c>
      <c r="J34" s="14"/>
      <c r="K34" s="14"/>
      <c r="L34" s="16" t="str">
        <f aca="false">IF(B34="","",IF(K34&lt;&gt;"","Liberado","Pendiente"))</f>
        <v/>
      </c>
      <c r="M34" s="16" t="str">
        <f aca="true">IF(B34="","",IF(L34="Liberado",IF(OR(I34="",K34&lt;=I34),"A tiempo","Liberada tarde"),IF(J34="","Sin compromiso",IF(TODAY()&gt;J34,"VENCIDA",IF(AND(I34&lt;&gt;"",J34&gt;I34),"En riesgo","En gestión")))))</f>
        <v/>
      </c>
      <c r="N34" s="15" t="str">
        <f aca="false">IF(OR(B34="",I34=""),"",IF(K34&lt;&gt;"",I34-K34,IF(J34&lt;&gt;"",I34-J34,"")))</f>
        <v/>
      </c>
      <c r="O34" s="9"/>
    </row>
    <row r="35" customFormat="false" ht="15" hidden="false" customHeight="false" outlineLevel="0" collapsed="false">
      <c r="A35" s="9"/>
      <c r="B35" s="9"/>
      <c r="C35" s="18" t="str">
        <f aca="false">IF(B35="","",IFERROR(INDEX(LOOKAHEAD!$B$5:$B$204,MATCH(B35,LOOKAHEAD!$A$5:$A$204,0)),"ID no existe"))</f>
        <v/>
      </c>
      <c r="D35" s="27" t="str">
        <f aca="false">IF(B35="","",IFERROR(INDEX(LOOKAHEAD!$I$5:$I$204,MATCH(B35,LOOKAHEAD!$A$5:$A$204,0)),""))</f>
        <v/>
      </c>
      <c r="E35" s="9"/>
      <c r="F35" s="9"/>
      <c r="G35" s="9"/>
      <c r="H35" s="14"/>
      <c r="I35" s="27" t="str">
        <f aca="false">IF(OR(D35="",D35=0),"",D35-$D$2)</f>
        <v/>
      </c>
      <c r="J35" s="14"/>
      <c r="K35" s="14"/>
      <c r="L35" s="16" t="str">
        <f aca="false">IF(B35="","",IF(K35&lt;&gt;"","Liberado","Pendiente"))</f>
        <v/>
      </c>
      <c r="M35" s="16" t="str">
        <f aca="true">IF(B35="","",IF(L35="Liberado",IF(OR(I35="",K35&lt;=I35),"A tiempo","Liberada tarde"),IF(J35="","Sin compromiso",IF(TODAY()&gt;J35,"VENCIDA",IF(AND(I35&lt;&gt;"",J35&gt;I35),"En riesgo","En gestión")))))</f>
        <v/>
      </c>
      <c r="N35" s="15" t="str">
        <f aca="false">IF(OR(B35="",I35=""),"",IF(K35&lt;&gt;"",I35-K35,IF(J35&lt;&gt;"",I35-J35,"")))</f>
        <v/>
      </c>
      <c r="O35" s="9"/>
    </row>
    <row r="36" customFormat="false" ht="15" hidden="false" customHeight="false" outlineLevel="0" collapsed="false">
      <c r="A36" s="9"/>
      <c r="B36" s="9"/>
      <c r="C36" s="18" t="str">
        <f aca="false">IF(B36="","",IFERROR(INDEX(LOOKAHEAD!$B$5:$B$204,MATCH(B36,LOOKAHEAD!$A$5:$A$204,0)),"ID no existe"))</f>
        <v/>
      </c>
      <c r="D36" s="27" t="str">
        <f aca="false">IF(B36="","",IFERROR(INDEX(LOOKAHEAD!$I$5:$I$204,MATCH(B36,LOOKAHEAD!$A$5:$A$204,0)),""))</f>
        <v/>
      </c>
      <c r="E36" s="9"/>
      <c r="F36" s="9"/>
      <c r="G36" s="9"/>
      <c r="H36" s="14"/>
      <c r="I36" s="27" t="str">
        <f aca="false">IF(OR(D36="",D36=0),"",D36-$D$2)</f>
        <v/>
      </c>
      <c r="J36" s="14"/>
      <c r="K36" s="14"/>
      <c r="L36" s="16" t="str">
        <f aca="false">IF(B36="","",IF(K36&lt;&gt;"","Liberado","Pendiente"))</f>
        <v/>
      </c>
      <c r="M36" s="16" t="str">
        <f aca="true">IF(B36="","",IF(L36="Liberado",IF(OR(I36="",K36&lt;=I36),"A tiempo","Liberada tarde"),IF(J36="","Sin compromiso",IF(TODAY()&gt;J36,"VENCIDA",IF(AND(I36&lt;&gt;"",J36&gt;I36),"En riesgo","En gestión")))))</f>
        <v/>
      </c>
      <c r="N36" s="15" t="str">
        <f aca="false">IF(OR(B36="",I36=""),"",IF(K36&lt;&gt;"",I36-K36,IF(J36&lt;&gt;"",I36-J36,"")))</f>
        <v/>
      </c>
      <c r="O36" s="9"/>
    </row>
    <row r="37" customFormat="false" ht="15" hidden="false" customHeight="false" outlineLevel="0" collapsed="false">
      <c r="A37" s="9"/>
      <c r="B37" s="9"/>
      <c r="C37" s="18" t="str">
        <f aca="false">IF(B37="","",IFERROR(INDEX(LOOKAHEAD!$B$5:$B$204,MATCH(B37,LOOKAHEAD!$A$5:$A$204,0)),"ID no existe"))</f>
        <v/>
      </c>
      <c r="D37" s="27" t="str">
        <f aca="false">IF(B37="","",IFERROR(INDEX(LOOKAHEAD!$I$5:$I$204,MATCH(B37,LOOKAHEAD!$A$5:$A$204,0)),""))</f>
        <v/>
      </c>
      <c r="E37" s="9"/>
      <c r="F37" s="9"/>
      <c r="G37" s="9"/>
      <c r="H37" s="14"/>
      <c r="I37" s="27" t="str">
        <f aca="false">IF(OR(D37="",D37=0),"",D37-$D$2)</f>
        <v/>
      </c>
      <c r="J37" s="14"/>
      <c r="K37" s="14"/>
      <c r="L37" s="16" t="str">
        <f aca="false">IF(B37="","",IF(K37&lt;&gt;"","Liberado","Pendiente"))</f>
        <v/>
      </c>
      <c r="M37" s="16" t="str">
        <f aca="true">IF(B37="","",IF(L37="Liberado",IF(OR(I37="",K37&lt;=I37),"A tiempo","Liberada tarde"),IF(J37="","Sin compromiso",IF(TODAY()&gt;J37,"VENCIDA",IF(AND(I37&lt;&gt;"",J37&gt;I37),"En riesgo","En gestión")))))</f>
        <v/>
      </c>
      <c r="N37" s="15" t="str">
        <f aca="false">IF(OR(B37="",I37=""),"",IF(K37&lt;&gt;"",I37-K37,IF(J37&lt;&gt;"",I37-J37,"")))</f>
        <v/>
      </c>
      <c r="O37" s="9"/>
    </row>
    <row r="38" customFormat="false" ht="15" hidden="false" customHeight="false" outlineLevel="0" collapsed="false">
      <c r="A38" s="9"/>
      <c r="B38" s="9"/>
      <c r="C38" s="18" t="str">
        <f aca="false">IF(B38="","",IFERROR(INDEX(LOOKAHEAD!$B$5:$B$204,MATCH(B38,LOOKAHEAD!$A$5:$A$204,0)),"ID no existe"))</f>
        <v/>
      </c>
      <c r="D38" s="27" t="str">
        <f aca="false">IF(B38="","",IFERROR(INDEX(LOOKAHEAD!$I$5:$I$204,MATCH(B38,LOOKAHEAD!$A$5:$A$204,0)),""))</f>
        <v/>
      </c>
      <c r="E38" s="9"/>
      <c r="F38" s="9"/>
      <c r="G38" s="9"/>
      <c r="H38" s="14"/>
      <c r="I38" s="27" t="str">
        <f aca="false">IF(OR(D38="",D38=0),"",D38-$D$2)</f>
        <v/>
      </c>
      <c r="J38" s="14"/>
      <c r="K38" s="14"/>
      <c r="L38" s="16" t="str">
        <f aca="false">IF(B38="","",IF(K38&lt;&gt;"","Liberado","Pendiente"))</f>
        <v/>
      </c>
      <c r="M38" s="16" t="str">
        <f aca="true">IF(B38="","",IF(L38="Liberado",IF(OR(I38="",K38&lt;=I38),"A tiempo","Liberada tarde"),IF(J38="","Sin compromiso",IF(TODAY()&gt;J38,"VENCIDA",IF(AND(I38&lt;&gt;"",J38&gt;I38),"En riesgo","En gestión")))))</f>
        <v/>
      </c>
      <c r="N38" s="15" t="str">
        <f aca="false">IF(OR(B38="",I38=""),"",IF(K38&lt;&gt;"",I38-K38,IF(J38&lt;&gt;"",I38-J38,"")))</f>
        <v/>
      </c>
      <c r="O38" s="9"/>
    </row>
    <row r="39" customFormat="false" ht="15" hidden="false" customHeight="false" outlineLevel="0" collapsed="false">
      <c r="A39" s="9"/>
      <c r="B39" s="9"/>
      <c r="C39" s="18" t="str">
        <f aca="false">IF(B39="","",IFERROR(INDEX(LOOKAHEAD!$B$5:$B$204,MATCH(B39,LOOKAHEAD!$A$5:$A$204,0)),"ID no existe"))</f>
        <v/>
      </c>
      <c r="D39" s="27" t="str">
        <f aca="false">IF(B39="","",IFERROR(INDEX(LOOKAHEAD!$I$5:$I$204,MATCH(B39,LOOKAHEAD!$A$5:$A$204,0)),""))</f>
        <v/>
      </c>
      <c r="E39" s="9"/>
      <c r="F39" s="9"/>
      <c r="G39" s="9"/>
      <c r="H39" s="14"/>
      <c r="I39" s="27" t="str">
        <f aca="false">IF(OR(D39="",D39=0),"",D39-$D$2)</f>
        <v/>
      </c>
      <c r="J39" s="14"/>
      <c r="K39" s="14"/>
      <c r="L39" s="16" t="str">
        <f aca="false">IF(B39="","",IF(K39&lt;&gt;"","Liberado","Pendiente"))</f>
        <v/>
      </c>
      <c r="M39" s="16" t="str">
        <f aca="true">IF(B39="","",IF(L39="Liberado",IF(OR(I39="",K39&lt;=I39),"A tiempo","Liberada tarde"),IF(J39="","Sin compromiso",IF(TODAY()&gt;J39,"VENCIDA",IF(AND(I39&lt;&gt;"",J39&gt;I39),"En riesgo","En gestión")))))</f>
        <v/>
      </c>
      <c r="N39" s="15" t="str">
        <f aca="false">IF(OR(B39="",I39=""),"",IF(K39&lt;&gt;"",I39-K39,IF(J39&lt;&gt;"",I39-J39,"")))</f>
        <v/>
      </c>
      <c r="O39" s="9"/>
    </row>
    <row r="40" customFormat="false" ht="15" hidden="false" customHeight="false" outlineLevel="0" collapsed="false">
      <c r="A40" s="9"/>
      <c r="B40" s="9"/>
      <c r="C40" s="18" t="str">
        <f aca="false">IF(B40="","",IFERROR(INDEX(LOOKAHEAD!$B$5:$B$204,MATCH(B40,LOOKAHEAD!$A$5:$A$204,0)),"ID no existe"))</f>
        <v/>
      </c>
      <c r="D40" s="27" t="str">
        <f aca="false">IF(B40="","",IFERROR(INDEX(LOOKAHEAD!$I$5:$I$204,MATCH(B40,LOOKAHEAD!$A$5:$A$204,0)),""))</f>
        <v/>
      </c>
      <c r="E40" s="9"/>
      <c r="F40" s="9"/>
      <c r="G40" s="9"/>
      <c r="H40" s="14"/>
      <c r="I40" s="27" t="str">
        <f aca="false">IF(OR(D40="",D40=0),"",D40-$D$2)</f>
        <v/>
      </c>
      <c r="J40" s="14"/>
      <c r="K40" s="14"/>
      <c r="L40" s="16" t="str">
        <f aca="false">IF(B40="","",IF(K40&lt;&gt;"","Liberado","Pendiente"))</f>
        <v/>
      </c>
      <c r="M40" s="16" t="str">
        <f aca="true">IF(B40="","",IF(L40="Liberado",IF(OR(I40="",K40&lt;=I40),"A tiempo","Liberada tarde"),IF(J40="","Sin compromiso",IF(TODAY()&gt;J40,"VENCIDA",IF(AND(I40&lt;&gt;"",J40&gt;I40),"En riesgo","En gestión")))))</f>
        <v/>
      </c>
      <c r="N40" s="15" t="str">
        <f aca="false">IF(OR(B40="",I40=""),"",IF(K40&lt;&gt;"",I40-K40,IF(J40&lt;&gt;"",I40-J40,"")))</f>
        <v/>
      </c>
      <c r="O40" s="9"/>
    </row>
    <row r="41" customFormat="false" ht="15" hidden="false" customHeight="false" outlineLevel="0" collapsed="false">
      <c r="A41" s="9"/>
      <c r="B41" s="9"/>
      <c r="C41" s="18" t="str">
        <f aca="false">IF(B41="","",IFERROR(INDEX(LOOKAHEAD!$B$5:$B$204,MATCH(B41,LOOKAHEAD!$A$5:$A$204,0)),"ID no existe"))</f>
        <v/>
      </c>
      <c r="D41" s="27" t="str">
        <f aca="false">IF(B41="","",IFERROR(INDEX(LOOKAHEAD!$I$5:$I$204,MATCH(B41,LOOKAHEAD!$A$5:$A$204,0)),""))</f>
        <v/>
      </c>
      <c r="E41" s="9"/>
      <c r="F41" s="9"/>
      <c r="G41" s="9"/>
      <c r="H41" s="14"/>
      <c r="I41" s="27" t="str">
        <f aca="false">IF(OR(D41="",D41=0),"",D41-$D$2)</f>
        <v/>
      </c>
      <c r="J41" s="14"/>
      <c r="K41" s="14"/>
      <c r="L41" s="16" t="str">
        <f aca="false">IF(B41="","",IF(K41&lt;&gt;"","Liberado","Pendiente"))</f>
        <v/>
      </c>
      <c r="M41" s="16" t="str">
        <f aca="true">IF(B41="","",IF(L41="Liberado",IF(OR(I41="",K41&lt;=I41),"A tiempo","Liberada tarde"),IF(J41="","Sin compromiso",IF(TODAY()&gt;J41,"VENCIDA",IF(AND(I41&lt;&gt;"",J41&gt;I41),"En riesgo","En gestión")))))</f>
        <v/>
      </c>
      <c r="N41" s="15" t="str">
        <f aca="false">IF(OR(B41="",I41=""),"",IF(K41&lt;&gt;"",I41-K41,IF(J41&lt;&gt;"",I41-J41,"")))</f>
        <v/>
      </c>
      <c r="O41" s="9"/>
    </row>
    <row r="42" customFormat="false" ht="15" hidden="false" customHeight="false" outlineLevel="0" collapsed="false">
      <c r="A42" s="9"/>
      <c r="B42" s="9"/>
      <c r="C42" s="18" t="str">
        <f aca="false">IF(B42="","",IFERROR(INDEX(LOOKAHEAD!$B$5:$B$204,MATCH(B42,LOOKAHEAD!$A$5:$A$204,0)),"ID no existe"))</f>
        <v/>
      </c>
      <c r="D42" s="27" t="str">
        <f aca="false">IF(B42="","",IFERROR(INDEX(LOOKAHEAD!$I$5:$I$204,MATCH(B42,LOOKAHEAD!$A$5:$A$204,0)),""))</f>
        <v/>
      </c>
      <c r="E42" s="9"/>
      <c r="F42" s="9"/>
      <c r="G42" s="9"/>
      <c r="H42" s="14"/>
      <c r="I42" s="27" t="str">
        <f aca="false">IF(OR(D42="",D42=0),"",D42-$D$2)</f>
        <v/>
      </c>
      <c r="J42" s="14"/>
      <c r="K42" s="14"/>
      <c r="L42" s="16" t="str">
        <f aca="false">IF(B42="","",IF(K42&lt;&gt;"","Liberado","Pendiente"))</f>
        <v/>
      </c>
      <c r="M42" s="16" t="str">
        <f aca="true">IF(B42="","",IF(L42="Liberado",IF(OR(I42="",K42&lt;=I42),"A tiempo","Liberada tarde"),IF(J42="","Sin compromiso",IF(TODAY()&gt;J42,"VENCIDA",IF(AND(I42&lt;&gt;"",J42&gt;I42),"En riesgo","En gestión")))))</f>
        <v/>
      </c>
      <c r="N42" s="15" t="str">
        <f aca="false">IF(OR(B42="",I42=""),"",IF(K42&lt;&gt;"",I42-K42,IF(J42&lt;&gt;"",I42-J42,"")))</f>
        <v/>
      </c>
      <c r="O42" s="9"/>
    </row>
    <row r="43" customFormat="false" ht="15" hidden="false" customHeight="false" outlineLevel="0" collapsed="false">
      <c r="A43" s="9"/>
      <c r="B43" s="9"/>
      <c r="C43" s="18" t="str">
        <f aca="false">IF(B43="","",IFERROR(INDEX(LOOKAHEAD!$B$5:$B$204,MATCH(B43,LOOKAHEAD!$A$5:$A$204,0)),"ID no existe"))</f>
        <v/>
      </c>
      <c r="D43" s="27" t="str">
        <f aca="false">IF(B43="","",IFERROR(INDEX(LOOKAHEAD!$I$5:$I$204,MATCH(B43,LOOKAHEAD!$A$5:$A$204,0)),""))</f>
        <v/>
      </c>
      <c r="E43" s="9"/>
      <c r="F43" s="9"/>
      <c r="G43" s="9"/>
      <c r="H43" s="14"/>
      <c r="I43" s="27" t="str">
        <f aca="false">IF(OR(D43="",D43=0),"",D43-$D$2)</f>
        <v/>
      </c>
      <c r="J43" s="14"/>
      <c r="K43" s="14"/>
      <c r="L43" s="16" t="str">
        <f aca="false">IF(B43="","",IF(K43&lt;&gt;"","Liberado","Pendiente"))</f>
        <v/>
      </c>
      <c r="M43" s="16" t="str">
        <f aca="true">IF(B43="","",IF(L43="Liberado",IF(OR(I43="",K43&lt;=I43),"A tiempo","Liberada tarde"),IF(J43="","Sin compromiso",IF(TODAY()&gt;J43,"VENCIDA",IF(AND(I43&lt;&gt;"",J43&gt;I43),"En riesgo","En gestión")))))</f>
        <v/>
      </c>
      <c r="N43" s="15" t="str">
        <f aca="false">IF(OR(B43="",I43=""),"",IF(K43&lt;&gt;"",I43-K43,IF(J43&lt;&gt;"",I43-J43,"")))</f>
        <v/>
      </c>
      <c r="O43" s="9"/>
    </row>
    <row r="44" customFormat="false" ht="15" hidden="false" customHeight="false" outlineLevel="0" collapsed="false">
      <c r="A44" s="9"/>
      <c r="B44" s="9"/>
      <c r="C44" s="18" t="str">
        <f aca="false">IF(B44="","",IFERROR(INDEX(LOOKAHEAD!$B$5:$B$204,MATCH(B44,LOOKAHEAD!$A$5:$A$204,0)),"ID no existe"))</f>
        <v/>
      </c>
      <c r="D44" s="27" t="str">
        <f aca="false">IF(B44="","",IFERROR(INDEX(LOOKAHEAD!$I$5:$I$204,MATCH(B44,LOOKAHEAD!$A$5:$A$204,0)),""))</f>
        <v/>
      </c>
      <c r="E44" s="9"/>
      <c r="F44" s="9"/>
      <c r="G44" s="9"/>
      <c r="H44" s="14"/>
      <c r="I44" s="27" t="str">
        <f aca="false">IF(OR(D44="",D44=0),"",D44-$D$2)</f>
        <v/>
      </c>
      <c r="J44" s="14"/>
      <c r="K44" s="14"/>
      <c r="L44" s="16" t="str">
        <f aca="false">IF(B44="","",IF(K44&lt;&gt;"","Liberado","Pendiente"))</f>
        <v/>
      </c>
      <c r="M44" s="16" t="str">
        <f aca="true">IF(B44="","",IF(L44="Liberado",IF(OR(I44="",K44&lt;=I44),"A tiempo","Liberada tarde"),IF(J44="","Sin compromiso",IF(TODAY()&gt;J44,"VENCIDA",IF(AND(I44&lt;&gt;"",J44&gt;I44),"En riesgo","En gestión")))))</f>
        <v/>
      </c>
      <c r="N44" s="15" t="str">
        <f aca="false">IF(OR(B44="",I44=""),"",IF(K44&lt;&gt;"",I44-K44,IF(J44&lt;&gt;"",I44-J44,"")))</f>
        <v/>
      </c>
      <c r="O44" s="9"/>
    </row>
    <row r="45" customFormat="false" ht="15" hidden="false" customHeight="false" outlineLevel="0" collapsed="false">
      <c r="A45" s="9"/>
      <c r="B45" s="9"/>
      <c r="C45" s="18" t="str">
        <f aca="false">IF(B45="","",IFERROR(INDEX(LOOKAHEAD!$B$5:$B$204,MATCH(B45,LOOKAHEAD!$A$5:$A$204,0)),"ID no existe"))</f>
        <v/>
      </c>
      <c r="D45" s="27" t="str">
        <f aca="false">IF(B45="","",IFERROR(INDEX(LOOKAHEAD!$I$5:$I$204,MATCH(B45,LOOKAHEAD!$A$5:$A$204,0)),""))</f>
        <v/>
      </c>
      <c r="E45" s="9"/>
      <c r="F45" s="9"/>
      <c r="G45" s="9"/>
      <c r="H45" s="14"/>
      <c r="I45" s="27" t="str">
        <f aca="false">IF(OR(D45="",D45=0),"",D45-$D$2)</f>
        <v/>
      </c>
      <c r="J45" s="14"/>
      <c r="K45" s="14"/>
      <c r="L45" s="16" t="str">
        <f aca="false">IF(B45="","",IF(K45&lt;&gt;"","Liberado","Pendiente"))</f>
        <v/>
      </c>
      <c r="M45" s="16" t="str">
        <f aca="true">IF(B45="","",IF(L45="Liberado",IF(OR(I45="",K45&lt;=I45),"A tiempo","Liberada tarde"),IF(J45="","Sin compromiso",IF(TODAY()&gt;J45,"VENCIDA",IF(AND(I45&lt;&gt;"",J45&gt;I45),"En riesgo","En gestión")))))</f>
        <v/>
      </c>
      <c r="N45" s="15" t="str">
        <f aca="false">IF(OR(B45="",I45=""),"",IF(K45&lt;&gt;"",I45-K45,IF(J45&lt;&gt;"",I45-J45,"")))</f>
        <v/>
      </c>
      <c r="O45" s="9"/>
    </row>
    <row r="46" customFormat="false" ht="15" hidden="false" customHeight="false" outlineLevel="0" collapsed="false">
      <c r="A46" s="9"/>
      <c r="B46" s="9"/>
      <c r="C46" s="18" t="str">
        <f aca="false">IF(B46="","",IFERROR(INDEX(LOOKAHEAD!$B$5:$B$204,MATCH(B46,LOOKAHEAD!$A$5:$A$204,0)),"ID no existe"))</f>
        <v/>
      </c>
      <c r="D46" s="27" t="str">
        <f aca="false">IF(B46="","",IFERROR(INDEX(LOOKAHEAD!$I$5:$I$204,MATCH(B46,LOOKAHEAD!$A$5:$A$204,0)),""))</f>
        <v/>
      </c>
      <c r="E46" s="9"/>
      <c r="F46" s="9"/>
      <c r="G46" s="9"/>
      <c r="H46" s="14"/>
      <c r="I46" s="27" t="str">
        <f aca="false">IF(OR(D46="",D46=0),"",D46-$D$2)</f>
        <v/>
      </c>
      <c r="J46" s="14"/>
      <c r="K46" s="14"/>
      <c r="L46" s="16" t="str">
        <f aca="false">IF(B46="","",IF(K46&lt;&gt;"","Liberado","Pendiente"))</f>
        <v/>
      </c>
      <c r="M46" s="16" t="str">
        <f aca="true">IF(B46="","",IF(L46="Liberado",IF(OR(I46="",K46&lt;=I46),"A tiempo","Liberada tarde"),IF(J46="","Sin compromiso",IF(TODAY()&gt;J46,"VENCIDA",IF(AND(I46&lt;&gt;"",J46&gt;I46),"En riesgo","En gestión")))))</f>
        <v/>
      </c>
      <c r="N46" s="15" t="str">
        <f aca="false">IF(OR(B46="",I46=""),"",IF(K46&lt;&gt;"",I46-K46,IF(J46&lt;&gt;"",I46-J46,"")))</f>
        <v/>
      </c>
      <c r="O46" s="9"/>
    </row>
    <row r="47" customFormat="false" ht="15" hidden="false" customHeight="false" outlineLevel="0" collapsed="false">
      <c r="A47" s="9"/>
      <c r="B47" s="9"/>
      <c r="C47" s="18" t="str">
        <f aca="false">IF(B47="","",IFERROR(INDEX(LOOKAHEAD!$B$5:$B$204,MATCH(B47,LOOKAHEAD!$A$5:$A$204,0)),"ID no existe"))</f>
        <v/>
      </c>
      <c r="D47" s="27" t="str">
        <f aca="false">IF(B47="","",IFERROR(INDEX(LOOKAHEAD!$I$5:$I$204,MATCH(B47,LOOKAHEAD!$A$5:$A$204,0)),""))</f>
        <v/>
      </c>
      <c r="E47" s="9"/>
      <c r="F47" s="9"/>
      <c r="G47" s="9"/>
      <c r="H47" s="14"/>
      <c r="I47" s="27" t="str">
        <f aca="false">IF(OR(D47="",D47=0),"",D47-$D$2)</f>
        <v/>
      </c>
      <c r="J47" s="14"/>
      <c r="K47" s="14"/>
      <c r="L47" s="16" t="str">
        <f aca="false">IF(B47="","",IF(K47&lt;&gt;"","Liberado","Pendiente"))</f>
        <v/>
      </c>
      <c r="M47" s="16" t="str">
        <f aca="true">IF(B47="","",IF(L47="Liberado",IF(OR(I47="",K47&lt;=I47),"A tiempo","Liberada tarde"),IF(J47="","Sin compromiso",IF(TODAY()&gt;J47,"VENCIDA",IF(AND(I47&lt;&gt;"",J47&gt;I47),"En riesgo","En gestión")))))</f>
        <v/>
      </c>
      <c r="N47" s="15" t="str">
        <f aca="false">IF(OR(B47="",I47=""),"",IF(K47&lt;&gt;"",I47-K47,IF(J47&lt;&gt;"",I47-J47,"")))</f>
        <v/>
      </c>
      <c r="O47" s="9"/>
    </row>
    <row r="48" customFormat="false" ht="15" hidden="false" customHeight="false" outlineLevel="0" collapsed="false">
      <c r="A48" s="9"/>
      <c r="B48" s="9"/>
      <c r="C48" s="18" t="str">
        <f aca="false">IF(B48="","",IFERROR(INDEX(LOOKAHEAD!$B$5:$B$204,MATCH(B48,LOOKAHEAD!$A$5:$A$204,0)),"ID no existe"))</f>
        <v/>
      </c>
      <c r="D48" s="27" t="str">
        <f aca="false">IF(B48="","",IFERROR(INDEX(LOOKAHEAD!$I$5:$I$204,MATCH(B48,LOOKAHEAD!$A$5:$A$204,0)),""))</f>
        <v/>
      </c>
      <c r="E48" s="9"/>
      <c r="F48" s="9"/>
      <c r="G48" s="9"/>
      <c r="H48" s="14"/>
      <c r="I48" s="27" t="str">
        <f aca="false">IF(OR(D48="",D48=0),"",D48-$D$2)</f>
        <v/>
      </c>
      <c r="J48" s="14"/>
      <c r="K48" s="14"/>
      <c r="L48" s="16" t="str">
        <f aca="false">IF(B48="","",IF(K48&lt;&gt;"","Liberado","Pendiente"))</f>
        <v/>
      </c>
      <c r="M48" s="16" t="str">
        <f aca="true">IF(B48="","",IF(L48="Liberado",IF(OR(I48="",K48&lt;=I48),"A tiempo","Liberada tarde"),IF(J48="","Sin compromiso",IF(TODAY()&gt;J48,"VENCIDA",IF(AND(I48&lt;&gt;"",J48&gt;I48),"En riesgo","En gestión")))))</f>
        <v/>
      </c>
      <c r="N48" s="15" t="str">
        <f aca="false">IF(OR(B48="",I48=""),"",IF(K48&lt;&gt;"",I48-K48,IF(J48&lt;&gt;"",I48-J48,"")))</f>
        <v/>
      </c>
      <c r="O48" s="9"/>
    </row>
    <row r="49" customFormat="false" ht="15" hidden="false" customHeight="false" outlineLevel="0" collapsed="false">
      <c r="A49" s="9"/>
      <c r="B49" s="9"/>
      <c r="C49" s="18" t="str">
        <f aca="false">IF(B49="","",IFERROR(INDEX(LOOKAHEAD!$B$5:$B$204,MATCH(B49,LOOKAHEAD!$A$5:$A$204,0)),"ID no existe"))</f>
        <v/>
      </c>
      <c r="D49" s="27" t="str">
        <f aca="false">IF(B49="","",IFERROR(INDEX(LOOKAHEAD!$I$5:$I$204,MATCH(B49,LOOKAHEAD!$A$5:$A$204,0)),""))</f>
        <v/>
      </c>
      <c r="E49" s="9"/>
      <c r="F49" s="9"/>
      <c r="G49" s="9"/>
      <c r="H49" s="14"/>
      <c r="I49" s="27" t="str">
        <f aca="false">IF(OR(D49="",D49=0),"",D49-$D$2)</f>
        <v/>
      </c>
      <c r="J49" s="14"/>
      <c r="K49" s="14"/>
      <c r="L49" s="16" t="str">
        <f aca="false">IF(B49="","",IF(K49&lt;&gt;"","Liberado","Pendiente"))</f>
        <v/>
      </c>
      <c r="M49" s="16" t="str">
        <f aca="true">IF(B49="","",IF(L49="Liberado",IF(OR(I49="",K49&lt;=I49),"A tiempo","Liberada tarde"),IF(J49="","Sin compromiso",IF(TODAY()&gt;J49,"VENCIDA",IF(AND(I49&lt;&gt;"",J49&gt;I49),"En riesgo","En gestión")))))</f>
        <v/>
      </c>
      <c r="N49" s="15" t="str">
        <f aca="false">IF(OR(B49="",I49=""),"",IF(K49&lt;&gt;"",I49-K49,IF(J49&lt;&gt;"",I49-J49,"")))</f>
        <v/>
      </c>
      <c r="O49" s="9"/>
    </row>
    <row r="50" customFormat="false" ht="15" hidden="false" customHeight="false" outlineLevel="0" collapsed="false">
      <c r="A50" s="9"/>
      <c r="B50" s="9"/>
      <c r="C50" s="18" t="str">
        <f aca="false">IF(B50="","",IFERROR(INDEX(LOOKAHEAD!$B$5:$B$204,MATCH(B50,LOOKAHEAD!$A$5:$A$204,0)),"ID no existe"))</f>
        <v/>
      </c>
      <c r="D50" s="27" t="str">
        <f aca="false">IF(B50="","",IFERROR(INDEX(LOOKAHEAD!$I$5:$I$204,MATCH(B50,LOOKAHEAD!$A$5:$A$204,0)),""))</f>
        <v/>
      </c>
      <c r="E50" s="9"/>
      <c r="F50" s="9"/>
      <c r="G50" s="9"/>
      <c r="H50" s="14"/>
      <c r="I50" s="27" t="str">
        <f aca="false">IF(OR(D50="",D50=0),"",D50-$D$2)</f>
        <v/>
      </c>
      <c r="J50" s="14"/>
      <c r="K50" s="14"/>
      <c r="L50" s="16" t="str">
        <f aca="false">IF(B50="","",IF(K50&lt;&gt;"","Liberado","Pendiente"))</f>
        <v/>
      </c>
      <c r="M50" s="16" t="str">
        <f aca="true">IF(B50="","",IF(L50="Liberado",IF(OR(I50="",K50&lt;=I50),"A tiempo","Liberada tarde"),IF(J50="","Sin compromiso",IF(TODAY()&gt;J50,"VENCIDA",IF(AND(I50&lt;&gt;"",J50&gt;I50),"En riesgo","En gestión")))))</f>
        <v/>
      </c>
      <c r="N50" s="15" t="str">
        <f aca="false">IF(OR(B50="",I50=""),"",IF(K50&lt;&gt;"",I50-K50,IF(J50&lt;&gt;"",I50-J50,"")))</f>
        <v/>
      </c>
      <c r="O50" s="9"/>
    </row>
    <row r="51" customFormat="false" ht="15" hidden="false" customHeight="false" outlineLevel="0" collapsed="false">
      <c r="A51" s="9"/>
      <c r="B51" s="9"/>
      <c r="C51" s="18" t="str">
        <f aca="false">IF(B51="","",IFERROR(INDEX(LOOKAHEAD!$B$5:$B$204,MATCH(B51,LOOKAHEAD!$A$5:$A$204,0)),"ID no existe"))</f>
        <v/>
      </c>
      <c r="D51" s="27" t="str">
        <f aca="false">IF(B51="","",IFERROR(INDEX(LOOKAHEAD!$I$5:$I$204,MATCH(B51,LOOKAHEAD!$A$5:$A$204,0)),""))</f>
        <v/>
      </c>
      <c r="E51" s="9"/>
      <c r="F51" s="9"/>
      <c r="G51" s="9"/>
      <c r="H51" s="14"/>
      <c r="I51" s="27" t="str">
        <f aca="false">IF(OR(D51="",D51=0),"",D51-$D$2)</f>
        <v/>
      </c>
      <c r="J51" s="14"/>
      <c r="K51" s="14"/>
      <c r="L51" s="16" t="str">
        <f aca="false">IF(B51="","",IF(K51&lt;&gt;"","Liberado","Pendiente"))</f>
        <v/>
      </c>
      <c r="M51" s="16" t="str">
        <f aca="true">IF(B51="","",IF(L51="Liberado",IF(OR(I51="",K51&lt;=I51),"A tiempo","Liberada tarde"),IF(J51="","Sin compromiso",IF(TODAY()&gt;J51,"VENCIDA",IF(AND(I51&lt;&gt;"",J51&gt;I51),"En riesgo","En gestión")))))</f>
        <v/>
      </c>
      <c r="N51" s="15" t="str">
        <f aca="false">IF(OR(B51="",I51=""),"",IF(K51&lt;&gt;"",I51-K51,IF(J51&lt;&gt;"",I51-J51,"")))</f>
        <v/>
      </c>
      <c r="O51" s="9"/>
    </row>
    <row r="52" customFormat="false" ht="15" hidden="false" customHeight="false" outlineLevel="0" collapsed="false">
      <c r="A52" s="9"/>
      <c r="B52" s="9"/>
      <c r="C52" s="18" t="str">
        <f aca="false">IF(B52="","",IFERROR(INDEX(LOOKAHEAD!$B$5:$B$204,MATCH(B52,LOOKAHEAD!$A$5:$A$204,0)),"ID no existe"))</f>
        <v/>
      </c>
      <c r="D52" s="27" t="str">
        <f aca="false">IF(B52="","",IFERROR(INDEX(LOOKAHEAD!$I$5:$I$204,MATCH(B52,LOOKAHEAD!$A$5:$A$204,0)),""))</f>
        <v/>
      </c>
      <c r="E52" s="9"/>
      <c r="F52" s="9"/>
      <c r="G52" s="9"/>
      <c r="H52" s="14"/>
      <c r="I52" s="27" t="str">
        <f aca="false">IF(OR(D52="",D52=0),"",D52-$D$2)</f>
        <v/>
      </c>
      <c r="J52" s="14"/>
      <c r="K52" s="14"/>
      <c r="L52" s="16" t="str">
        <f aca="false">IF(B52="","",IF(K52&lt;&gt;"","Liberado","Pendiente"))</f>
        <v/>
      </c>
      <c r="M52" s="16" t="str">
        <f aca="true">IF(B52="","",IF(L52="Liberado",IF(OR(I52="",K52&lt;=I52),"A tiempo","Liberada tarde"),IF(J52="","Sin compromiso",IF(TODAY()&gt;J52,"VENCIDA",IF(AND(I52&lt;&gt;"",J52&gt;I52),"En riesgo","En gestión")))))</f>
        <v/>
      </c>
      <c r="N52" s="15" t="str">
        <f aca="false">IF(OR(B52="",I52=""),"",IF(K52&lt;&gt;"",I52-K52,IF(J52&lt;&gt;"",I52-J52,"")))</f>
        <v/>
      </c>
      <c r="O52" s="9"/>
    </row>
    <row r="53" customFormat="false" ht="15" hidden="false" customHeight="false" outlineLevel="0" collapsed="false">
      <c r="A53" s="9"/>
      <c r="B53" s="9"/>
      <c r="C53" s="18" t="str">
        <f aca="false">IF(B53="","",IFERROR(INDEX(LOOKAHEAD!$B$5:$B$204,MATCH(B53,LOOKAHEAD!$A$5:$A$204,0)),"ID no existe"))</f>
        <v/>
      </c>
      <c r="D53" s="27" t="str">
        <f aca="false">IF(B53="","",IFERROR(INDEX(LOOKAHEAD!$I$5:$I$204,MATCH(B53,LOOKAHEAD!$A$5:$A$204,0)),""))</f>
        <v/>
      </c>
      <c r="E53" s="9"/>
      <c r="F53" s="9"/>
      <c r="G53" s="9"/>
      <c r="H53" s="14"/>
      <c r="I53" s="27" t="str">
        <f aca="false">IF(OR(D53="",D53=0),"",D53-$D$2)</f>
        <v/>
      </c>
      <c r="J53" s="14"/>
      <c r="K53" s="14"/>
      <c r="L53" s="16" t="str">
        <f aca="false">IF(B53="","",IF(K53&lt;&gt;"","Liberado","Pendiente"))</f>
        <v/>
      </c>
      <c r="M53" s="16" t="str">
        <f aca="true">IF(B53="","",IF(L53="Liberado",IF(OR(I53="",K53&lt;=I53),"A tiempo","Liberada tarde"),IF(J53="","Sin compromiso",IF(TODAY()&gt;J53,"VENCIDA",IF(AND(I53&lt;&gt;"",J53&gt;I53),"En riesgo","En gestión")))))</f>
        <v/>
      </c>
      <c r="N53" s="15" t="str">
        <f aca="false">IF(OR(B53="",I53=""),"",IF(K53&lt;&gt;"",I53-K53,IF(J53&lt;&gt;"",I53-J53,"")))</f>
        <v/>
      </c>
      <c r="O53" s="9"/>
    </row>
    <row r="54" customFormat="false" ht="15" hidden="false" customHeight="false" outlineLevel="0" collapsed="false">
      <c r="A54" s="9"/>
      <c r="B54" s="9"/>
      <c r="C54" s="18" t="str">
        <f aca="false">IF(B54="","",IFERROR(INDEX(LOOKAHEAD!$B$5:$B$204,MATCH(B54,LOOKAHEAD!$A$5:$A$204,0)),"ID no existe"))</f>
        <v/>
      </c>
      <c r="D54" s="27" t="str">
        <f aca="false">IF(B54="","",IFERROR(INDEX(LOOKAHEAD!$I$5:$I$204,MATCH(B54,LOOKAHEAD!$A$5:$A$204,0)),""))</f>
        <v/>
      </c>
      <c r="E54" s="9"/>
      <c r="F54" s="9"/>
      <c r="G54" s="9"/>
      <c r="H54" s="14"/>
      <c r="I54" s="27" t="str">
        <f aca="false">IF(OR(D54="",D54=0),"",D54-$D$2)</f>
        <v/>
      </c>
      <c r="J54" s="14"/>
      <c r="K54" s="14"/>
      <c r="L54" s="16" t="str">
        <f aca="false">IF(B54="","",IF(K54&lt;&gt;"","Liberado","Pendiente"))</f>
        <v/>
      </c>
      <c r="M54" s="16" t="str">
        <f aca="true">IF(B54="","",IF(L54="Liberado",IF(OR(I54="",K54&lt;=I54),"A tiempo","Liberada tarde"),IF(J54="","Sin compromiso",IF(TODAY()&gt;J54,"VENCIDA",IF(AND(I54&lt;&gt;"",J54&gt;I54),"En riesgo","En gestión")))))</f>
        <v/>
      </c>
      <c r="N54" s="15" t="str">
        <f aca="false">IF(OR(B54="",I54=""),"",IF(K54&lt;&gt;"",I54-K54,IF(J54&lt;&gt;"",I54-J54,"")))</f>
        <v/>
      </c>
      <c r="O54" s="9"/>
    </row>
    <row r="55" customFormat="false" ht="15" hidden="false" customHeight="false" outlineLevel="0" collapsed="false">
      <c r="A55" s="9"/>
      <c r="B55" s="9"/>
      <c r="C55" s="18" t="str">
        <f aca="false">IF(B55="","",IFERROR(INDEX(LOOKAHEAD!$B$5:$B$204,MATCH(B55,LOOKAHEAD!$A$5:$A$204,0)),"ID no existe"))</f>
        <v/>
      </c>
      <c r="D55" s="27" t="str">
        <f aca="false">IF(B55="","",IFERROR(INDEX(LOOKAHEAD!$I$5:$I$204,MATCH(B55,LOOKAHEAD!$A$5:$A$204,0)),""))</f>
        <v/>
      </c>
      <c r="E55" s="9"/>
      <c r="F55" s="9"/>
      <c r="G55" s="9"/>
      <c r="H55" s="14"/>
      <c r="I55" s="27" t="str">
        <f aca="false">IF(OR(D55="",D55=0),"",D55-$D$2)</f>
        <v/>
      </c>
      <c r="J55" s="14"/>
      <c r="K55" s="14"/>
      <c r="L55" s="16" t="str">
        <f aca="false">IF(B55="","",IF(K55&lt;&gt;"","Liberado","Pendiente"))</f>
        <v/>
      </c>
      <c r="M55" s="16" t="str">
        <f aca="true">IF(B55="","",IF(L55="Liberado",IF(OR(I55="",K55&lt;=I55),"A tiempo","Liberada tarde"),IF(J55="","Sin compromiso",IF(TODAY()&gt;J55,"VENCIDA",IF(AND(I55&lt;&gt;"",J55&gt;I55),"En riesgo","En gestión")))))</f>
        <v/>
      </c>
      <c r="N55" s="15" t="str">
        <f aca="false">IF(OR(B55="",I55=""),"",IF(K55&lt;&gt;"",I55-K55,IF(J55&lt;&gt;"",I55-J55,"")))</f>
        <v/>
      </c>
      <c r="O55" s="9"/>
    </row>
    <row r="56" customFormat="false" ht="15" hidden="false" customHeight="false" outlineLevel="0" collapsed="false">
      <c r="A56" s="9"/>
      <c r="B56" s="9"/>
      <c r="C56" s="18" t="str">
        <f aca="false">IF(B56="","",IFERROR(INDEX(LOOKAHEAD!$B$5:$B$204,MATCH(B56,LOOKAHEAD!$A$5:$A$204,0)),"ID no existe"))</f>
        <v/>
      </c>
      <c r="D56" s="27" t="str">
        <f aca="false">IF(B56="","",IFERROR(INDEX(LOOKAHEAD!$I$5:$I$204,MATCH(B56,LOOKAHEAD!$A$5:$A$204,0)),""))</f>
        <v/>
      </c>
      <c r="E56" s="9"/>
      <c r="F56" s="9"/>
      <c r="G56" s="9"/>
      <c r="H56" s="14"/>
      <c r="I56" s="27" t="str">
        <f aca="false">IF(OR(D56="",D56=0),"",D56-$D$2)</f>
        <v/>
      </c>
      <c r="J56" s="14"/>
      <c r="K56" s="14"/>
      <c r="L56" s="16" t="str">
        <f aca="false">IF(B56="","",IF(K56&lt;&gt;"","Liberado","Pendiente"))</f>
        <v/>
      </c>
      <c r="M56" s="16" t="str">
        <f aca="true">IF(B56="","",IF(L56="Liberado",IF(OR(I56="",K56&lt;=I56),"A tiempo","Liberada tarde"),IF(J56="","Sin compromiso",IF(TODAY()&gt;J56,"VENCIDA",IF(AND(I56&lt;&gt;"",J56&gt;I56),"En riesgo","En gestión")))))</f>
        <v/>
      </c>
      <c r="N56" s="15" t="str">
        <f aca="false">IF(OR(B56="",I56=""),"",IF(K56&lt;&gt;"",I56-K56,IF(J56&lt;&gt;"",I56-J56,"")))</f>
        <v/>
      </c>
      <c r="O56" s="9"/>
    </row>
    <row r="57" customFormat="false" ht="15" hidden="false" customHeight="false" outlineLevel="0" collapsed="false">
      <c r="A57" s="9"/>
      <c r="B57" s="9"/>
      <c r="C57" s="18" t="str">
        <f aca="false">IF(B57="","",IFERROR(INDEX(LOOKAHEAD!$B$5:$B$204,MATCH(B57,LOOKAHEAD!$A$5:$A$204,0)),"ID no existe"))</f>
        <v/>
      </c>
      <c r="D57" s="27" t="str">
        <f aca="false">IF(B57="","",IFERROR(INDEX(LOOKAHEAD!$I$5:$I$204,MATCH(B57,LOOKAHEAD!$A$5:$A$204,0)),""))</f>
        <v/>
      </c>
      <c r="E57" s="9"/>
      <c r="F57" s="9"/>
      <c r="G57" s="9"/>
      <c r="H57" s="14"/>
      <c r="I57" s="27" t="str">
        <f aca="false">IF(OR(D57="",D57=0),"",D57-$D$2)</f>
        <v/>
      </c>
      <c r="J57" s="14"/>
      <c r="K57" s="14"/>
      <c r="L57" s="16" t="str">
        <f aca="false">IF(B57="","",IF(K57&lt;&gt;"","Liberado","Pendiente"))</f>
        <v/>
      </c>
      <c r="M57" s="16" t="str">
        <f aca="true">IF(B57="","",IF(L57="Liberado",IF(OR(I57="",K57&lt;=I57),"A tiempo","Liberada tarde"),IF(J57="","Sin compromiso",IF(TODAY()&gt;J57,"VENCIDA",IF(AND(I57&lt;&gt;"",J57&gt;I57),"En riesgo","En gestión")))))</f>
        <v/>
      </c>
      <c r="N57" s="15" t="str">
        <f aca="false">IF(OR(B57="",I57=""),"",IF(K57&lt;&gt;"",I57-K57,IF(J57&lt;&gt;"",I57-J57,"")))</f>
        <v/>
      </c>
      <c r="O57" s="9"/>
    </row>
    <row r="58" customFormat="false" ht="15" hidden="false" customHeight="false" outlineLevel="0" collapsed="false">
      <c r="A58" s="9"/>
      <c r="B58" s="9"/>
      <c r="C58" s="18" t="str">
        <f aca="false">IF(B58="","",IFERROR(INDEX(LOOKAHEAD!$B$5:$B$204,MATCH(B58,LOOKAHEAD!$A$5:$A$204,0)),"ID no existe"))</f>
        <v/>
      </c>
      <c r="D58" s="27" t="str">
        <f aca="false">IF(B58="","",IFERROR(INDEX(LOOKAHEAD!$I$5:$I$204,MATCH(B58,LOOKAHEAD!$A$5:$A$204,0)),""))</f>
        <v/>
      </c>
      <c r="E58" s="9"/>
      <c r="F58" s="9"/>
      <c r="G58" s="9"/>
      <c r="H58" s="14"/>
      <c r="I58" s="27" t="str">
        <f aca="false">IF(OR(D58="",D58=0),"",D58-$D$2)</f>
        <v/>
      </c>
      <c r="J58" s="14"/>
      <c r="K58" s="14"/>
      <c r="L58" s="16" t="str">
        <f aca="false">IF(B58="","",IF(K58&lt;&gt;"","Liberado","Pendiente"))</f>
        <v/>
      </c>
      <c r="M58" s="16" t="str">
        <f aca="true">IF(B58="","",IF(L58="Liberado",IF(OR(I58="",K58&lt;=I58),"A tiempo","Liberada tarde"),IF(J58="","Sin compromiso",IF(TODAY()&gt;J58,"VENCIDA",IF(AND(I58&lt;&gt;"",J58&gt;I58),"En riesgo","En gestión")))))</f>
        <v/>
      </c>
      <c r="N58" s="15" t="str">
        <f aca="false">IF(OR(B58="",I58=""),"",IF(K58&lt;&gt;"",I58-K58,IF(J58&lt;&gt;"",I58-J58,"")))</f>
        <v/>
      </c>
      <c r="O58" s="9"/>
    </row>
    <row r="59" customFormat="false" ht="15" hidden="false" customHeight="false" outlineLevel="0" collapsed="false">
      <c r="A59" s="9"/>
      <c r="B59" s="9"/>
      <c r="C59" s="18" t="str">
        <f aca="false">IF(B59="","",IFERROR(INDEX(LOOKAHEAD!$B$5:$B$204,MATCH(B59,LOOKAHEAD!$A$5:$A$204,0)),"ID no existe"))</f>
        <v/>
      </c>
      <c r="D59" s="27" t="str">
        <f aca="false">IF(B59="","",IFERROR(INDEX(LOOKAHEAD!$I$5:$I$204,MATCH(B59,LOOKAHEAD!$A$5:$A$204,0)),""))</f>
        <v/>
      </c>
      <c r="E59" s="9"/>
      <c r="F59" s="9"/>
      <c r="G59" s="9"/>
      <c r="H59" s="14"/>
      <c r="I59" s="27" t="str">
        <f aca="false">IF(OR(D59="",D59=0),"",D59-$D$2)</f>
        <v/>
      </c>
      <c r="J59" s="14"/>
      <c r="K59" s="14"/>
      <c r="L59" s="16" t="str">
        <f aca="false">IF(B59="","",IF(K59&lt;&gt;"","Liberado","Pendiente"))</f>
        <v/>
      </c>
      <c r="M59" s="16" t="str">
        <f aca="true">IF(B59="","",IF(L59="Liberado",IF(OR(I59="",K59&lt;=I59),"A tiempo","Liberada tarde"),IF(J59="","Sin compromiso",IF(TODAY()&gt;J59,"VENCIDA",IF(AND(I59&lt;&gt;"",J59&gt;I59),"En riesgo","En gestión")))))</f>
        <v/>
      </c>
      <c r="N59" s="15" t="str">
        <f aca="false">IF(OR(B59="",I59=""),"",IF(K59&lt;&gt;"",I59-K59,IF(J59&lt;&gt;"",I59-J59,"")))</f>
        <v/>
      </c>
      <c r="O59" s="9"/>
    </row>
    <row r="60" customFormat="false" ht="15" hidden="false" customHeight="false" outlineLevel="0" collapsed="false">
      <c r="A60" s="9"/>
      <c r="B60" s="9"/>
      <c r="C60" s="18" t="str">
        <f aca="false">IF(B60="","",IFERROR(INDEX(LOOKAHEAD!$B$5:$B$204,MATCH(B60,LOOKAHEAD!$A$5:$A$204,0)),"ID no existe"))</f>
        <v/>
      </c>
      <c r="D60" s="27" t="str">
        <f aca="false">IF(B60="","",IFERROR(INDEX(LOOKAHEAD!$I$5:$I$204,MATCH(B60,LOOKAHEAD!$A$5:$A$204,0)),""))</f>
        <v/>
      </c>
      <c r="E60" s="9"/>
      <c r="F60" s="9"/>
      <c r="G60" s="9"/>
      <c r="H60" s="14"/>
      <c r="I60" s="27" t="str">
        <f aca="false">IF(OR(D60="",D60=0),"",D60-$D$2)</f>
        <v/>
      </c>
      <c r="J60" s="14"/>
      <c r="K60" s="14"/>
      <c r="L60" s="16" t="str">
        <f aca="false">IF(B60="","",IF(K60&lt;&gt;"","Liberado","Pendiente"))</f>
        <v/>
      </c>
      <c r="M60" s="16" t="str">
        <f aca="true">IF(B60="","",IF(L60="Liberado",IF(OR(I60="",K60&lt;=I60),"A tiempo","Liberada tarde"),IF(J60="","Sin compromiso",IF(TODAY()&gt;J60,"VENCIDA",IF(AND(I60&lt;&gt;"",J60&gt;I60),"En riesgo","En gestión")))))</f>
        <v/>
      </c>
      <c r="N60" s="15" t="str">
        <f aca="false">IF(OR(B60="",I60=""),"",IF(K60&lt;&gt;"",I60-K60,IF(J60&lt;&gt;"",I60-J60,"")))</f>
        <v/>
      </c>
      <c r="O60" s="9"/>
    </row>
    <row r="61" customFormat="false" ht="15" hidden="false" customHeight="false" outlineLevel="0" collapsed="false">
      <c r="A61" s="9"/>
      <c r="B61" s="9"/>
      <c r="C61" s="18" t="str">
        <f aca="false">IF(B61="","",IFERROR(INDEX(LOOKAHEAD!$B$5:$B$204,MATCH(B61,LOOKAHEAD!$A$5:$A$204,0)),"ID no existe"))</f>
        <v/>
      </c>
      <c r="D61" s="27" t="str">
        <f aca="false">IF(B61="","",IFERROR(INDEX(LOOKAHEAD!$I$5:$I$204,MATCH(B61,LOOKAHEAD!$A$5:$A$204,0)),""))</f>
        <v/>
      </c>
      <c r="E61" s="9"/>
      <c r="F61" s="9"/>
      <c r="G61" s="9"/>
      <c r="H61" s="14"/>
      <c r="I61" s="27" t="str">
        <f aca="false">IF(OR(D61="",D61=0),"",D61-$D$2)</f>
        <v/>
      </c>
      <c r="J61" s="14"/>
      <c r="K61" s="14"/>
      <c r="L61" s="16" t="str">
        <f aca="false">IF(B61="","",IF(K61&lt;&gt;"","Liberado","Pendiente"))</f>
        <v/>
      </c>
      <c r="M61" s="16" t="str">
        <f aca="true">IF(B61="","",IF(L61="Liberado",IF(OR(I61="",K61&lt;=I61),"A tiempo","Liberada tarde"),IF(J61="","Sin compromiso",IF(TODAY()&gt;J61,"VENCIDA",IF(AND(I61&lt;&gt;"",J61&gt;I61),"En riesgo","En gestión")))))</f>
        <v/>
      </c>
      <c r="N61" s="15" t="str">
        <f aca="false">IF(OR(B61="",I61=""),"",IF(K61&lt;&gt;"",I61-K61,IF(J61&lt;&gt;"",I61-J61,"")))</f>
        <v/>
      </c>
      <c r="O61" s="9"/>
    </row>
    <row r="62" customFormat="false" ht="15" hidden="false" customHeight="false" outlineLevel="0" collapsed="false">
      <c r="A62" s="9"/>
      <c r="B62" s="9"/>
      <c r="C62" s="18" t="str">
        <f aca="false">IF(B62="","",IFERROR(INDEX(LOOKAHEAD!$B$5:$B$204,MATCH(B62,LOOKAHEAD!$A$5:$A$204,0)),"ID no existe"))</f>
        <v/>
      </c>
      <c r="D62" s="27" t="str">
        <f aca="false">IF(B62="","",IFERROR(INDEX(LOOKAHEAD!$I$5:$I$204,MATCH(B62,LOOKAHEAD!$A$5:$A$204,0)),""))</f>
        <v/>
      </c>
      <c r="E62" s="9"/>
      <c r="F62" s="9"/>
      <c r="G62" s="9"/>
      <c r="H62" s="14"/>
      <c r="I62" s="27" t="str">
        <f aca="false">IF(OR(D62="",D62=0),"",D62-$D$2)</f>
        <v/>
      </c>
      <c r="J62" s="14"/>
      <c r="K62" s="14"/>
      <c r="L62" s="16" t="str">
        <f aca="false">IF(B62="","",IF(K62&lt;&gt;"","Liberado","Pendiente"))</f>
        <v/>
      </c>
      <c r="M62" s="16" t="str">
        <f aca="true">IF(B62="","",IF(L62="Liberado",IF(OR(I62="",K62&lt;=I62),"A tiempo","Liberada tarde"),IF(J62="","Sin compromiso",IF(TODAY()&gt;J62,"VENCIDA",IF(AND(I62&lt;&gt;"",J62&gt;I62),"En riesgo","En gestión")))))</f>
        <v/>
      </c>
      <c r="N62" s="15" t="str">
        <f aca="false">IF(OR(B62="",I62=""),"",IF(K62&lt;&gt;"",I62-K62,IF(J62&lt;&gt;"",I62-J62,"")))</f>
        <v/>
      </c>
      <c r="O62" s="9"/>
    </row>
    <row r="63" customFormat="false" ht="15" hidden="false" customHeight="false" outlineLevel="0" collapsed="false">
      <c r="A63" s="9"/>
      <c r="B63" s="9"/>
      <c r="C63" s="18" t="str">
        <f aca="false">IF(B63="","",IFERROR(INDEX(LOOKAHEAD!$B$5:$B$204,MATCH(B63,LOOKAHEAD!$A$5:$A$204,0)),"ID no existe"))</f>
        <v/>
      </c>
      <c r="D63" s="27" t="str">
        <f aca="false">IF(B63="","",IFERROR(INDEX(LOOKAHEAD!$I$5:$I$204,MATCH(B63,LOOKAHEAD!$A$5:$A$204,0)),""))</f>
        <v/>
      </c>
      <c r="E63" s="9"/>
      <c r="F63" s="9"/>
      <c r="G63" s="9"/>
      <c r="H63" s="14"/>
      <c r="I63" s="27" t="str">
        <f aca="false">IF(OR(D63="",D63=0),"",D63-$D$2)</f>
        <v/>
      </c>
      <c r="J63" s="14"/>
      <c r="K63" s="14"/>
      <c r="L63" s="16" t="str">
        <f aca="false">IF(B63="","",IF(K63&lt;&gt;"","Liberado","Pendiente"))</f>
        <v/>
      </c>
      <c r="M63" s="16" t="str">
        <f aca="true">IF(B63="","",IF(L63="Liberado",IF(OR(I63="",K63&lt;=I63),"A tiempo","Liberada tarde"),IF(J63="","Sin compromiso",IF(TODAY()&gt;J63,"VENCIDA",IF(AND(I63&lt;&gt;"",J63&gt;I63),"En riesgo","En gestión")))))</f>
        <v/>
      </c>
      <c r="N63" s="15" t="str">
        <f aca="false">IF(OR(B63="",I63=""),"",IF(K63&lt;&gt;"",I63-K63,IF(J63&lt;&gt;"",I63-J63,"")))</f>
        <v/>
      </c>
      <c r="O63" s="9"/>
    </row>
    <row r="64" customFormat="false" ht="15" hidden="false" customHeight="false" outlineLevel="0" collapsed="false">
      <c r="A64" s="9"/>
      <c r="B64" s="9"/>
      <c r="C64" s="18" t="str">
        <f aca="false">IF(B64="","",IFERROR(INDEX(LOOKAHEAD!$B$5:$B$204,MATCH(B64,LOOKAHEAD!$A$5:$A$204,0)),"ID no existe"))</f>
        <v/>
      </c>
      <c r="D64" s="27" t="str">
        <f aca="false">IF(B64="","",IFERROR(INDEX(LOOKAHEAD!$I$5:$I$204,MATCH(B64,LOOKAHEAD!$A$5:$A$204,0)),""))</f>
        <v/>
      </c>
      <c r="E64" s="9"/>
      <c r="F64" s="9"/>
      <c r="G64" s="9"/>
      <c r="H64" s="14"/>
      <c r="I64" s="27" t="str">
        <f aca="false">IF(OR(D64="",D64=0),"",D64-$D$2)</f>
        <v/>
      </c>
      <c r="J64" s="14"/>
      <c r="K64" s="14"/>
      <c r="L64" s="16" t="str">
        <f aca="false">IF(B64="","",IF(K64&lt;&gt;"","Liberado","Pendiente"))</f>
        <v/>
      </c>
      <c r="M64" s="16" t="str">
        <f aca="true">IF(B64="","",IF(L64="Liberado",IF(OR(I64="",K64&lt;=I64),"A tiempo","Liberada tarde"),IF(J64="","Sin compromiso",IF(TODAY()&gt;J64,"VENCIDA",IF(AND(I64&lt;&gt;"",J64&gt;I64),"En riesgo","En gestión")))))</f>
        <v/>
      </c>
      <c r="N64" s="15" t="str">
        <f aca="false">IF(OR(B64="",I64=""),"",IF(K64&lt;&gt;"",I64-K64,IF(J64&lt;&gt;"",I64-J64,"")))</f>
        <v/>
      </c>
      <c r="O64" s="9"/>
    </row>
    <row r="65" customFormat="false" ht="15" hidden="false" customHeight="false" outlineLevel="0" collapsed="false">
      <c r="A65" s="9"/>
      <c r="B65" s="9"/>
      <c r="C65" s="18" t="str">
        <f aca="false">IF(B65="","",IFERROR(INDEX(LOOKAHEAD!$B$5:$B$204,MATCH(B65,LOOKAHEAD!$A$5:$A$204,0)),"ID no existe"))</f>
        <v/>
      </c>
      <c r="D65" s="27" t="str">
        <f aca="false">IF(B65="","",IFERROR(INDEX(LOOKAHEAD!$I$5:$I$204,MATCH(B65,LOOKAHEAD!$A$5:$A$204,0)),""))</f>
        <v/>
      </c>
      <c r="E65" s="9"/>
      <c r="F65" s="9"/>
      <c r="G65" s="9"/>
      <c r="H65" s="14"/>
      <c r="I65" s="27" t="str">
        <f aca="false">IF(OR(D65="",D65=0),"",D65-$D$2)</f>
        <v/>
      </c>
      <c r="J65" s="14"/>
      <c r="K65" s="14"/>
      <c r="L65" s="16" t="str">
        <f aca="false">IF(B65="","",IF(K65&lt;&gt;"","Liberado","Pendiente"))</f>
        <v/>
      </c>
      <c r="M65" s="16" t="str">
        <f aca="true">IF(B65="","",IF(L65="Liberado",IF(OR(I65="",K65&lt;=I65),"A tiempo","Liberada tarde"),IF(J65="","Sin compromiso",IF(TODAY()&gt;J65,"VENCIDA",IF(AND(I65&lt;&gt;"",J65&gt;I65),"En riesgo","En gestión")))))</f>
        <v/>
      </c>
      <c r="N65" s="15" t="str">
        <f aca="false">IF(OR(B65="",I65=""),"",IF(K65&lt;&gt;"",I65-K65,IF(J65&lt;&gt;"",I65-J65,"")))</f>
        <v/>
      </c>
      <c r="O65" s="9"/>
    </row>
    <row r="66" customFormat="false" ht="15" hidden="false" customHeight="false" outlineLevel="0" collapsed="false">
      <c r="A66" s="9"/>
      <c r="B66" s="9"/>
      <c r="C66" s="18" t="str">
        <f aca="false">IF(B66="","",IFERROR(INDEX(LOOKAHEAD!$B$5:$B$204,MATCH(B66,LOOKAHEAD!$A$5:$A$204,0)),"ID no existe"))</f>
        <v/>
      </c>
      <c r="D66" s="27" t="str">
        <f aca="false">IF(B66="","",IFERROR(INDEX(LOOKAHEAD!$I$5:$I$204,MATCH(B66,LOOKAHEAD!$A$5:$A$204,0)),""))</f>
        <v/>
      </c>
      <c r="E66" s="9"/>
      <c r="F66" s="9"/>
      <c r="G66" s="9"/>
      <c r="H66" s="14"/>
      <c r="I66" s="27" t="str">
        <f aca="false">IF(OR(D66="",D66=0),"",D66-$D$2)</f>
        <v/>
      </c>
      <c r="J66" s="14"/>
      <c r="K66" s="14"/>
      <c r="L66" s="16" t="str">
        <f aca="false">IF(B66="","",IF(K66&lt;&gt;"","Liberado","Pendiente"))</f>
        <v/>
      </c>
      <c r="M66" s="16" t="str">
        <f aca="true">IF(B66="","",IF(L66="Liberado",IF(OR(I66="",K66&lt;=I66),"A tiempo","Liberada tarde"),IF(J66="","Sin compromiso",IF(TODAY()&gt;J66,"VENCIDA",IF(AND(I66&lt;&gt;"",J66&gt;I66),"En riesgo","En gestión")))))</f>
        <v/>
      </c>
      <c r="N66" s="15" t="str">
        <f aca="false">IF(OR(B66="",I66=""),"",IF(K66&lt;&gt;"",I66-K66,IF(J66&lt;&gt;"",I66-J66,"")))</f>
        <v/>
      </c>
      <c r="O66" s="9"/>
    </row>
    <row r="67" customFormat="false" ht="15" hidden="false" customHeight="false" outlineLevel="0" collapsed="false">
      <c r="A67" s="9"/>
      <c r="B67" s="9"/>
      <c r="C67" s="18" t="str">
        <f aca="false">IF(B67="","",IFERROR(INDEX(LOOKAHEAD!$B$5:$B$204,MATCH(B67,LOOKAHEAD!$A$5:$A$204,0)),"ID no existe"))</f>
        <v/>
      </c>
      <c r="D67" s="27" t="str">
        <f aca="false">IF(B67="","",IFERROR(INDEX(LOOKAHEAD!$I$5:$I$204,MATCH(B67,LOOKAHEAD!$A$5:$A$204,0)),""))</f>
        <v/>
      </c>
      <c r="E67" s="9"/>
      <c r="F67" s="9"/>
      <c r="G67" s="9"/>
      <c r="H67" s="14"/>
      <c r="I67" s="27" t="str">
        <f aca="false">IF(OR(D67="",D67=0),"",D67-$D$2)</f>
        <v/>
      </c>
      <c r="J67" s="14"/>
      <c r="K67" s="14"/>
      <c r="L67" s="16" t="str">
        <f aca="false">IF(B67="","",IF(K67&lt;&gt;"","Liberado","Pendiente"))</f>
        <v/>
      </c>
      <c r="M67" s="16" t="str">
        <f aca="true">IF(B67="","",IF(L67="Liberado",IF(OR(I67="",K67&lt;=I67),"A tiempo","Liberada tarde"),IF(J67="","Sin compromiso",IF(TODAY()&gt;J67,"VENCIDA",IF(AND(I67&lt;&gt;"",J67&gt;I67),"En riesgo","En gestión")))))</f>
        <v/>
      </c>
      <c r="N67" s="15" t="str">
        <f aca="false">IF(OR(B67="",I67=""),"",IF(K67&lt;&gt;"",I67-K67,IF(J67&lt;&gt;"",I67-J67,"")))</f>
        <v/>
      </c>
      <c r="O67" s="9"/>
    </row>
    <row r="68" customFormat="false" ht="15" hidden="false" customHeight="false" outlineLevel="0" collapsed="false">
      <c r="A68" s="9"/>
      <c r="B68" s="9"/>
      <c r="C68" s="18" t="str">
        <f aca="false">IF(B68="","",IFERROR(INDEX(LOOKAHEAD!$B$5:$B$204,MATCH(B68,LOOKAHEAD!$A$5:$A$204,0)),"ID no existe"))</f>
        <v/>
      </c>
      <c r="D68" s="27" t="str">
        <f aca="false">IF(B68="","",IFERROR(INDEX(LOOKAHEAD!$I$5:$I$204,MATCH(B68,LOOKAHEAD!$A$5:$A$204,0)),""))</f>
        <v/>
      </c>
      <c r="E68" s="9"/>
      <c r="F68" s="9"/>
      <c r="G68" s="9"/>
      <c r="H68" s="14"/>
      <c r="I68" s="27" t="str">
        <f aca="false">IF(OR(D68="",D68=0),"",D68-$D$2)</f>
        <v/>
      </c>
      <c r="J68" s="14"/>
      <c r="K68" s="14"/>
      <c r="L68" s="16" t="str">
        <f aca="false">IF(B68="","",IF(K68&lt;&gt;"","Liberado","Pendiente"))</f>
        <v/>
      </c>
      <c r="M68" s="16" t="str">
        <f aca="true">IF(B68="","",IF(L68="Liberado",IF(OR(I68="",K68&lt;=I68),"A tiempo","Liberada tarde"),IF(J68="","Sin compromiso",IF(TODAY()&gt;J68,"VENCIDA",IF(AND(I68&lt;&gt;"",J68&gt;I68),"En riesgo","En gestión")))))</f>
        <v/>
      </c>
      <c r="N68" s="15" t="str">
        <f aca="false">IF(OR(B68="",I68=""),"",IF(K68&lt;&gt;"",I68-K68,IF(J68&lt;&gt;"",I68-J68,"")))</f>
        <v/>
      </c>
      <c r="O68" s="9"/>
    </row>
    <row r="69" customFormat="false" ht="15" hidden="false" customHeight="false" outlineLevel="0" collapsed="false">
      <c r="A69" s="9"/>
      <c r="B69" s="9"/>
      <c r="C69" s="18" t="str">
        <f aca="false">IF(B69="","",IFERROR(INDEX(LOOKAHEAD!$B$5:$B$204,MATCH(B69,LOOKAHEAD!$A$5:$A$204,0)),"ID no existe"))</f>
        <v/>
      </c>
      <c r="D69" s="27" t="str">
        <f aca="false">IF(B69="","",IFERROR(INDEX(LOOKAHEAD!$I$5:$I$204,MATCH(B69,LOOKAHEAD!$A$5:$A$204,0)),""))</f>
        <v/>
      </c>
      <c r="E69" s="9"/>
      <c r="F69" s="9"/>
      <c r="G69" s="9"/>
      <c r="H69" s="14"/>
      <c r="I69" s="27" t="str">
        <f aca="false">IF(OR(D69="",D69=0),"",D69-$D$2)</f>
        <v/>
      </c>
      <c r="J69" s="14"/>
      <c r="K69" s="14"/>
      <c r="L69" s="16" t="str">
        <f aca="false">IF(B69="","",IF(K69&lt;&gt;"","Liberado","Pendiente"))</f>
        <v/>
      </c>
      <c r="M69" s="16" t="str">
        <f aca="true">IF(B69="","",IF(L69="Liberado",IF(OR(I69="",K69&lt;=I69),"A tiempo","Liberada tarde"),IF(J69="","Sin compromiso",IF(TODAY()&gt;J69,"VENCIDA",IF(AND(I69&lt;&gt;"",J69&gt;I69),"En riesgo","En gestión")))))</f>
        <v/>
      </c>
      <c r="N69" s="15" t="str">
        <f aca="false">IF(OR(B69="",I69=""),"",IF(K69&lt;&gt;"",I69-K69,IF(J69&lt;&gt;"",I69-J69,"")))</f>
        <v/>
      </c>
      <c r="O69" s="9"/>
    </row>
    <row r="70" customFormat="false" ht="15" hidden="false" customHeight="false" outlineLevel="0" collapsed="false">
      <c r="A70" s="9"/>
      <c r="B70" s="9"/>
      <c r="C70" s="18" t="str">
        <f aca="false">IF(B70="","",IFERROR(INDEX(LOOKAHEAD!$B$5:$B$204,MATCH(B70,LOOKAHEAD!$A$5:$A$204,0)),"ID no existe"))</f>
        <v/>
      </c>
      <c r="D70" s="27" t="str">
        <f aca="false">IF(B70="","",IFERROR(INDEX(LOOKAHEAD!$I$5:$I$204,MATCH(B70,LOOKAHEAD!$A$5:$A$204,0)),""))</f>
        <v/>
      </c>
      <c r="E70" s="9"/>
      <c r="F70" s="9"/>
      <c r="G70" s="9"/>
      <c r="H70" s="14"/>
      <c r="I70" s="27" t="str">
        <f aca="false">IF(OR(D70="",D70=0),"",D70-$D$2)</f>
        <v/>
      </c>
      <c r="J70" s="14"/>
      <c r="K70" s="14"/>
      <c r="L70" s="16" t="str">
        <f aca="false">IF(B70="","",IF(K70&lt;&gt;"","Liberado","Pendiente"))</f>
        <v/>
      </c>
      <c r="M70" s="16" t="str">
        <f aca="true">IF(B70="","",IF(L70="Liberado",IF(OR(I70="",K70&lt;=I70),"A tiempo","Liberada tarde"),IF(J70="","Sin compromiso",IF(TODAY()&gt;J70,"VENCIDA",IF(AND(I70&lt;&gt;"",J70&gt;I70),"En riesgo","En gestión")))))</f>
        <v/>
      </c>
      <c r="N70" s="15" t="str">
        <f aca="false">IF(OR(B70="",I70=""),"",IF(K70&lt;&gt;"",I70-K70,IF(J70&lt;&gt;"",I70-J70,"")))</f>
        <v/>
      </c>
      <c r="O70" s="9"/>
    </row>
    <row r="71" customFormat="false" ht="15" hidden="false" customHeight="false" outlineLevel="0" collapsed="false">
      <c r="A71" s="9"/>
      <c r="B71" s="9"/>
      <c r="C71" s="18" t="str">
        <f aca="false">IF(B71="","",IFERROR(INDEX(LOOKAHEAD!$B$5:$B$204,MATCH(B71,LOOKAHEAD!$A$5:$A$204,0)),"ID no existe"))</f>
        <v/>
      </c>
      <c r="D71" s="27" t="str">
        <f aca="false">IF(B71="","",IFERROR(INDEX(LOOKAHEAD!$I$5:$I$204,MATCH(B71,LOOKAHEAD!$A$5:$A$204,0)),""))</f>
        <v/>
      </c>
      <c r="E71" s="9"/>
      <c r="F71" s="9"/>
      <c r="G71" s="9"/>
      <c r="H71" s="14"/>
      <c r="I71" s="27" t="str">
        <f aca="false">IF(OR(D71="",D71=0),"",D71-$D$2)</f>
        <v/>
      </c>
      <c r="J71" s="14"/>
      <c r="K71" s="14"/>
      <c r="L71" s="16" t="str">
        <f aca="false">IF(B71="","",IF(K71&lt;&gt;"","Liberado","Pendiente"))</f>
        <v/>
      </c>
      <c r="M71" s="16" t="str">
        <f aca="true">IF(B71="","",IF(L71="Liberado",IF(OR(I71="",K71&lt;=I71),"A tiempo","Liberada tarde"),IF(J71="","Sin compromiso",IF(TODAY()&gt;J71,"VENCIDA",IF(AND(I71&lt;&gt;"",J71&gt;I71),"En riesgo","En gestión")))))</f>
        <v/>
      </c>
      <c r="N71" s="15" t="str">
        <f aca="false">IF(OR(B71="",I71=""),"",IF(K71&lt;&gt;"",I71-K71,IF(J71&lt;&gt;"",I71-J71,"")))</f>
        <v/>
      </c>
      <c r="O71" s="9"/>
    </row>
    <row r="72" customFormat="false" ht="15" hidden="false" customHeight="false" outlineLevel="0" collapsed="false">
      <c r="A72" s="9"/>
      <c r="B72" s="9"/>
      <c r="C72" s="18" t="str">
        <f aca="false">IF(B72="","",IFERROR(INDEX(LOOKAHEAD!$B$5:$B$204,MATCH(B72,LOOKAHEAD!$A$5:$A$204,0)),"ID no existe"))</f>
        <v/>
      </c>
      <c r="D72" s="27" t="str">
        <f aca="false">IF(B72="","",IFERROR(INDEX(LOOKAHEAD!$I$5:$I$204,MATCH(B72,LOOKAHEAD!$A$5:$A$204,0)),""))</f>
        <v/>
      </c>
      <c r="E72" s="9"/>
      <c r="F72" s="9"/>
      <c r="G72" s="9"/>
      <c r="H72" s="14"/>
      <c r="I72" s="27" t="str">
        <f aca="false">IF(OR(D72="",D72=0),"",D72-$D$2)</f>
        <v/>
      </c>
      <c r="J72" s="14"/>
      <c r="K72" s="14"/>
      <c r="L72" s="16" t="str">
        <f aca="false">IF(B72="","",IF(K72&lt;&gt;"","Liberado","Pendiente"))</f>
        <v/>
      </c>
      <c r="M72" s="16" t="str">
        <f aca="true">IF(B72="","",IF(L72="Liberado",IF(OR(I72="",K72&lt;=I72),"A tiempo","Liberada tarde"),IF(J72="","Sin compromiso",IF(TODAY()&gt;J72,"VENCIDA",IF(AND(I72&lt;&gt;"",J72&gt;I72),"En riesgo","En gestión")))))</f>
        <v/>
      </c>
      <c r="N72" s="15" t="str">
        <f aca="false">IF(OR(B72="",I72=""),"",IF(K72&lt;&gt;"",I72-K72,IF(J72&lt;&gt;"",I72-J72,"")))</f>
        <v/>
      </c>
      <c r="O72" s="9"/>
    </row>
    <row r="73" customFormat="false" ht="15" hidden="false" customHeight="false" outlineLevel="0" collapsed="false">
      <c r="A73" s="9"/>
      <c r="B73" s="9"/>
      <c r="C73" s="18" t="str">
        <f aca="false">IF(B73="","",IFERROR(INDEX(LOOKAHEAD!$B$5:$B$204,MATCH(B73,LOOKAHEAD!$A$5:$A$204,0)),"ID no existe"))</f>
        <v/>
      </c>
      <c r="D73" s="27" t="str">
        <f aca="false">IF(B73="","",IFERROR(INDEX(LOOKAHEAD!$I$5:$I$204,MATCH(B73,LOOKAHEAD!$A$5:$A$204,0)),""))</f>
        <v/>
      </c>
      <c r="E73" s="9"/>
      <c r="F73" s="9"/>
      <c r="G73" s="9"/>
      <c r="H73" s="14"/>
      <c r="I73" s="27" t="str">
        <f aca="false">IF(OR(D73="",D73=0),"",D73-$D$2)</f>
        <v/>
      </c>
      <c r="J73" s="14"/>
      <c r="K73" s="14"/>
      <c r="L73" s="16" t="str">
        <f aca="false">IF(B73="","",IF(K73&lt;&gt;"","Liberado","Pendiente"))</f>
        <v/>
      </c>
      <c r="M73" s="16" t="str">
        <f aca="true">IF(B73="","",IF(L73="Liberado",IF(OR(I73="",K73&lt;=I73),"A tiempo","Liberada tarde"),IF(J73="","Sin compromiso",IF(TODAY()&gt;J73,"VENCIDA",IF(AND(I73&lt;&gt;"",J73&gt;I73),"En riesgo","En gestión")))))</f>
        <v/>
      </c>
      <c r="N73" s="15" t="str">
        <f aca="false">IF(OR(B73="",I73=""),"",IF(K73&lt;&gt;"",I73-K73,IF(J73&lt;&gt;"",I73-J73,"")))</f>
        <v/>
      </c>
      <c r="O73" s="9"/>
    </row>
    <row r="74" customFormat="false" ht="15" hidden="false" customHeight="false" outlineLevel="0" collapsed="false">
      <c r="A74" s="9"/>
      <c r="B74" s="9"/>
      <c r="C74" s="18" t="str">
        <f aca="false">IF(B74="","",IFERROR(INDEX(LOOKAHEAD!$B$5:$B$204,MATCH(B74,LOOKAHEAD!$A$5:$A$204,0)),"ID no existe"))</f>
        <v/>
      </c>
      <c r="D74" s="27" t="str">
        <f aca="false">IF(B74="","",IFERROR(INDEX(LOOKAHEAD!$I$5:$I$204,MATCH(B74,LOOKAHEAD!$A$5:$A$204,0)),""))</f>
        <v/>
      </c>
      <c r="E74" s="9"/>
      <c r="F74" s="9"/>
      <c r="G74" s="9"/>
      <c r="H74" s="14"/>
      <c r="I74" s="27" t="str">
        <f aca="false">IF(OR(D74="",D74=0),"",D74-$D$2)</f>
        <v/>
      </c>
      <c r="J74" s="14"/>
      <c r="K74" s="14"/>
      <c r="L74" s="16" t="str">
        <f aca="false">IF(B74="","",IF(K74&lt;&gt;"","Liberado","Pendiente"))</f>
        <v/>
      </c>
      <c r="M74" s="16" t="str">
        <f aca="true">IF(B74="","",IF(L74="Liberado",IF(OR(I74="",K74&lt;=I74),"A tiempo","Liberada tarde"),IF(J74="","Sin compromiso",IF(TODAY()&gt;J74,"VENCIDA",IF(AND(I74&lt;&gt;"",J74&gt;I74),"En riesgo","En gestión")))))</f>
        <v/>
      </c>
      <c r="N74" s="15" t="str">
        <f aca="false">IF(OR(B74="",I74=""),"",IF(K74&lt;&gt;"",I74-K74,IF(J74&lt;&gt;"",I74-J74,"")))</f>
        <v/>
      </c>
      <c r="O74" s="9"/>
    </row>
    <row r="75" customFormat="false" ht="15" hidden="false" customHeight="false" outlineLevel="0" collapsed="false">
      <c r="A75" s="9"/>
      <c r="B75" s="9"/>
      <c r="C75" s="18" t="str">
        <f aca="false">IF(B75="","",IFERROR(INDEX(LOOKAHEAD!$B$5:$B$204,MATCH(B75,LOOKAHEAD!$A$5:$A$204,0)),"ID no existe"))</f>
        <v/>
      </c>
      <c r="D75" s="27" t="str">
        <f aca="false">IF(B75="","",IFERROR(INDEX(LOOKAHEAD!$I$5:$I$204,MATCH(B75,LOOKAHEAD!$A$5:$A$204,0)),""))</f>
        <v/>
      </c>
      <c r="E75" s="9"/>
      <c r="F75" s="9"/>
      <c r="G75" s="9"/>
      <c r="H75" s="14"/>
      <c r="I75" s="27" t="str">
        <f aca="false">IF(OR(D75="",D75=0),"",D75-$D$2)</f>
        <v/>
      </c>
      <c r="J75" s="14"/>
      <c r="K75" s="14"/>
      <c r="L75" s="16" t="str">
        <f aca="false">IF(B75="","",IF(K75&lt;&gt;"","Liberado","Pendiente"))</f>
        <v/>
      </c>
      <c r="M75" s="16" t="str">
        <f aca="true">IF(B75="","",IF(L75="Liberado",IF(OR(I75="",K75&lt;=I75),"A tiempo","Liberada tarde"),IF(J75="","Sin compromiso",IF(TODAY()&gt;J75,"VENCIDA",IF(AND(I75&lt;&gt;"",J75&gt;I75),"En riesgo","En gestión")))))</f>
        <v/>
      </c>
      <c r="N75" s="15" t="str">
        <f aca="false">IF(OR(B75="",I75=""),"",IF(K75&lt;&gt;"",I75-K75,IF(J75&lt;&gt;"",I75-J75,"")))</f>
        <v/>
      </c>
      <c r="O75" s="9"/>
    </row>
    <row r="76" customFormat="false" ht="15" hidden="false" customHeight="false" outlineLevel="0" collapsed="false">
      <c r="A76" s="9"/>
      <c r="B76" s="9"/>
      <c r="C76" s="18" t="str">
        <f aca="false">IF(B76="","",IFERROR(INDEX(LOOKAHEAD!$B$5:$B$204,MATCH(B76,LOOKAHEAD!$A$5:$A$204,0)),"ID no existe"))</f>
        <v/>
      </c>
      <c r="D76" s="27" t="str">
        <f aca="false">IF(B76="","",IFERROR(INDEX(LOOKAHEAD!$I$5:$I$204,MATCH(B76,LOOKAHEAD!$A$5:$A$204,0)),""))</f>
        <v/>
      </c>
      <c r="E76" s="9"/>
      <c r="F76" s="9"/>
      <c r="G76" s="9"/>
      <c r="H76" s="14"/>
      <c r="I76" s="27" t="str">
        <f aca="false">IF(OR(D76="",D76=0),"",D76-$D$2)</f>
        <v/>
      </c>
      <c r="J76" s="14"/>
      <c r="K76" s="14"/>
      <c r="L76" s="16" t="str">
        <f aca="false">IF(B76="","",IF(K76&lt;&gt;"","Liberado","Pendiente"))</f>
        <v/>
      </c>
      <c r="M76" s="16" t="str">
        <f aca="true">IF(B76="","",IF(L76="Liberado",IF(OR(I76="",K76&lt;=I76),"A tiempo","Liberada tarde"),IF(J76="","Sin compromiso",IF(TODAY()&gt;J76,"VENCIDA",IF(AND(I76&lt;&gt;"",J76&gt;I76),"En riesgo","En gestión")))))</f>
        <v/>
      </c>
      <c r="N76" s="15" t="str">
        <f aca="false">IF(OR(B76="",I76=""),"",IF(K76&lt;&gt;"",I76-K76,IF(J76&lt;&gt;"",I76-J76,"")))</f>
        <v/>
      </c>
      <c r="O76" s="9"/>
    </row>
    <row r="77" customFormat="false" ht="15" hidden="false" customHeight="false" outlineLevel="0" collapsed="false">
      <c r="A77" s="9"/>
      <c r="B77" s="9"/>
      <c r="C77" s="18" t="str">
        <f aca="false">IF(B77="","",IFERROR(INDEX(LOOKAHEAD!$B$5:$B$204,MATCH(B77,LOOKAHEAD!$A$5:$A$204,0)),"ID no existe"))</f>
        <v/>
      </c>
      <c r="D77" s="27" t="str">
        <f aca="false">IF(B77="","",IFERROR(INDEX(LOOKAHEAD!$I$5:$I$204,MATCH(B77,LOOKAHEAD!$A$5:$A$204,0)),""))</f>
        <v/>
      </c>
      <c r="E77" s="9"/>
      <c r="F77" s="9"/>
      <c r="G77" s="9"/>
      <c r="H77" s="14"/>
      <c r="I77" s="27" t="str">
        <f aca="false">IF(OR(D77="",D77=0),"",D77-$D$2)</f>
        <v/>
      </c>
      <c r="J77" s="14"/>
      <c r="K77" s="14"/>
      <c r="L77" s="16" t="str">
        <f aca="false">IF(B77="","",IF(K77&lt;&gt;"","Liberado","Pendiente"))</f>
        <v/>
      </c>
      <c r="M77" s="16" t="str">
        <f aca="true">IF(B77="","",IF(L77="Liberado",IF(OR(I77="",K77&lt;=I77),"A tiempo","Liberada tarde"),IF(J77="","Sin compromiso",IF(TODAY()&gt;J77,"VENCIDA",IF(AND(I77&lt;&gt;"",J77&gt;I77),"En riesgo","En gestión")))))</f>
        <v/>
      </c>
      <c r="N77" s="15" t="str">
        <f aca="false">IF(OR(B77="",I77=""),"",IF(K77&lt;&gt;"",I77-K77,IF(J77&lt;&gt;"",I77-J77,"")))</f>
        <v/>
      </c>
      <c r="O77" s="9"/>
    </row>
    <row r="78" customFormat="false" ht="15" hidden="false" customHeight="false" outlineLevel="0" collapsed="false">
      <c r="A78" s="9"/>
      <c r="B78" s="9"/>
      <c r="C78" s="18" t="str">
        <f aca="false">IF(B78="","",IFERROR(INDEX(LOOKAHEAD!$B$5:$B$204,MATCH(B78,LOOKAHEAD!$A$5:$A$204,0)),"ID no existe"))</f>
        <v/>
      </c>
      <c r="D78" s="27" t="str">
        <f aca="false">IF(B78="","",IFERROR(INDEX(LOOKAHEAD!$I$5:$I$204,MATCH(B78,LOOKAHEAD!$A$5:$A$204,0)),""))</f>
        <v/>
      </c>
      <c r="E78" s="9"/>
      <c r="F78" s="9"/>
      <c r="G78" s="9"/>
      <c r="H78" s="14"/>
      <c r="I78" s="27" t="str">
        <f aca="false">IF(OR(D78="",D78=0),"",D78-$D$2)</f>
        <v/>
      </c>
      <c r="J78" s="14"/>
      <c r="K78" s="14"/>
      <c r="L78" s="16" t="str">
        <f aca="false">IF(B78="","",IF(K78&lt;&gt;"","Liberado","Pendiente"))</f>
        <v/>
      </c>
      <c r="M78" s="16" t="str">
        <f aca="true">IF(B78="","",IF(L78="Liberado",IF(OR(I78="",K78&lt;=I78),"A tiempo","Liberada tarde"),IF(J78="","Sin compromiso",IF(TODAY()&gt;J78,"VENCIDA",IF(AND(I78&lt;&gt;"",J78&gt;I78),"En riesgo","En gestión")))))</f>
        <v/>
      </c>
      <c r="N78" s="15" t="str">
        <f aca="false">IF(OR(B78="",I78=""),"",IF(K78&lt;&gt;"",I78-K78,IF(J78&lt;&gt;"",I78-J78,"")))</f>
        <v/>
      </c>
      <c r="O78" s="9"/>
    </row>
    <row r="79" customFormat="false" ht="15" hidden="false" customHeight="false" outlineLevel="0" collapsed="false">
      <c r="A79" s="9"/>
      <c r="B79" s="9"/>
      <c r="C79" s="18" t="str">
        <f aca="false">IF(B79="","",IFERROR(INDEX(LOOKAHEAD!$B$5:$B$204,MATCH(B79,LOOKAHEAD!$A$5:$A$204,0)),"ID no existe"))</f>
        <v/>
      </c>
      <c r="D79" s="27" t="str">
        <f aca="false">IF(B79="","",IFERROR(INDEX(LOOKAHEAD!$I$5:$I$204,MATCH(B79,LOOKAHEAD!$A$5:$A$204,0)),""))</f>
        <v/>
      </c>
      <c r="E79" s="9"/>
      <c r="F79" s="9"/>
      <c r="G79" s="9"/>
      <c r="H79" s="14"/>
      <c r="I79" s="27" t="str">
        <f aca="false">IF(OR(D79="",D79=0),"",D79-$D$2)</f>
        <v/>
      </c>
      <c r="J79" s="14"/>
      <c r="K79" s="14"/>
      <c r="L79" s="16" t="str">
        <f aca="false">IF(B79="","",IF(K79&lt;&gt;"","Liberado","Pendiente"))</f>
        <v/>
      </c>
      <c r="M79" s="16" t="str">
        <f aca="true">IF(B79="","",IF(L79="Liberado",IF(OR(I79="",K79&lt;=I79),"A tiempo","Liberada tarde"),IF(J79="","Sin compromiso",IF(TODAY()&gt;J79,"VENCIDA",IF(AND(I79&lt;&gt;"",J79&gt;I79),"En riesgo","En gestión")))))</f>
        <v/>
      </c>
      <c r="N79" s="15" t="str">
        <f aca="false">IF(OR(B79="",I79=""),"",IF(K79&lt;&gt;"",I79-K79,IF(J79&lt;&gt;"",I79-J79,"")))</f>
        <v/>
      </c>
      <c r="O79" s="9"/>
    </row>
    <row r="80" customFormat="false" ht="15" hidden="false" customHeight="false" outlineLevel="0" collapsed="false">
      <c r="A80" s="9"/>
      <c r="B80" s="9"/>
      <c r="C80" s="18" t="str">
        <f aca="false">IF(B80="","",IFERROR(INDEX(LOOKAHEAD!$B$5:$B$204,MATCH(B80,LOOKAHEAD!$A$5:$A$204,0)),"ID no existe"))</f>
        <v/>
      </c>
      <c r="D80" s="27" t="str">
        <f aca="false">IF(B80="","",IFERROR(INDEX(LOOKAHEAD!$I$5:$I$204,MATCH(B80,LOOKAHEAD!$A$5:$A$204,0)),""))</f>
        <v/>
      </c>
      <c r="E80" s="9"/>
      <c r="F80" s="9"/>
      <c r="G80" s="9"/>
      <c r="H80" s="14"/>
      <c r="I80" s="27" t="str">
        <f aca="false">IF(OR(D80="",D80=0),"",D80-$D$2)</f>
        <v/>
      </c>
      <c r="J80" s="14"/>
      <c r="K80" s="14"/>
      <c r="L80" s="16" t="str">
        <f aca="false">IF(B80="","",IF(K80&lt;&gt;"","Liberado","Pendiente"))</f>
        <v/>
      </c>
      <c r="M80" s="16" t="str">
        <f aca="true">IF(B80="","",IF(L80="Liberado",IF(OR(I80="",K80&lt;=I80),"A tiempo","Liberada tarde"),IF(J80="","Sin compromiso",IF(TODAY()&gt;J80,"VENCIDA",IF(AND(I80&lt;&gt;"",J80&gt;I80),"En riesgo","En gestión")))))</f>
        <v/>
      </c>
      <c r="N80" s="15" t="str">
        <f aca="false">IF(OR(B80="",I80=""),"",IF(K80&lt;&gt;"",I80-K80,IF(J80&lt;&gt;"",I80-J80,"")))</f>
        <v/>
      </c>
      <c r="O80" s="9"/>
    </row>
    <row r="81" customFormat="false" ht="15" hidden="false" customHeight="false" outlineLevel="0" collapsed="false">
      <c r="A81" s="9"/>
      <c r="B81" s="9"/>
      <c r="C81" s="18" t="str">
        <f aca="false">IF(B81="","",IFERROR(INDEX(LOOKAHEAD!$B$5:$B$204,MATCH(B81,LOOKAHEAD!$A$5:$A$204,0)),"ID no existe"))</f>
        <v/>
      </c>
      <c r="D81" s="27" t="str">
        <f aca="false">IF(B81="","",IFERROR(INDEX(LOOKAHEAD!$I$5:$I$204,MATCH(B81,LOOKAHEAD!$A$5:$A$204,0)),""))</f>
        <v/>
      </c>
      <c r="E81" s="9"/>
      <c r="F81" s="9"/>
      <c r="G81" s="9"/>
      <c r="H81" s="14"/>
      <c r="I81" s="27" t="str">
        <f aca="false">IF(OR(D81="",D81=0),"",D81-$D$2)</f>
        <v/>
      </c>
      <c r="J81" s="14"/>
      <c r="K81" s="14"/>
      <c r="L81" s="16" t="str">
        <f aca="false">IF(B81="","",IF(K81&lt;&gt;"","Liberado","Pendiente"))</f>
        <v/>
      </c>
      <c r="M81" s="16" t="str">
        <f aca="true">IF(B81="","",IF(L81="Liberado",IF(OR(I81="",K81&lt;=I81),"A tiempo","Liberada tarde"),IF(J81="","Sin compromiso",IF(TODAY()&gt;J81,"VENCIDA",IF(AND(I81&lt;&gt;"",J81&gt;I81),"En riesgo","En gestión")))))</f>
        <v/>
      </c>
      <c r="N81" s="15" t="str">
        <f aca="false">IF(OR(B81="",I81=""),"",IF(K81&lt;&gt;"",I81-K81,IF(J81&lt;&gt;"",I81-J81,"")))</f>
        <v/>
      </c>
      <c r="O81" s="9"/>
    </row>
    <row r="82" customFormat="false" ht="15" hidden="false" customHeight="false" outlineLevel="0" collapsed="false">
      <c r="A82" s="9"/>
      <c r="B82" s="9"/>
      <c r="C82" s="18" t="str">
        <f aca="false">IF(B82="","",IFERROR(INDEX(LOOKAHEAD!$B$5:$B$204,MATCH(B82,LOOKAHEAD!$A$5:$A$204,0)),"ID no existe"))</f>
        <v/>
      </c>
      <c r="D82" s="27" t="str">
        <f aca="false">IF(B82="","",IFERROR(INDEX(LOOKAHEAD!$I$5:$I$204,MATCH(B82,LOOKAHEAD!$A$5:$A$204,0)),""))</f>
        <v/>
      </c>
      <c r="E82" s="9"/>
      <c r="F82" s="9"/>
      <c r="G82" s="9"/>
      <c r="H82" s="14"/>
      <c r="I82" s="27" t="str">
        <f aca="false">IF(OR(D82="",D82=0),"",D82-$D$2)</f>
        <v/>
      </c>
      <c r="J82" s="14"/>
      <c r="K82" s="14"/>
      <c r="L82" s="16" t="str">
        <f aca="false">IF(B82="","",IF(K82&lt;&gt;"","Liberado","Pendiente"))</f>
        <v/>
      </c>
      <c r="M82" s="16" t="str">
        <f aca="true">IF(B82="","",IF(L82="Liberado",IF(OR(I82="",K82&lt;=I82),"A tiempo","Liberada tarde"),IF(J82="","Sin compromiso",IF(TODAY()&gt;J82,"VENCIDA",IF(AND(I82&lt;&gt;"",J82&gt;I82),"En riesgo","En gestión")))))</f>
        <v/>
      </c>
      <c r="N82" s="15" t="str">
        <f aca="false">IF(OR(B82="",I82=""),"",IF(K82&lt;&gt;"",I82-K82,IF(J82&lt;&gt;"",I82-J82,"")))</f>
        <v/>
      </c>
      <c r="O82" s="9"/>
    </row>
    <row r="83" customFormat="false" ht="15" hidden="false" customHeight="false" outlineLevel="0" collapsed="false">
      <c r="A83" s="9"/>
      <c r="B83" s="9"/>
      <c r="C83" s="18" t="str">
        <f aca="false">IF(B83="","",IFERROR(INDEX(LOOKAHEAD!$B$5:$B$204,MATCH(B83,LOOKAHEAD!$A$5:$A$204,0)),"ID no existe"))</f>
        <v/>
      </c>
      <c r="D83" s="27" t="str">
        <f aca="false">IF(B83="","",IFERROR(INDEX(LOOKAHEAD!$I$5:$I$204,MATCH(B83,LOOKAHEAD!$A$5:$A$204,0)),""))</f>
        <v/>
      </c>
      <c r="E83" s="9"/>
      <c r="F83" s="9"/>
      <c r="G83" s="9"/>
      <c r="H83" s="14"/>
      <c r="I83" s="27" t="str">
        <f aca="false">IF(OR(D83="",D83=0),"",D83-$D$2)</f>
        <v/>
      </c>
      <c r="J83" s="14"/>
      <c r="K83" s="14"/>
      <c r="L83" s="16" t="str">
        <f aca="false">IF(B83="","",IF(K83&lt;&gt;"","Liberado","Pendiente"))</f>
        <v/>
      </c>
      <c r="M83" s="16" t="str">
        <f aca="true">IF(B83="","",IF(L83="Liberado",IF(OR(I83="",K83&lt;=I83),"A tiempo","Liberada tarde"),IF(J83="","Sin compromiso",IF(TODAY()&gt;J83,"VENCIDA",IF(AND(I83&lt;&gt;"",J83&gt;I83),"En riesgo","En gestión")))))</f>
        <v/>
      </c>
      <c r="N83" s="15" t="str">
        <f aca="false">IF(OR(B83="",I83=""),"",IF(K83&lt;&gt;"",I83-K83,IF(J83&lt;&gt;"",I83-J83,"")))</f>
        <v/>
      </c>
      <c r="O83" s="9"/>
    </row>
    <row r="84" customFormat="false" ht="15" hidden="false" customHeight="false" outlineLevel="0" collapsed="false">
      <c r="A84" s="9"/>
      <c r="B84" s="9"/>
      <c r="C84" s="18" t="str">
        <f aca="false">IF(B84="","",IFERROR(INDEX(LOOKAHEAD!$B$5:$B$204,MATCH(B84,LOOKAHEAD!$A$5:$A$204,0)),"ID no existe"))</f>
        <v/>
      </c>
      <c r="D84" s="27" t="str">
        <f aca="false">IF(B84="","",IFERROR(INDEX(LOOKAHEAD!$I$5:$I$204,MATCH(B84,LOOKAHEAD!$A$5:$A$204,0)),""))</f>
        <v/>
      </c>
      <c r="E84" s="9"/>
      <c r="F84" s="9"/>
      <c r="G84" s="9"/>
      <c r="H84" s="14"/>
      <c r="I84" s="27" t="str">
        <f aca="false">IF(OR(D84="",D84=0),"",D84-$D$2)</f>
        <v/>
      </c>
      <c r="J84" s="14"/>
      <c r="K84" s="14"/>
      <c r="L84" s="16" t="str">
        <f aca="false">IF(B84="","",IF(K84&lt;&gt;"","Liberado","Pendiente"))</f>
        <v/>
      </c>
      <c r="M84" s="16" t="str">
        <f aca="true">IF(B84="","",IF(L84="Liberado",IF(OR(I84="",K84&lt;=I84),"A tiempo","Liberada tarde"),IF(J84="","Sin compromiso",IF(TODAY()&gt;J84,"VENCIDA",IF(AND(I84&lt;&gt;"",J84&gt;I84),"En riesgo","En gestión")))))</f>
        <v/>
      </c>
      <c r="N84" s="15" t="str">
        <f aca="false">IF(OR(B84="",I84=""),"",IF(K84&lt;&gt;"",I84-K84,IF(J84&lt;&gt;"",I84-J84,"")))</f>
        <v/>
      </c>
      <c r="O84" s="9"/>
    </row>
    <row r="85" customFormat="false" ht="15" hidden="false" customHeight="false" outlineLevel="0" collapsed="false">
      <c r="A85" s="9"/>
      <c r="B85" s="9"/>
      <c r="C85" s="18" t="str">
        <f aca="false">IF(B85="","",IFERROR(INDEX(LOOKAHEAD!$B$5:$B$204,MATCH(B85,LOOKAHEAD!$A$5:$A$204,0)),"ID no existe"))</f>
        <v/>
      </c>
      <c r="D85" s="27" t="str">
        <f aca="false">IF(B85="","",IFERROR(INDEX(LOOKAHEAD!$I$5:$I$204,MATCH(B85,LOOKAHEAD!$A$5:$A$204,0)),""))</f>
        <v/>
      </c>
      <c r="E85" s="9"/>
      <c r="F85" s="9"/>
      <c r="G85" s="9"/>
      <c r="H85" s="14"/>
      <c r="I85" s="27" t="str">
        <f aca="false">IF(OR(D85="",D85=0),"",D85-$D$2)</f>
        <v/>
      </c>
      <c r="J85" s="14"/>
      <c r="K85" s="14"/>
      <c r="L85" s="16" t="str">
        <f aca="false">IF(B85="","",IF(K85&lt;&gt;"","Liberado","Pendiente"))</f>
        <v/>
      </c>
      <c r="M85" s="16" t="str">
        <f aca="true">IF(B85="","",IF(L85="Liberado",IF(OR(I85="",K85&lt;=I85),"A tiempo","Liberada tarde"),IF(J85="","Sin compromiso",IF(TODAY()&gt;J85,"VENCIDA",IF(AND(I85&lt;&gt;"",J85&gt;I85),"En riesgo","En gestión")))))</f>
        <v/>
      </c>
      <c r="N85" s="15" t="str">
        <f aca="false">IF(OR(B85="",I85=""),"",IF(K85&lt;&gt;"",I85-K85,IF(J85&lt;&gt;"",I85-J85,"")))</f>
        <v/>
      </c>
      <c r="O85" s="9"/>
    </row>
    <row r="86" customFormat="false" ht="15" hidden="false" customHeight="false" outlineLevel="0" collapsed="false">
      <c r="A86" s="9"/>
      <c r="B86" s="9"/>
      <c r="C86" s="18" t="str">
        <f aca="false">IF(B86="","",IFERROR(INDEX(LOOKAHEAD!$B$5:$B$204,MATCH(B86,LOOKAHEAD!$A$5:$A$204,0)),"ID no existe"))</f>
        <v/>
      </c>
      <c r="D86" s="27" t="str">
        <f aca="false">IF(B86="","",IFERROR(INDEX(LOOKAHEAD!$I$5:$I$204,MATCH(B86,LOOKAHEAD!$A$5:$A$204,0)),""))</f>
        <v/>
      </c>
      <c r="E86" s="9"/>
      <c r="F86" s="9"/>
      <c r="G86" s="9"/>
      <c r="H86" s="14"/>
      <c r="I86" s="27" t="str">
        <f aca="false">IF(OR(D86="",D86=0),"",D86-$D$2)</f>
        <v/>
      </c>
      <c r="J86" s="14"/>
      <c r="K86" s="14"/>
      <c r="L86" s="16" t="str">
        <f aca="false">IF(B86="","",IF(K86&lt;&gt;"","Liberado","Pendiente"))</f>
        <v/>
      </c>
      <c r="M86" s="16" t="str">
        <f aca="true">IF(B86="","",IF(L86="Liberado",IF(OR(I86="",K86&lt;=I86),"A tiempo","Liberada tarde"),IF(J86="","Sin compromiso",IF(TODAY()&gt;J86,"VENCIDA",IF(AND(I86&lt;&gt;"",J86&gt;I86),"En riesgo","En gestión")))))</f>
        <v/>
      </c>
      <c r="N86" s="15" t="str">
        <f aca="false">IF(OR(B86="",I86=""),"",IF(K86&lt;&gt;"",I86-K86,IF(J86&lt;&gt;"",I86-J86,"")))</f>
        <v/>
      </c>
      <c r="O86" s="9"/>
    </row>
    <row r="87" customFormat="false" ht="15" hidden="false" customHeight="false" outlineLevel="0" collapsed="false">
      <c r="A87" s="9"/>
      <c r="B87" s="9"/>
      <c r="C87" s="18" t="str">
        <f aca="false">IF(B87="","",IFERROR(INDEX(LOOKAHEAD!$B$5:$B$204,MATCH(B87,LOOKAHEAD!$A$5:$A$204,0)),"ID no existe"))</f>
        <v/>
      </c>
      <c r="D87" s="27" t="str">
        <f aca="false">IF(B87="","",IFERROR(INDEX(LOOKAHEAD!$I$5:$I$204,MATCH(B87,LOOKAHEAD!$A$5:$A$204,0)),""))</f>
        <v/>
      </c>
      <c r="E87" s="9"/>
      <c r="F87" s="9"/>
      <c r="G87" s="9"/>
      <c r="H87" s="14"/>
      <c r="I87" s="27" t="str">
        <f aca="false">IF(OR(D87="",D87=0),"",D87-$D$2)</f>
        <v/>
      </c>
      <c r="J87" s="14"/>
      <c r="K87" s="14"/>
      <c r="L87" s="16" t="str">
        <f aca="false">IF(B87="","",IF(K87&lt;&gt;"","Liberado","Pendiente"))</f>
        <v/>
      </c>
      <c r="M87" s="16" t="str">
        <f aca="true">IF(B87="","",IF(L87="Liberado",IF(OR(I87="",K87&lt;=I87),"A tiempo","Liberada tarde"),IF(J87="","Sin compromiso",IF(TODAY()&gt;J87,"VENCIDA",IF(AND(I87&lt;&gt;"",J87&gt;I87),"En riesgo","En gestión")))))</f>
        <v/>
      </c>
      <c r="N87" s="15" t="str">
        <f aca="false">IF(OR(B87="",I87=""),"",IF(K87&lt;&gt;"",I87-K87,IF(J87&lt;&gt;"",I87-J87,"")))</f>
        <v/>
      </c>
      <c r="O87" s="9"/>
    </row>
    <row r="88" customFormat="false" ht="15" hidden="false" customHeight="false" outlineLevel="0" collapsed="false">
      <c r="A88" s="9"/>
      <c r="B88" s="9"/>
      <c r="C88" s="18" t="str">
        <f aca="false">IF(B88="","",IFERROR(INDEX(LOOKAHEAD!$B$5:$B$204,MATCH(B88,LOOKAHEAD!$A$5:$A$204,0)),"ID no existe"))</f>
        <v/>
      </c>
      <c r="D88" s="27" t="str">
        <f aca="false">IF(B88="","",IFERROR(INDEX(LOOKAHEAD!$I$5:$I$204,MATCH(B88,LOOKAHEAD!$A$5:$A$204,0)),""))</f>
        <v/>
      </c>
      <c r="E88" s="9"/>
      <c r="F88" s="9"/>
      <c r="G88" s="9"/>
      <c r="H88" s="14"/>
      <c r="I88" s="27" t="str">
        <f aca="false">IF(OR(D88="",D88=0),"",D88-$D$2)</f>
        <v/>
      </c>
      <c r="J88" s="14"/>
      <c r="K88" s="14"/>
      <c r="L88" s="16" t="str">
        <f aca="false">IF(B88="","",IF(K88&lt;&gt;"","Liberado","Pendiente"))</f>
        <v/>
      </c>
      <c r="M88" s="16" t="str">
        <f aca="true">IF(B88="","",IF(L88="Liberado",IF(OR(I88="",K88&lt;=I88),"A tiempo","Liberada tarde"),IF(J88="","Sin compromiso",IF(TODAY()&gt;J88,"VENCIDA",IF(AND(I88&lt;&gt;"",J88&gt;I88),"En riesgo","En gestión")))))</f>
        <v/>
      </c>
      <c r="N88" s="15" t="str">
        <f aca="false">IF(OR(B88="",I88=""),"",IF(K88&lt;&gt;"",I88-K88,IF(J88&lt;&gt;"",I88-J88,"")))</f>
        <v/>
      </c>
      <c r="O88" s="9"/>
    </row>
    <row r="89" customFormat="false" ht="15" hidden="false" customHeight="false" outlineLevel="0" collapsed="false">
      <c r="A89" s="9"/>
      <c r="B89" s="9"/>
      <c r="C89" s="18" t="str">
        <f aca="false">IF(B89="","",IFERROR(INDEX(LOOKAHEAD!$B$5:$B$204,MATCH(B89,LOOKAHEAD!$A$5:$A$204,0)),"ID no existe"))</f>
        <v/>
      </c>
      <c r="D89" s="27" t="str">
        <f aca="false">IF(B89="","",IFERROR(INDEX(LOOKAHEAD!$I$5:$I$204,MATCH(B89,LOOKAHEAD!$A$5:$A$204,0)),""))</f>
        <v/>
      </c>
      <c r="E89" s="9"/>
      <c r="F89" s="9"/>
      <c r="G89" s="9"/>
      <c r="H89" s="14"/>
      <c r="I89" s="27" t="str">
        <f aca="false">IF(OR(D89="",D89=0),"",D89-$D$2)</f>
        <v/>
      </c>
      <c r="J89" s="14"/>
      <c r="K89" s="14"/>
      <c r="L89" s="16" t="str">
        <f aca="false">IF(B89="","",IF(K89&lt;&gt;"","Liberado","Pendiente"))</f>
        <v/>
      </c>
      <c r="M89" s="16" t="str">
        <f aca="true">IF(B89="","",IF(L89="Liberado",IF(OR(I89="",K89&lt;=I89),"A tiempo","Liberada tarde"),IF(J89="","Sin compromiso",IF(TODAY()&gt;J89,"VENCIDA",IF(AND(I89&lt;&gt;"",J89&gt;I89),"En riesgo","En gestión")))))</f>
        <v/>
      </c>
      <c r="N89" s="15" t="str">
        <f aca="false">IF(OR(B89="",I89=""),"",IF(K89&lt;&gt;"",I89-K89,IF(J89&lt;&gt;"",I89-J89,"")))</f>
        <v/>
      </c>
      <c r="O89" s="9"/>
    </row>
    <row r="90" customFormat="false" ht="15" hidden="false" customHeight="false" outlineLevel="0" collapsed="false">
      <c r="A90" s="9"/>
      <c r="B90" s="9"/>
      <c r="C90" s="18" t="str">
        <f aca="false">IF(B90="","",IFERROR(INDEX(LOOKAHEAD!$B$5:$B$204,MATCH(B90,LOOKAHEAD!$A$5:$A$204,0)),"ID no existe"))</f>
        <v/>
      </c>
      <c r="D90" s="27" t="str">
        <f aca="false">IF(B90="","",IFERROR(INDEX(LOOKAHEAD!$I$5:$I$204,MATCH(B90,LOOKAHEAD!$A$5:$A$204,0)),""))</f>
        <v/>
      </c>
      <c r="E90" s="9"/>
      <c r="F90" s="9"/>
      <c r="G90" s="9"/>
      <c r="H90" s="14"/>
      <c r="I90" s="27" t="str">
        <f aca="false">IF(OR(D90="",D90=0),"",D90-$D$2)</f>
        <v/>
      </c>
      <c r="J90" s="14"/>
      <c r="K90" s="14"/>
      <c r="L90" s="16" t="str">
        <f aca="false">IF(B90="","",IF(K90&lt;&gt;"","Liberado","Pendiente"))</f>
        <v/>
      </c>
      <c r="M90" s="16" t="str">
        <f aca="true">IF(B90="","",IF(L90="Liberado",IF(OR(I90="",K90&lt;=I90),"A tiempo","Liberada tarde"),IF(J90="","Sin compromiso",IF(TODAY()&gt;J90,"VENCIDA",IF(AND(I90&lt;&gt;"",J90&gt;I90),"En riesgo","En gestión")))))</f>
        <v/>
      </c>
      <c r="N90" s="15" t="str">
        <f aca="false">IF(OR(B90="",I90=""),"",IF(K90&lt;&gt;"",I90-K90,IF(J90&lt;&gt;"",I90-J90,"")))</f>
        <v/>
      </c>
      <c r="O90" s="9"/>
    </row>
    <row r="91" customFormat="false" ht="15" hidden="false" customHeight="false" outlineLevel="0" collapsed="false">
      <c r="A91" s="9"/>
      <c r="B91" s="9"/>
      <c r="C91" s="18" t="str">
        <f aca="false">IF(B91="","",IFERROR(INDEX(LOOKAHEAD!$B$5:$B$204,MATCH(B91,LOOKAHEAD!$A$5:$A$204,0)),"ID no existe"))</f>
        <v/>
      </c>
      <c r="D91" s="27" t="str">
        <f aca="false">IF(B91="","",IFERROR(INDEX(LOOKAHEAD!$I$5:$I$204,MATCH(B91,LOOKAHEAD!$A$5:$A$204,0)),""))</f>
        <v/>
      </c>
      <c r="E91" s="9"/>
      <c r="F91" s="9"/>
      <c r="G91" s="9"/>
      <c r="H91" s="14"/>
      <c r="I91" s="27" t="str">
        <f aca="false">IF(OR(D91="",D91=0),"",D91-$D$2)</f>
        <v/>
      </c>
      <c r="J91" s="14"/>
      <c r="K91" s="14"/>
      <c r="L91" s="16" t="str">
        <f aca="false">IF(B91="","",IF(K91&lt;&gt;"","Liberado","Pendiente"))</f>
        <v/>
      </c>
      <c r="M91" s="16" t="str">
        <f aca="true">IF(B91="","",IF(L91="Liberado",IF(OR(I91="",K91&lt;=I91),"A tiempo","Liberada tarde"),IF(J91="","Sin compromiso",IF(TODAY()&gt;J91,"VENCIDA",IF(AND(I91&lt;&gt;"",J91&gt;I91),"En riesgo","En gestión")))))</f>
        <v/>
      </c>
      <c r="N91" s="15" t="str">
        <f aca="false">IF(OR(B91="",I91=""),"",IF(K91&lt;&gt;"",I91-K91,IF(J91&lt;&gt;"",I91-J91,"")))</f>
        <v/>
      </c>
      <c r="O91" s="9"/>
    </row>
    <row r="92" customFormat="false" ht="15" hidden="false" customHeight="false" outlineLevel="0" collapsed="false">
      <c r="A92" s="9"/>
      <c r="B92" s="9"/>
      <c r="C92" s="18" t="str">
        <f aca="false">IF(B92="","",IFERROR(INDEX(LOOKAHEAD!$B$5:$B$204,MATCH(B92,LOOKAHEAD!$A$5:$A$204,0)),"ID no existe"))</f>
        <v/>
      </c>
      <c r="D92" s="27" t="str">
        <f aca="false">IF(B92="","",IFERROR(INDEX(LOOKAHEAD!$I$5:$I$204,MATCH(B92,LOOKAHEAD!$A$5:$A$204,0)),""))</f>
        <v/>
      </c>
      <c r="E92" s="9"/>
      <c r="F92" s="9"/>
      <c r="G92" s="9"/>
      <c r="H92" s="14"/>
      <c r="I92" s="27" t="str">
        <f aca="false">IF(OR(D92="",D92=0),"",D92-$D$2)</f>
        <v/>
      </c>
      <c r="J92" s="14"/>
      <c r="K92" s="14"/>
      <c r="L92" s="16" t="str">
        <f aca="false">IF(B92="","",IF(K92&lt;&gt;"","Liberado","Pendiente"))</f>
        <v/>
      </c>
      <c r="M92" s="16" t="str">
        <f aca="true">IF(B92="","",IF(L92="Liberado",IF(OR(I92="",K92&lt;=I92),"A tiempo","Liberada tarde"),IF(J92="","Sin compromiso",IF(TODAY()&gt;J92,"VENCIDA",IF(AND(I92&lt;&gt;"",J92&gt;I92),"En riesgo","En gestión")))))</f>
        <v/>
      </c>
      <c r="N92" s="15" t="str">
        <f aca="false">IF(OR(B92="",I92=""),"",IF(K92&lt;&gt;"",I92-K92,IF(J92&lt;&gt;"",I92-J92,"")))</f>
        <v/>
      </c>
      <c r="O92" s="9"/>
    </row>
    <row r="93" customFormat="false" ht="15" hidden="false" customHeight="false" outlineLevel="0" collapsed="false">
      <c r="A93" s="9"/>
      <c r="B93" s="9"/>
      <c r="C93" s="18" t="str">
        <f aca="false">IF(B93="","",IFERROR(INDEX(LOOKAHEAD!$B$5:$B$204,MATCH(B93,LOOKAHEAD!$A$5:$A$204,0)),"ID no existe"))</f>
        <v/>
      </c>
      <c r="D93" s="27" t="str">
        <f aca="false">IF(B93="","",IFERROR(INDEX(LOOKAHEAD!$I$5:$I$204,MATCH(B93,LOOKAHEAD!$A$5:$A$204,0)),""))</f>
        <v/>
      </c>
      <c r="E93" s="9"/>
      <c r="F93" s="9"/>
      <c r="G93" s="9"/>
      <c r="H93" s="14"/>
      <c r="I93" s="27" t="str">
        <f aca="false">IF(OR(D93="",D93=0),"",D93-$D$2)</f>
        <v/>
      </c>
      <c r="J93" s="14"/>
      <c r="K93" s="14"/>
      <c r="L93" s="16" t="str">
        <f aca="false">IF(B93="","",IF(K93&lt;&gt;"","Liberado","Pendiente"))</f>
        <v/>
      </c>
      <c r="M93" s="16" t="str">
        <f aca="true">IF(B93="","",IF(L93="Liberado",IF(OR(I93="",K93&lt;=I93),"A tiempo","Liberada tarde"),IF(J93="","Sin compromiso",IF(TODAY()&gt;J93,"VENCIDA",IF(AND(I93&lt;&gt;"",J93&gt;I93),"En riesgo","En gestión")))))</f>
        <v/>
      </c>
      <c r="N93" s="15" t="str">
        <f aca="false">IF(OR(B93="",I93=""),"",IF(K93&lt;&gt;"",I93-K93,IF(J93&lt;&gt;"",I93-J93,"")))</f>
        <v/>
      </c>
      <c r="O93" s="9"/>
    </row>
    <row r="94" customFormat="false" ht="15" hidden="false" customHeight="false" outlineLevel="0" collapsed="false">
      <c r="A94" s="9"/>
      <c r="B94" s="9"/>
      <c r="C94" s="18" t="str">
        <f aca="false">IF(B94="","",IFERROR(INDEX(LOOKAHEAD!$B$5:$B$204,MATCH(B94,LOOKAHEAD!$A$5:$A$204,0)),"ID no existe"))</f>
        <v/>
      </c>
      <c r="D94" s="27" t="str">
        <f aca="false">IF(B94="","",IFERROR(INDEX(LOOKAHEAD!$I$5:$I$204,MATCH(B94,LOOKAHEAD!$A$5:$A$204,0)),""))</f>
        <v/>
      </c>
      <c r="E94" s="9"/>
      <c r="F94" s="9"/>
      <c r="G94" s="9"/>
      <c r="H94" s="14"/>
      <c r="I94" s="27" t="str">
        <f aca="false">IF(OR(D94="",D94=0),"",D94-$D$2)</f>
        <v/>
      </c>
      <c r="J94" s="14"/>
      <c r="K94" s="14"/>
      <c r="L94" s="16" t="str">
        <f aca="false">IF(B94="","",IF(K94&lt;&gt;"","Liberado","Pendiente"))</f>
        <v/>
      </c>
      <c r="M94" s="16" t="str">
        <f aca="true">IF(B94="","",IF(L94="Liberado",IF(OR(I94="",K94&lt;=I94),"A tiempo","Liberada tarde"),IF(J94="","Sin compromiso",IF(TODAY()&gt;J94,"VENCIDA",IF(AND(I94&lt;&gt;"",J94&gt;I94),"En riesgo","En gestión")))))</f>
        <v/>
      </c>
      <c r="N94" s="15" t="str">
        <f aca="false">IF(OR(B94="",I94=""),"",IF(K94&lt;&gt;"",I94-K94,IF(J94&lt;&gt;"",I94-J94,"")))</f>
        <v/>
      </c>
      <c r="O94" s="9"/>
    </row>
    <row r="95" customFormat="false" ht="15" hidden="false" customHeight="false" outlineLevel="0" collapsed="false">
      <c r="A95" s="9"/>
      <c r="B95" s="9"/>
      <c r="C95" s="18" t="str">
        <f aca="false">IF(B95="","",IFERROR(INDEX(LOOKAHEAD!$B$5:$B$204,MATCH(B95,LOOKAHEAD!$A$5:$A$204,0)),"ID no existe"))</f>
        <v/>
      </c>
      <c r="D95" s="27" t="str">
        <f aca="false">IF(B95="","",IFERROR(INDEX(LOOKAHEAD!$I$5:$I$204,MATCH(B95,LOOKAHEAD!$A$5:$A$204,0)),""))</f>
        <v/>
      </c>
      <c r="E95" s="9"/>
      <c r="F95" s="9"/>
      <c r="G95" s="9"/>
      <c r="H95" s="14"/>
      <c r="I95" s="27" t="str">
        <f aca="false">IF(OR(D95="",D95=0),"",D95-$D$2)</f>
        <v/>
      </c>
      <c r="J95" s="14"/>
      <c r="K95" s="14"/>
      <c r="L95" s="16" t="str">
        <f aca="false">IF(B95="","",IF(K95&lt;&gt;"","Liberado","Pendiente"))</f>
        <v/>
      </c>
      <c r="M95" s="16" t="str">
        <f aca="true">IF(B95="","",IF(L95="Liberado",IF(OR(I95="",K95&lt;=I95),"A tiempo","Liberada tarde"),IF(J95="","Sin compromiso",IF(TODAY()&gt;J95,"VENCIDA",IF(AND(I95&lt;&gt;"",J95&gt;I95),"En riesgo","En gestión")))))</f>
        <v/>
      </c>
      <c r="N95" s="15" t="str">
        <f aca="false">IF(OR(B95="",I95=""),"",IF(K95&lt;&gt;"",I95-K95,IF(J95&lt;&gt;"",I95-J95,"")))</f>
        <v/>
      </c>
      <c r="O95" s="9"/>
    </row>
    <row r="96" customFormat="false" ht="15" hidden="false" customHeight="false" outlineLevel="0" collapsed="false">
      <c r="A96" s="9"/>
      <c r="B96" s="9"/>
      <c r="C96" s="18" t="str">
        <f aca="false">IF(B96="","",IFERROR(INDEX(LOOKAHEAD!$B$5:$B$204,MATCH(B96,LOOKAHEAD!$A$5:$A$204,0)),"ID no existe"))</f>
        <v/>
      </c>
      <c r="D96" s="27" t="str">
        <f aca="false">IF(B96="","",IFERROR(INDEX(LOOKAHEAD!$I$5:$I$204,MATCH(B96,LOOKAHEAD!$A$5:$A$204,0)),""))</f>
        <v/>
      </c>
      <c r="E96" s="9"/>
      <c r="F96" s="9"/>
      <c r="G96" s="9"/>
      <c r="H96" s="14"/>
      <c r="I96" s="27" t="str">
        <f aca="false">IF(OR(D96="",D96=0),"",D96-$D$2)</f>
        <v/>
      </c>
      <c r="J96" s="14"/>
      <c r="K96" s="14"/>
      <c r="L96" s="16" t="str">
        <f aca="false">IF(B96="","",IF(K96&lt;&gt;"","Liberado","Pendiente"))</f>
        <v/>
      </c>
      <c r="M96" s="16" t="str">
        <f aca="true">IF(B96="","",IF(L96="Liberado",IF(OR(I96="",K96&lt;=I96),"A tiempo","Liberada tarde"),IF(J96="","Sin compromiso",IF(TODAY()&gt;J96,"VENCIDA",IF(AND(I96&lt;&gt;"",J96&gt;I96),"En riesgo","En gestión")))))</f>
        <v/>
      </c>
      <c r="N96" s="15" t="str">
        <f aca="false">IF(OR(B96="",I96=""),"",IF(K96&lt;&gt;"",I96-K96,IF(J96&lt;&gt;"",I96-J96,"")))</f>
        <v/>
      </c>
      <c r="O96" s="9"/>
    </row>
    <row r="97" customFormat="false" ht="15" hidden="false" customHeight="false" outlineLevel="0" collapsed="false">
      <c r="A97" s="9"/>
      <c r="B97" s="9"/>
      <c r="C97" s="18" t="str">
        <f aca="false">IF(B97="","",IFERROR(INDEX(LOOKAHEAD!$B$5:$B$204,MATCH(B97,LOOKAHEAD!$A$5:$A$204,0)),"ID no existe"))</f>
        <v/>
      </c>
      <c r="D97" s="27" t="str">
        <f aca="false">IF(B97="","",IFERROR(INDEX(LOOKAHEAD!$I$5:$I$204,MATCH(B97,LOOKAHEAD!$A$5:$A$204,0)),""))</f>
        <v/>
      </c>
      <c r="E97" s="9"/>
      <c r="F97" s="9"/>
      <c r="G97" s="9"/>
      <c r="H97" s="14"/>
      <c r="I97" s="27" t="str">
        <f aca="false">IF(OR(D97="",D97=0),"",D97-$D$2)</f>
        <v/>
      </c>
      <c r="J97" s="14"/>
      <c r="K97" s="14"/>
      <c r="L97" s="16" t="str">
        <f aca="false">IF(B97="","",IF(K97&lt;&gt;"","Liberado","Pendiente"))</f>
        <v/>
      </c>
      <c r="M97" s="16" t="str">
        <f aca="true">IF(B97="","",IF(L97="Liberado",IF(OR(I97="",K97&lt;=I97),"A tiempo","Liberada tarde"),IF(J97="","Sin compromiso",IF(TODAY()&gt;J97,"VENCIDA",IF(AND(I97&lt;&gt;"",J97&gt;I97),"En riesgo","En gestión")))))</f>
        <v/>
      </c>
      <c r="N97" s="15" t="str">
        <f aca="false">IF(OR(B97="",I97=""),"",IF(K97&lt;&gt;"",I97-K97,IF(J97&lt;&gt;"",I97-J97,"")))</f>
        <v/>
      </c>
      <c r="O97" s="9"/>
    </row>
    <row r="98" customFormat="false" ht="15" hidden="false" customHeight="false" outlineLevel="0" collapsed="false">
      <c r="A98" s="9"/>
      <c r="B98" s="9"/>
      <c r="C98" s="18" t="str">
        <f aca="false">IF(B98="","",IFERROR(INDEX(LOOKAHEAD!$B$5:$B$204,MATCH(B98,LOOKAHEAD!$A$5:$A$204,0)),"ID no existe"))</f>
        <v/>
      </c>
      <c r="D98" s="27" t="str">
        <f aca="false">IF(B98="","",IFERROR(INDEX(LOOKAHEAD!$I$5:$I$204,MATCH(B98,LOOKAHEAD!$A$5:$A$204,0)),""))</f>
        <v/>
      </c>
      <c r="E98" s="9"/>
      <c r="F98" s="9"/>
      <c r="G98" s="9"/>
      <c r="H98" s="14"/>
      <c r="I98" s="27" t="str">
        <f aca="false">IF(OR(D98="",D98=0),"",D98-$D$2)</f>
        <v/>
      </c>
      <c r="J98" s="14"/>
      <c r="K98" s="14"/>
      <c r="L98" s="16" t="str">
        <f aca="false">IF(B98="","",IF(K98&lt;&gt;"","Liberado","Pendiente"))</f>
        <v/>
      </c>
      <c r="M98" s="16" t="str">
        <f aca="true">IF(B98="","",IF(L98="Liberado",IF(OR(I98="",K98&lt;=I98),"A tiempo","Liberada tarde"),IF(J98="","Sin compromiso",IF(TODAY()&gt;J98,"VENCIDA",IF(AND(I98&lt;&gt;"",J98&gt;I98),"En riesgo","En gestión")))))</f>
        <v/>
      </c>
      <c r="N98" s="15" t="str">
        <f aca="false">IF(OR(B98="",I98=""),"",IF(K98&lt;&gt;"",I98-K98,IF(J98&lt;&gt;"",I98-J98,"")))</f>
        <v/>
      </c>
      <c r="O98" s="9"/>
    </row>
    <row r="99" customFormat="false" ht="15" hidden="false" customHeight="false" outlineLevel="0" collapsed="false">
      <c r="A99" s="9"/>
      <c r="B99" s="9"/>
      <c r="C99" s="18" t="str">
        <f aca="false">IF(B99="","",IFERROR(INDEX(LOOKAHEAD!$B$5:$B$204,MATCH(B99,LOOKAHEAD!$A$5:$A$204,0)),"ID no existe"))</f>
        <v/>
      </c>
      <c r="D99" s="27" t="str">
        <f aca="false">IF(B99="","",IFERROR(INDEX(LOOKAHEAD!$I$5:$I$204,MATCH(B99,LOOKAHEAD!$A$5:$A$204,0)),""))</f>
        <v/>
      </c>
      <c r="E99" s="9"/>
      <c r="F99" s="9"/>
      <c r="G99" s="9"/>
      <c r="H99" s="14"/>
      <c r="I99" s="27" t="str">
        <f aca="false">IF(OR(D99="",D99=0),"",D99-$D$2)</f>
        <v/>
      </c>
      <c r="J99" s="14"/>
      <c r="K99" s="14"/>
      <c r="L99" s="16" t="str">
        <f aca="false">IF(B99="","",IF(K99&lt;&gt;"","Liberado","Pendiente"))</f>
        <v/>
      </c>
      <c r="M99" s="16" t="str">
        <f aca="true">IF(B99="","",IF(L99="Liberado",IF(OR(I99="",K99&lt;=I99),"A tiempo","Liberada tarde"),IF(J99="","Sin compromiso",IF(TODAY()&gt;J99,"VENCIDA",IF(AND(I99&lt;&gt;"",J99&gt;I99),"En riesgo","En gestión")))))</f>
        <v/>
      </c>
      <c r="N99" s="15" t="str">
        <f aca="false">IF(OR(B99="",I99=""),"",IF(K99&lt;&gt;"",I99-K99,IF(J99&lt;&gt;"",I99-J99,"")))</f>
        <v/>
      </c>
      <c r="O99" s="9"/>
    </row>
    <row r="100" customFormat="false" ht="15" hidden="false" customHeight="false" outlineLevel="0" collapsed="false">
      <c r="A100" s="9"/>
      <c r="B100" s="9"/>
      <c r="C100" s="18" t="str">
        <f aca="false">IF(B100="","",IFERROR(INDEX(LOOKAHEAD!$B$5:$B$204,MATCH(B100,LOOKAHEAD!$A$5:$A$204,0)),"ID no existe"))</f>
        <v/>
      </c>
      <c r="D100" s="27" t="str">
        <f aca="false">IF(B100="","",IFERROR(INDEX(LOOKAHEAD!$I$5:$I$204,MATCH(B100,LOOKAHEAD!$A$5:$A$204,0)),""))</f>
        <v/>
      </c>
      <c r="E100" s="9"/>
      <c r="F100" s="9"/>
      <c r="G100" s="9"/>
      <c r="H100" s="14"/>
      <c r="I100" s="27" t="str">
        <f aca="false">IF(OR(D100="",D100=0),"",D100-$D$2)</f>
        <v/>
      </c>
      <c r="J100" s="14"/>
      <c r="K100" s="14"/>
      <c r="L100" s="16" t="str">
        <f aca="false">IF(B100="","",IF(K100&lt;&gt;"","Liberado","Pendiente"))</f>
        <v/>
      </c>
      <c r="M100" s="16" t="str">
        <f aca="true">IF(B100="","",IF(L100="Liberado",IF(OR(I100="",K100&lt;=I100),"A tiempo","Liberada tarde"),IF(J100="","Sin compromiso",IF(TODAY()&gt;J100,"VENCIDA",IF(AND(I100&lt;&gt;"",J100&gt;I100),"En riesgo","En gestión")))))</f>
        <v/>
      </c>
      <c r="N100" s="15" t="str">
        <f aca="false">IF(OR(B100="",I100=""),"",IF(K100&lt;&gt;"",I100-K100,IF(J100&lt;&gt;"",I100-J100,"")))</f>
        <v/>
      </c>
      <c r="O100" s="9"/>
    </row>
    <row r="101" customFormat="false" ht="15" hidden="false" customHeight="false" outlineLevel="0" collapsed="false">
      <c r="A101" s="9"/>
      <c r="B101" s="9"/>
      <c r="C101" s="18" t="str">
        <f aca="false">IF(B101="","",IFERROR(INDEX(LOOKAHEAD!$B$5:$B$204,MATCH(B101,LOOKAHEAD!$A$5:$A$204,0)),"ID no existe"))</f>
        <v/>
      </c>
      <c r="D101" s="27" t="str">
        <f aca="false">IF(B101="","",IFERROR(INDEX(LOOKAHEAD!$I$5:$I$204,MATCH(B101,LOOKAHEAD!$A$5:$A$204,0)),""))</f>
        <v/>
      </c>
      <c r="E101" s="9"/>
      <c r="F101" s="9"/>
      <c r="G101" s="9"/>
      <c r="H101" s="14"/>
      <c r="I101" s="27" t="str">
        <f aca="false">IF(OR(D101="",D101=0),"",D101-$D$2)</f>
        <v/>
      </c>
      <c r="J101" s="14"/>
      <c r="K101" s="14"/>
      <c r="L101" s="16" t="str">
        <f aca="false">IF(B101="","",IF(K101&lt;&gt;"","Liberado","Pendiente"))</f>
        <v/>
      </c>
      <c r="M101" s="16" t="str">
        <f aca="true">IF(B101="","",IF(L101="Liberado",IF(OR(I101="",K101&lt;=I101),"A tiempo","Liberada tarde"),IF(J101="","Sin compromiso",IF(TODAY()&gt;J101,"VENCIDA",IF(AND(I101&lt;&gt;"",J101&gt;I101),"En riesgo","En gestión")))))</f>
        <v/>
      </c>
      <c r="N101" s="15" t="str">
        <f aca="false">IF(OR(B101="",I101=""),"",IF(K101&lt;&gt;"",I101-K101,IF(J101&lt;&gt;"",I101-J101,"")))</f>
        <v/>
      </c>
      <c r="O101" s="9"/>
    </row>
    <row r="102" customFormat="false" ht="15" hidden="false" customHeight="false" outlineLevel="0" collapsed="false">
      <c r="A102" s="9"/>
      <c r="B102" s="9"/>
      <c r="C102" s="18" t="str">
        <f aca="false">IF(B102="","",IFERROR(INDEX(LOOKAHEAD!$B$5:$B$204,MATCH(B102,LOOKAHEAD!$A$5:$A$204,0)),"ID no existe"))</f>
        <v/>
      </c>
      <c r="D102" s="27" t="str">
        <f aca="false">IF(B102="","",IFERROR(INDEX(LOOKAHEAD!$I$5:$I$204,MATCH(B102,LOOKAHEAD!$A$5:$A$204,0)),""))</f>
        <v/>
      </c>
      <c r="E102" s="9"/>
      <c r="F102" s="9"/>
      <c r="G102" s="9"/>
      <c r="H102" s="14"/>
      <c r="I102" s="27" t="str">
        <f aca="false">IF(OR(D102="",D102=0),"",D102-$D$2)</f>
        <v/>
      </c>
      <c r="J102" s="14"/>
      <c r="K102" s="14"/>
      <c r="L102" s="16" t="str">
        <f aca="false">IF(B102="","",IF(K102&lt;&gt;"","Liberado","Pendiente"))</f>
        <v/>
      </c>
      <c r="M102" s="16" t="str">
        <f aca="true">IF(B102="","",IF(L102="Liberado",IF(OR(I102="",K102&lt;=I102),"A tiempo","Liberada tarde"),IF(J102="","Sin compromiso",IF(TODAY()&gt;J102,"VENCIDA",IF(AND(I102&lt;&gt;"",J102&gt;I102),"En riesgo","En gestión")))))</f>
        <v/>
      </c>
      <c r="N102" s="15" t="str">
        <f aca="false">IF(OR(B102="",I102=""),"",IF(K102&lt;&gt;"",I102-K102,IF(J102&lt;&gt;"",I102-J102,"")))</f>
        <v/>
      </c>
      <c r="O102" s="9"/>
    </row>
    <row r="103" customFormat="false" ht="15" hidden="false" customHeight="false" outlineLevel="0" collapsed="false">
      <c r="A103" s="9"/>
      <c r="B103" s="9"/>
      <c r="C103" s="18" t="str">
        <f aca="false">IF(B103="","",IFERROR(INDEX(LOOKAHEAD!$B$5:$B$204,MATCH(B103,LOOKAHEAD!$A$5:$A$204,0)),"ID no existe"))</f>
        <v/>
      </c>
      <c r="D103" s="27" t="str">
        <f aca="false">IF(B103="","",IFERROR(INDEX(LOOKAHEAD!$I$5:$I$204,MATCH(B103,LOOKAHEAD!$A$5:$A$204,0)),""))</f>
        <v/>
      </c>
      <c r="E103" s="9"/>
      <c r="F103" s="9"/>
      <c r="G103" s="9"/>
      <c r="H103" s="14"/>
      <c r="I103" s="27" t="str">
        <f aca="false">IF(OR(D103="",D103=0),"",D103-$D$2)</f>
        <v/>
      </c>
      <c r="J103" s="14"/>
      <c r="K103" s="14"/>
      <c r="L103" s="16" t="str">
        <f aca="false">IF(B103="","",IF(K103&lt;&gt;"","Liberado","Pendiente"))</f>
        <v/>
      </c>
      <c r="M103" s="16" t="str">
        <f aca="true">IF(B103="","",IF(L103="Liberado",IF(OR(I103="",K103&lt;=I103),"A tiempo","Liberada tarde"),IF(J103="","Sin compromiso",IF(TODAY()&gt;J103,"VENCIDA",IF(AND(I103&lt;&gt;"",J103&gt;I103),"En riesgo","En gestión")))))</f>
        <v/>
      </c>
      <c r="N103" s="15" t="str">
        <f aca="false">IF(OR(B103="",I103=""),"",IF(K103&lt;&gt;"",I103-K103,IF(J103&lt;&gt;"",I103-J103,"")))</f>
        <v/>
      </c>
      <c r="O103" s="9"/>
    </row>
    <row r="104" customFormat="false" ht="15" hidden="false" customHeight="false" outlineLevel="0" collapsed="false">
      <c r="A104" s="9"/>
      <c r="B104" s="9"/>
      <c r="C104" s="18" t="str">
        <f aca="false">IF(B104="","",IFERROR(INDEX(LOOKAHEAD!$B$5:$B$204,MATCH(B104,LOOKAHEAD!$A$5:$A$204,0)),"ID no existe"))</f>
        <v/>
      </c>
      <c r="D104" s="27" t="str">
        <f aca="false">IF(B104="","",IFERROR(INDEX(LOOKAHEAD!$I$5:$I$204,MATCH(B104,LOOKAHEAD!$A$5:$A$204,0)),""))</f>
        <v/>
      </c>
      <c r="E104" s="9"/>
      <c r="F104" s="9"/>
      <c r="G104" s="9"/>
      <c r="H104" s="14"/>
      <c r="I104" s="27" t="str">
        <f aca="false">IF(OR(D104="",D104=0),"",D104-$D$2)</f>
        <v/>
      </c>
      <c r="J104" s="14"/>
      <c r="K104" s="14"/>
      <c r="L104" s="16" t="str">
        <f aca="false">IF(B104="","",IF(K104&lt;&gt;"","Liberado","Pendiente"))</f>
        <v/>
      </c>
      <c r="M104" s="16" t="str">
        <f aca="true">IF(B104="","",IF(L104="Liberado",IF(OR(I104="",K104&lt;=I104),"A tiempo","Liberada tarde"),IF(J104="","Sin compromiso",IF(TODAY()&gt;J104,"VENCIDA",IF(AND(I104&lt;&gt;"",J104&gt;I104),"En riesgo","En gestión")))))</f>
        <v/>
      </c>
      <c r="N104" s="15" t="str">
        <f aca="false">IF(OR(B104="",I104=""),"",IF(K104&lt;&gt;"",I104-K104,IF(J104&lt;&gt;"",I104-J104,"")))</f>
        <v/>
      </c>
      <c r="O104" s="9"/>
    </row>
    <row r="105" customFormat="false" ht="15" hidden="false" customHeight="false" outlineLevel="0" collapsed="false">
      <c r="A105" s="9"/>
      <c r="B105" s="9"/>
      <c r="C105" s="18" t="str">
        <f aca="false">IF(B105="","",IFERROR(INDEX(LOOKAHEAD!$B$5:$B$204,MATCH(B105,LOOKAHEAD!$A$5:$A$204,0)),"ID no existe"))</f>
        <v/>
      </c>
      <c r="D105" s="27" t="str">
        <f aca="false">IF(B105="","",IFERROR(INDEX(LOOKAHEAD!$I$5:$I$204,MATCH(B105,LOOKAHEAD!$A$5:$A$204,0)),""))</f>
        <v/>
      </c>
      <c r="E105" s="9"/>
      <c r="F105" s="9"/>
      <c r="G105" s="9"/>
      <c r="H105" s="14"/>
      <c r="I105" s="27" t="str">
        <f aca="false">IF(OR(D105="",D105=0),"",D105-$D$2)</f>
        <v/>
      </c>
      <c r="J105" s="14"/>
      <c r="K105" s="14"/>
      <c r="L105" s="16" t="str">
        <f aca="false">IF(B105="","",IF(K105&lt;&gt;"","Liberado","Pendiente"))</f>
        <v/>
      </c>
      <c r="M105" s="16" t="str">
        <f aca="true">IF(B105="","",IF(L105="Liberado",IF(OR(I105="",K105&lt;=I105),"A tiempo","Liberada tarde"),IF(J105="","Sin compromiso",IF(TODAY()&gt;J105,"VENCIDA",IF(AND(I105&lt;&gt;"",J105&gt;I105),"En riesgo","En gestión")))))</f>
        <v/>
      </c>
      <c r="N105" s="15" t="str">
        <f aca="false">IF(OR(B105="",I105=""),"",IF(K105&lt;&gt;"",I105-K105,IF(J105&lt;&gt;"",I105-J105,"")))</f>
        <v/>
      </c>
      <c r="O105" s="9"/>
    </row>
    <row r="106" customFormat="false" ht="15" hidden="false" customHeight="false" outlineLevel="0" collapsed="false">
      <c r="A106" s="9"/>
      <c r="B106" s="9"/>
      <c r="C106" s="18" t="str">
        <f aca="false">IF(B106="","",IFERROR(INDEX(LOOKAHEAD!$B$5:$B$204,MATCH(B106,LOOKAHEAD!$A$5:$A$204,0)),"ID no existe"))</f>
        <v/>
      </c>
      <c r="D106" s="27" t="str">
        <f aca="false">IF(B106="","",IFERROR(INDEX(LOOKAHEAD!$I$5:$I$204,MATCH(B106,LOOKAHEAD!$A$5:$A$204,0)),""))</f>
        <v/>
      </c>
      <c r="E106" s="9"/>
      <c r="F106" s="9"/>
      <c r="G106" s="9"/>
      <c r="H106" s="14"/>
      <c r="I106" s="27" t="str">
        <f aca="false">IF(OR(D106="",D106=0),"",D106-$D$2)</f>
        <v/>
      </c>
      <c r="J106" s="14"/>
      <c r="K106" s="14"/>
      <c r="L106" s="16" t="str">
        <f aca="false">IF(B106="","",IF(K106&lt;&gt;"","Liberado","Pendiente"))</f>
        <v/>
      </c>
      <c r="M106" s="16" t="str">
        <f aca="true">IF(B106="","",IF(L106="Liberado",IF(OR(I106="",K106&lt;=I106),"A tiempo","Liberada tarde"),IF(J106="","Sin compromiso",IF(TODAY()&gt;J106,"VENCIDA",IF(AND(I106&lt;&gt;"",J106&gt;I106),"En riesgo","En gestión")))))</f>
        <v/>
      </c>
      <c r="N106" s="15" t="str">
        <f aca="false">IF(OR(B106="",I106=""),"",IF(K106&lt;&gt;"",I106-K106,IF(J106&lt;&gt;"",I106-J106,"")))</f>
        <v/>
      </c>
      <c r="O106" s="9"/>
    </row>
    <row r="107" customFormat="false" ht="15" hidden="false" customHeight="false" outlineLevel="0" collapsed="false">
      <c r="A107" s="9"/>
      <c r="B107" s="9"/>
      <c r="C107" s="18" t="str">
        <f aca="false">IF(B107="","",IFERROR(INDEX(LOOKAHEAD!$B$5:$B$204,MATCH(B107,LOOKAHEAD!$A$5:$A$204,0)),"ID no existe"))</f>
        <v/>
      </c>
      <c r="D107" s="27" t="str">
        <f aca="false">IF(B107="","",IFERROR(INDEX(LOOKAHEAD!$I$5:$I$204,MATCH(B107,LOOKAHEAD!$A$5:$A$204,0)),""))</f>
        <v/>
      </c>
      <c r="E107" s="9"/>
      <c r="F107" s="9"/>
      <c r="G107" s="9"/>
      <c r="H107" s="14"/>
      <c r="I107" s="27" t="str">
        <f aca="false">IF(OR(D107="",D107=0),"",D107-$D$2)</f>
        <v/>
      </c>
      <c r="J107" s="14"/>
      <c r="K107" s="14"/>
      <c r="L107" s="16" t="str">
        <f aca="false">IF(B107="","",IF(K107&lt;&gt;"","Liberado","Pendiente"))</f>
        <v/>
      </c>
      <c r="M107" s="16" t="str">
        <f aca="true">IF(B107="","",IF(L107="Liberado",IF(OR(I107="",K107&lt;=I107),"A tiempo","Liberada tarde"),IF(J107="","Sin compromiso",IF(TODAY()&gt;J107,"VENCIDA",IF(AND(I107&lt;&gt;"",J107&gt;I107),"En riesgo","En gestión")))))</f>
        <v/>
      </c>
      <c r="N107" s="15" t="str">
        <f aca="false">IF(OR(B107="",I107=""),"",IF(K107&lt;&gt;"",I107-K107,IF(J107&lt;&gt;"",I107-J107,"")))</f>
        <v/>
      </c>
      <c r="O107" s="9"/>
    </row>
    <row r="108" customFormat="false" ht="15" hidden="false" customHeight="false" outlineLevel="0" collapsed="false">
      <c r="A108" s="9"/>
      <c r="B108" s="9"/>
      <c r="C108" s="18" t="str">
        <f aca="false">IF(B108="","",IFERROR(INDEX(LOOKAHEAD!$B$5:$B$204,MATCH(B108,LOOKAHEAD!$A$5:$A$204,0)),"ID no existe"))</f>
        <v/>
      </c>
      <c r="D108" s="27" t="str">
        <f aca="false">IF(B108="","",IFERROR(INDEX(LOOKAHEAD!$I$5:$I$204,MATCH(B108,LOOKAHEAD!$A$5:$A$204,0)),""))</f>
        <v/>
      </c>
      <c r="E108" s="9"/>
      <c r="F108" s="9"/>
      <c r="G108" s="9"/>
      <c r="H108" s="14"/>
      <c r="I108" s="27" t="str">
        <f aca="false">IF(OR(D108="",D108=0),"",D108-$D$2)</f>
        <v/>
      </c>
      <c r="J108" s="14"/>
      <c r="K108" s="14"/>
      <c r="L108" s="16" t="str">
        <f aca="false">IF(B108="","",IF(K108&lt;&gt;"","Liberado","Pendiente"))</f>
        <v/>
      </c>
      <c r="M108" s="16" t="str">
        <f aca="true">IF(B108="","",IF(L108="Liberado",IF(OR(I108="",K108&lt;=I108),"A tiempo","Liberada tarde"),IF(J108="","Sin compromiso",IF(TODAY()&gt;J108,"VENCIDA",IF(AND(I108&lt;&gt;"",J108&gt;I108),"En riesgo","En gestión")))))</f>
        <v/>
      </c>
      <c r="N108" s="15" t="str">
        <f aca="false">IF(OR(B108="",I108=""),"",IF(K108&lt;&gt;"",I108-K108,IF(J108&lt;&gt;"",I108-J108,"")))</f>
        <v/>
      </c>
      <c r="O108" s="9"/>
    </row>
    <row r="109" customFormat="false" ht="15" hidden="false" customHeight="false" outlineLevel="0" collapsed="false">
      <c r="A109" s="9"/>
      <c r="B109" s="9"/>
      <c r="C109" s="18" t="str">
        <f aca="false">IF(B109="","",IFERROR(INDEX(LOOKAHEAD!$B$5:$B$204,MATCH(B109,LOOKAHEAD!$A$5:$A$204,0)),"ID no existe"))</f>
        <v/>
      </c>
      <c r="D109" s="27" t="str">
        <f aca="false">IF(B109="","",IFERROR(INDEX(LOOKAHEAD!$I$5:$I$204,MATCH(B109,LOOKAHEAD!$A$5:$A$204,0)),""))</f>
        <v/>
      </c>
      <c r="E109" s="9"/>
      <c r="F109" s="9"/>
      <c r="G109" s="9"/>
      <c r="H109" s="14"/>
      <c r="I109" s="27" t="str">
        <f aca="false">IF(OR(D109="",D109=0),"",D109-$D$2)</f>
        <v/>
      </c>
      <c r="J109" s="14"/>
      <c r="K109" s="14"/>
      <c r="L109" s="16" t="str">
        <f aca="false">IF(B109="","",IF(K109&lt;&gt;"","Liberado","Pendiente"))</f>
        <v/>
      </c>
      <c r="M109" s="16" t="str">
        <f aca="true">IF(B109="","",IF(L109="Liberado",IF(OR(I109="",K109&lt;=I109),"A tiempo","Liberada tarde"),IF(J109="","Sin compromiso",IF(TODAY()&gt;J109,"VENCIDA",IF(AND(I109&lt;&gt;"",J109&gt;I109),"En riesgo","En gestión")))))</f>
        <v/>
      </c>
      <c r="N109" s="15" t="str">
        <f aca="false">IF(OR(B109="",I109=""),"",IF(K109&lt;&gt;"",I109-K109,IF(J109&lt;&gt;"",I109-J109,"")))</f>
        <v/>
      </c>
      <c r="O109" s="9"/>
    </row>
    <row r="110" customFormat="false" ht="15" hidden="false" customHeight="false" outlineLevel="0" collapsed="false">
      <c r="A110" s="9"/>
      <c r="B110" s="9"/>
      <c r="C110" s="18" t="str">
        <f aca="false">IF(B110="","",IFERROR(INDEX(LOOKAHEAD!$B$5:$B$204,MATCH(B110,LOOKAHEAD!$A$5:$A$204,0)),"ID no existe"))</f>
        <v/>
      </c>
      <c r="D110" s="27" t="str">
        <f aca="false">IF(B110="","",IFERROR(INDEX(LOOKAHEAD!$I$5:$I$204,MATCH(B110,LOOKAHEAD!$A$5:$A$204,0)),""))</f>
        <v/>
      </c>
      <c r="E110" s="9"/>
      <c r="F110" s="9"/>
      <c r="G110" s="9"/>
      <c r="H110" s="14"/>
      <c r="I110" s="27" t="str">
        <f aca="false">IF(OR(D110="",D110=0),"",D110-$D$2)</f>
        <v/>
      </c>
      <c r="J110" s="14"/>
      <c r="K110" s="14"/>
      <c r="L110" s="16" t="str">
        <f aca="false">IF(B110="","",IF(K110&lt;&gt;"","Liberado","Pendiente"))</f>
        <v/>
      </c>
      <c r="M110" s="16" t="str">
        <f aca="true">IF(B110="","",IF(L110="Liberado",IF(OR(I110="",K110&lt;=I110),"A tiempo","Liberada tarde"),IF(J110="","Sin compromiso",IF(TODAY()&gt;J110,"VENCIDA",IF(AND(I110&lt;&gt;"",J110&gt;I110),"En riesgo","En gestión")))))</f>
        <v/>
      </c>
      <c r="N110" s="15" t="str">
        <f aca="false">IF(OR(B110="",I110=""),"",IF(K110&lt;&gt;"",I110-K110,IF(J110&lt;&gt;"",I110-J110,"")))</f>
        <v/>
      </c>
      <c r="O110" s="9"/>
    </row>
    <row r="111" customFormat="false" ht="15" hidden="false" customHeight="false" outlineLevel="0" collapsed="false">
      <c r="A111" s="9"/>
      <c r="B111" s="9"/>
      <c r="C111" s="18" t="str">
        <f aca="false">IF(B111="","",IFERROR(INDEX(LOOKAHEAD!$B$5:$B$204,MATCH(B111,LOOKAHEAD!$A$5:$A$204,0)),"ID no existe"))</f>
        <v/>
      </c>
      <c r="D111" s="27" t="str">
        <f aca="false">IF(B111="","",IFERROR(INDEX(LOOKAHEAD!$I$5:$I$204,MATCH(B111,LOOKAHEAD!$A$5:$A$204,0)),""))</f>
        <v/>
      </c>
      <c r="E111" s="9"/>
      <c r="F111" s="9"/>
      <c r="G111" s="9"/>
      <c r="H111" s="14"/>
      <c r="I111" s="27" t="str">
        <f aca="false">IF(OR(D111="",D111=0),"",D111-$D$2)</f>
        <v/>
      </c>
      <c r="J111" s="14"/>
      <c r="K111" s="14"/>
      <c r="L111" s="16" t="str">
        <f aca="false">IF(B111="","",IF(K111&lt;&gt;"","Liberado","Pendiente"))</f>
        <v/>
      </c>
      <c r="M111" s="16" t="str">
        <f aca="true">IF(B111="","",IF(L111="Liberado",IF(OR(I111="",K111&lt;=I111),"A tiempo","Liberada tarde"),IF(J111="","Sin compromiso",IF(TODAY()&gt;J111,"VENCIDA",IF(AND(I111&lt;&gt;"",J111&gt;I111),"En riesgo","En gestión")))))</f>
        <v/>
      </c>
      <c r="N111" s="15" t="str">
        <f aca="false">IF(OR(B111="",I111=""),"",IF(K111&lt;&gt;"",I111-K111,IF(J111&lt;&gt;"",I111-J111,"")))</f>
        <v/>
      </c>
      <c r="O111" s="9"/>
    </row>
    <row r="112" customFormat="false" ht="15" hidden="false" customHeight="false" outlineLevel="0" collapsed="false">
      <c r="A112" s="9"/>
      <c r="B112" s="9"/>
      <c r="C112" s="18" t="str">
        <f aca="false">IF(B112="","",IFERROR(INDEX(LOOKAHEAD!$B$5:$B$204,MATCH(B112,LOOKAHEAD!$A$5:$A$204,0)),"ID no existe"))</f>
        <v/>
      </c>
      <c r="D112" s="27" t="str">
        <f aca="false">IF(B112="","",IFERROR(INDEX(LOOKAHEAD!$I$5:$I$204,MATCH(B112,LOOKAHEAD!$A$5:$A$204,0)),""))</f>
        <v/>
      </c>
      <c r="E112" s="9"/>
      <c r="F112" s="9"/>
      <c r="G112" s="9"/>
      <c r="H112" s="14"/>
      <c r="I112" s="27" t="str">
        <f aca="false">IF(OR(D112="",D112=0),"",D112-$D$2)</f>
        <v/>
      </c>
      <c r="J112" s="14"/>
      <c r="K112" s="14"/>
      <c r="L112" s="16" t="str">
        <f aca="false">IF(B112="","",IF(K112&lt;&gt;"","Liberado","Pendiente"))</f>
        <v/>
      </c>
      <c r="M112" s="16" t="str">
        <f aca="true">IF(B112="","",IF(L112="Liberado",IF(OR(I112="",K112&lt;=I112),"A tiempo","Liberada tarde"),IF(J112="","Sin compromiso",IF(TODAY()&gt;J112,"VENCIDA",IF(AND(I112&lt;&gt;"",J112&gt;I112),"En riesgo","En gestión")))))</f>
        <v/>
      </c>
      <c r="N112" s="15" t="str">
        <f aca="false">IF(OR(B112="",I112=""),"",IF(K112&lt;&gt;"",I112-K112,IF(J112&lt;&gt;"",I112-J112,"")))</f>
        <v/>
      </c>
      <c r="O112" s="9"/>
    </row>
    <row r="113" customFormat="false" ht="15" hidden="false" customHeight="false" outlineLevel="0" collapsed="false">
      <c r="A113" s="9"/>
      <c r="B113" s="9"/>
      <c r="C113" s="18" t="str">
        <f aca="false">IF(B113="","",IFERROR(INDEX(LOOKAHEAD!$B$5:$B$204,MATCH(B113,LOOKAHEAD!$A$5:$A$204,0)),"ID no existe"))</f>
        <v/>
      </c>
      <c r="D113" s="27" t="str">
        <f aca="false">IF(B113="","",IFERROR(INDEX(LOOKAHEAD!$I$5:$I$204,MATCH(B113,LOOKAHEAD!$A$5:$A$204,0)),""))</f>
        <v/>
      </c>
      <c r="E113" s="9"/>
      <c r="F113" s="9"/>
      <c r="G113" s="9"/>
      <c r="H113" s="14"/>
      <c r="I113" s="27" t="str">
        <f aca="false">IF(OR(D113="",D113=0),"",D113-$D$2)</f>
        <v/>
      </c>
      <c r="J113" s="14"/>
      <c r="K113" s="14"/>
      <c r="L113" s="16" t="str">
        <f aca="false">IF(B113="","",IF(K113&lt;&gt;"","Liberado","Pendiente"))</f>
        <v/>
      </c>
      <c r="M113" s="16" t="str">
        <f aca="true">IF(B113="","",IF(L113="Liberado",IF(OR(I113="",K113&lt;=I113),"A tiempo","Liberada tarde"),IF(J113="","Sin compromiso",IF(TODAY()&gt;J113,"VENCIDA",IF(AND(I113&lt;&gt;"",J113&gt;I113),"En riesgo","En gestión")))))</f>
        <v/>
      </c>
      <c r="N113" s="15" t="str">
        <f aca="false">IF(OR(B113="",I113=""),"",IF(K113&lt;&gt;"",I113-K113,IF(J113&lt;&gt;"",I113-J113,"")))</f>
        <v/>
      </c>
      <c r="O113" s="9"/>
    </row>
    <row r="114" customFormat="false" ht="15" hidden="false" customHeight="false" outlineLevel="0" collapsed="false">
      <c r="A114" s="9"/>
      <c r="B114" s="9"/>
      <c r="C114" s="18" t="str">
        <f aca="false">IF(B114="","",IFERROR(INDEX(LOOKAHEAD!$B$5:$B$204,MATCH(B114,LOOKAHEAD!$A$5:$A$204,0)),"ID no existe"))</f>
        <v/>
      </c>
      <c r="D114" s="27" t="str">
        <f aca="false">IF(B114="","",IFERROR(INDEX(LOOKAHEAD!$I$5:$I$204,MATCH(B114,LOOKAHEAD!$A$5:$A$204,0)),""))</f>
        <v/>
      </c>
      <c r="E114" s="9"/>
      <c r="F114" s="9"/>
      <c r="G114" s="9"/>
      <c r="H114" s="14"/>
      <c r="I114" s="27" t="str">
        <f aca="false">IF(OR(D114="",D114=0),"",D114-$D$2)</f>
        <v/>
      </c>
      <c r="J114" s="14"/>
      <c r="K114" s="14"/>
      <c r="L114" s="16" t="str">
        <f aca="false">IF(B114="","",IF(K114&lt;&gt;"","Liberado","Pendiente"))</f>
        <v/>
      </c>
      <c r="M114" s="16" t="str">
        <f aca="true">IF(B114="","",IF(L114="Liberado",IF(OR(I114="",K114&lt;=I114),"A tiempo","Liberada tarde"),IF(J114="","Sin compromiso",IF(TODAY()&gt;J114,"VENCIDA",IF(AND(I114&lt;&gt;"",J114&gt;I114),"En riesgo","En gestión")))))</f>
        <v/>
      </c>
      <c r="N114" s="15" t="str">
        <f aca="false">IF(OR(B114="",I114=""),"",IF(K114&lt;&gt;"",I114-K114,IF(J114&lt;&gt;"",I114-J114,"")))</f>
        <v/>
      </c>
      <c r="O114" s="9"/>
    </row>
    <row r="115" customFormat="false" ht="15" hidden="false" customHeight="false" outlineLevel="0" collapsed="false">
      <c r="A115" s="9"/>
      <c r="B115" s="9"/>
      <c r="C115" s="18" t="str">
        <f aca="false">IF(B115="","",IFERROR(INDEX(LOOKAHEAD!$B$5:$B$204,MATCH(B115,LOOKAHEAD!$A$5:$A$204,0)),"ID no existe"))</f>
        <v/>
      </c>
      <c r="D115" s="27" t="str">
        <f aca="false">IF(B115="","",IFERROR(INDEX(LOOKAHEAD!$I$5:$I$204,MATCH(B115,LOOKAHEAD!$A$5:$A$204,0)),""))</f>
        <v/>
      </c>
      <c r="E115" s="9"/>
      <c r="F115" s="9"/>
      <c r="G115" s="9"/>
      <c r="H115" s="14"/>
      <c r="I115" s="27" t="str">
        <f aca="false">IF(OR(D115="",D115=0),"",D115-$D$2)</f>
        <v/>
      </c>
      <c r="J115" s="14"/>
      <c r="K115" s="14"/>
      <c r="L115" s="16" t="str">
        <f aca="false">IF(B115="","",IF(K115&lt;&gt;"","Liberado","Pendiente"))</f>
        <v/>
      </c>
      <c r="M115" s="16" t="str">
        <f aca="true">IF(B115="","",IF(L115="Liberado",IF(OR(I115="",K115&lt;=I115),"A tiempo","Liberada tarde"),IF(J115="","Sin compromiso",IF(TODAY()&gt;J115,"VENCIDA",IF(AND(I115&lt;&gt;"",J115&gt;I115),"En riesgo","En gestión")))))</f>
        <v/>
      </c>
      <c r="N115" s="15" t="str">
        <f aca="false">IF(OR(B115="",I115=""),"",IF(K115&lt;&gt;"",I115-K115,IF(J115&lt;&gt;"",I115-J115,"")))</f>
        <v/>
      </c>
      <c r="O115" s="9"/>
    </row>
    <row r="116" customFormat="false" ht="15" hidden="false" customHeight="false" outlineLevel="0" collapsed="false">
      <c r="A116" s="9"/>
      <c r="B116" s="9"/>
      <c r="C116" s="18" t="str">
        <f aca="false">IF(B116="","",IFERROR(INDEX(LOOKAHEAD!$B$5:$B$204,MATCH(B116,LOOKAHEAD!$A$5:$A$204,0)),"ID no existe"))</f>
        <v/>
      </c>
      <c r="D116" s="27" t="str">
        <f aca="false">IF(B116="","",IFERROR(INDEX(LOOKAHEAD!$I$5:$I$204,MATCH(B116,LOOKAHEAD!$A$5:$A$204,0)),""))</f>
        <v/>
      </c>
      <c r="E116" s="9"/>
      <c r="F116" s="9"/>
      <c r="G116" s="9"/>
      <c r="H116" s="14"/>
      <c r="I116" s="27" t="str">
        <f aca="false">IF(OR(D116="",D116=0),"",D116-$D$2)</f>
        <v/>
      </c>
      <c r="J116" s="14"/>
      <c r="K116" s="14"/>
      <c r="L116" s="16" t="str">
        <f aca="false">IF(B116="","",IF(K116&lt;&gt;"","Liberado","Pendiente"))</f>
        <v/>
      </c>
      <c r="M116" s="16" t="str">
        <f aca="true">IF(B116="","",IF(L116="Liberado",IF(OR(I116="",K116&lt;=I116),"A tiempo","Liberada tarde"),IF(J116="","Sin compromiso",IF(TODAY()&gt;J116,"VENCIDA",IF(AND(I116&lt;&gt;"",J116&gt;I116),"En riesgo","En gestión")))))</f>
        <v/>
      </c>
      <c r="N116" s="15" t="str">
        <f aca="false">IF(OR(B116="",I116=""),"",IF(K116&lt;&gt;"",I116-K116,IF(J116&lt;&gt;"",I116-J116,"")))</f>
        <v/>
      </c>
      <c r="O116" s="9"/>
    </row>
    <row r="117" customFormat="false" ht="15" hidden="false" customHeight="false" outlineLevel="0" collapsed="false">
      <c r="A117" s="9"/>
      <c r="B117" s="9"/>
      <c r="C117" s="18" t="str">
        <f aca="false">IF(B117="","",IFERROR(INDEX(LOOKAHEAD!$B$5:$B$204,MATCH(B117,LOOKAHEAD!$A$5:$A$204,0)),"ID no existe"))</f>
        <v/>
      </c>
      <c r="D117" s="27" t="str">
        <f aca="false">IF(B117="","",IFERROR(INDEX(LOOKAHEAD!$I$5:$I$204,MATCH(B117,LOOKAHEAD!$A$5:$A$204,0)),""))</f>
        <v/>
      </c>
      <c r="E117" s="9"/>
      <c r="F117" s="9"/>
      <c r="G117" s="9"/>
      <c r="H117" s="14"/>
      <c r="I117" s="27" t="str">
        <f aca="false">IF(OR(D117="",D117=0),"",D117-$D$2)</f>
        <v/>
      </c>
      <c r="J117" s="14"/>
      <c r="K117" s="14"/>
      <c r="L117" s="16" t="str">
        <f aca="false">IF(B117="","",IF(K117&lt;&gt;"","Liberado","Pendiente"))</f>
        <v/>
      </c>
      <c r="M117" s="16" t="str">
        <f aca="true">IF(B117="","",IF(L117="Liberado",IF(OR(I117="",K117&lt;=I117),"A tiempo","Liberada tarde"),IF(J117="","Sin compromiso",IF(TODAY()&gt;J117,"VENCIDA",IF(AND(I117&lt;&gt;"",J117&gt;I117),"En riesgo","En gestión")))))</f>
        <v/>
      </c>
      <c r="N117" s="15" t="str">
        <f aca="false">IF(OR(B117="",I117=""),"",IF(K117&lt;&gt;"",I117-K117,IF(J117&lt;&gt;"",I117-J117,"")))</f>
        <v/>
      </c>
      <c r="O117" s="9"/>
    </row>
    <row r="118" customFormat="false" ht="15" hidden="false" customHeight="false" outlineLevel="0" collapsed="false">
      <c r="A118" s="9"/>
      <c r="B118" s="9"/>
      <c r="C118" s="18" t="str">
        <f aca="false">IF(B118="","",IFERROR(INDEX(LOOKAHEAD!$B$5:$B$204,MATCH(B118,LOOKAHEAD!$A$5:$A$204,0)),"ID no existe"))</f>
        <v/>
      </c>
      <c r="D118" s="27" t="str">
        <f aca="false">IF(B118="","",IFERROR(INDEX(LOOKAHEAD!$I$5:$I$204,MATCH(B118,LOOKAHEAD!$A$5:$A$204,0)),""))</f>
        <v/>
      </c>
      <c r="E118" s="9"/>
      <c r="F118" s="9"/>
      <c r="G118" s="9"/>
      <c r="H118" s="14"/>
      <c r="I118" s="27" t="str">
        <f aca="false">IF(OR(D118="",D118=0),"",D118-$D$2)</f>
        <v/>
      </c>
      <c r="J118" s="14"/>
      <c r="K118" s="14"/>
      <c r="L118" s="16" t="str">
        <f aca="false">IF(B118="","",IF(K118&lt;&gt;"","Liberado","Pendiente"))</f>
        <v/>
      </c>
      <c r="M118" s="16" t="str">
        <f aca="true">IF(B118="","",IF(L118="Liberado",IF(OR(I118="",K118&lt;=I118),"A tiempo","Liberada tarde"),IF(J118="","Sin compromiso",IF(TODAY()&gt;J118,"VENCIDA",IF(AND(I118&lt;&gt;"",J118&gt;I118),"En riesgo","En gestión")))))</f>
        <v/>
      </c>
      <c r="N118" s="15" t="str">
        <f aca="false">IF(OR(B118="",I118=""),"",IF(K118&lt;&gt;"",I118-K118,IF(J118&lt;&gt;"",I118-J118,"")))</f>
        <v/>
      </c>
      <c r="O118" s="9"/>
    </row>
    <row r="119" customFormat="false" ht="15" hidden="false" customHeight="false" outlineLevel="0" collapsed="false">
      <c r="A119" s="9"/>
      <c r="B119" s="9"/>
      <c r="C119" s="18" t="str">
        <f aca="false">IF(B119="","",IFERROR(INDEX(LOOKAHEAD!$B$5:$B$204,MATCH(B119,LOOKAHEAD!$A$5:$A$204,0)),"ID no existe"))</f>
        <v/>
      </c>
      <c r="D119" s="27" t="str">
        <f aca="false">IF(B119="","",IFERROR(INDEX(LOOKAHEAD!$I$5:$I$204,MATCH(B119,LOOKAHEAD!$A$5:$A$204,0)),""))</f>
        <v/>
      </c>
      <c r="E119" s="9"/>
      <c r="F119" s="9"/>
      <c r="G119" s="9"/>
      <c r="H119" s="14"/>
      <c r="I119" s="27" t="str">
        <f aca="false">IF(OR(D119="",D119=0),"",D119-$D$2)</f>
        <v/>
      </c>
      <c r="J119" s="14"/>
      <c r="K119" s="14"/>
      <c r="L119" s="16" t="str">
        <f aca="false">IF(B119="","",IF(K119&lt;&gt;"","Liberado","Pendiente"))</f>
        <v/>
      </c>
      <c r="M119" s="16" t="str">
        <f aca="true">IF(B119="","",IF(L119="Liberado",IF(OR(I119="",K119&lt;=I119),"A tiempo","Liberada tarde"),IF(J119="","Sin compromiso",IF(TODAY()&gt;J119,"VENCIDA",IF(AND(I119&lt;&gt;"",J119&gt;I119),"En riesgo","En gestión")))))</f>
        <v/>
      </c>
      <c r="N119" s="15" t="str">
        <f aca="false">IF(OR(B119="",I119=""),"",IF(K119&lt;&gt;"",I119-K119,IF(J119&lt;&gt;"",I119-J119,"")))</f>
        <v/>
      </c>
      <c r="O119" s="9"/>
    </row>
    <row r="120" customFormat="false" ht="15" hidden="false" customHeight="false" outlineLevel="0" collapsed="false">
      <c r="A120" s="9"/>
      <c r="B120" s="9"/>
      <c r="C120" s="18" t="str">
        <f aca="false">IF(B120="","",IFERROR(INDEX(LOOKAHEAD!$B$5:$B$204,MATCH(B120,LOOKAHEAD!$A$5:$A$204,0)),"ID no existe"))</f>
        <v/>
      </c>
      <c r="D120" s="27" t="str">
        <f aca="false">IF(B120="","",IFERROR(INDEX(LOOKAHEAD!$I$5:$I$204,MATCH(B120,LOOKAHEAD!$A$5:$A$204,0)),""))</f>
        <v/>
      </c>
      <c r="E120" s="9"/>
      <c r="F120" s="9"/>
      <c r="G120" s="9"/>
      <c r="H120" s="14"/>
      <c r="I120" s="27" t="str">
        <f aca="false">IF(OR(D120="",D120=0),"",D120-$D$2)</f>
        <v/>
      </c>
      <c r="J120" s="14"/>
      <c r="K120" s="14"/>
      <c r="L120" s="16" t="str">
        <f aca="false">IF(B120="","",IF(K120&lt;&gt;"","Liberado","Pendiente"))</f>
        <v/>
      </c>
      <c r="M120" s="16" t="str">
        <f aca="true">IF(B120="","",IF(L120="Liberado",IF(OR(I120="",K120&lt;=I120),"A tiempo","Liberada tarde"),IF(J120="","Sin compromiso",IF(TODAY()&gt;J120,"VENCIDA",IF(AND(I120&lt;&gt;"",J120&gt;I120),"En riesgo","En gestión")))))</f>
        <v/>
      </c>
      <c r="N120" s="15" t="str">
        <f aca="false">IF(OR(B120="",I120=""),"",IF(K120&lt;&gt;"",I120-K120,IF(J120&lt;&gt;"",I120-J120,"")))</f>
        <v/>
      </c>
      <c r="O120" s="9"/>
    </row>
    <row r="121" customFormat="false" ht="15" hidden="false" customHeight="false" outlineLevel="0" collapsed="false">
      <c r="A121" s="9"/>
      <c r="B121" s="9"/>
      <c r="C121" s="18" t="str">
        <f aca="false">IF(B121="","",IFERROR(INDEX(LOOKAHEAD!$B$5:$B$204,MATCH(B121,LOOKAHEAD!$A$5:$A$204,0)),"ID no existe"))</f>
        <v/>
      </c>
      <c r="D121" s="27" t="str">
        <f aca="false">IF(B121="","",IFERROR(INDEX(LOOKAHEAD!$I$5:$I$204,MATCH(B121,LOOKAHEAD!$A$5:$A$204,0)),""))</f>
        <v/>
      </c>
      <c r="E121" s="9"/>
      <c r="F121" s="9"/>
      <c r="G121" s="9"/>
      <c r="H121" s="14"/>
      <c r="I121" s="27" t="str">
        <f aca="false">IF(OR(D121="",D121=0),"",D121-$D$2)</f>
        <v/>
      </c>
      <c r="J121" s="14"/>
      <c r="K121" s="14"/>
      <c r="L121" s="16" t="str">
        <f aca="false">IF(B121="","",IF(K121&lt;&gt;"","Liberado","Pendiente"))</f>
        <v/>
      </c>
      <c r="M121" s="16" t="str">
        <f aca="true">IF(B121="","",IF(L121="Liberado",IF(OR(I121="",K121&lt;=I121),"A tiempo","Liberada tarde"),IF(J121="","Sin compromiso",IF(TODAY()&gt;J121,"VENCIDA",IF(AND(I121&lt;&gt;"",J121&gt;I121),"En riesgo","En gestión")))))</f>
        <v/>
      </c>
      <c r="N121" s="15" t="str">
        <f aca="false">IF(OR(B121="",I121=""),"",IF(K121&lt;&gt;"",I121-K121,IF(J121&lt;&gt;"",I121-J121,"")))</f>
        <v/>
      </c>
      <c r="O121" s="9"/>
    </row>
    <row r="122" customFormat="false" ht="15" hidden="false" customHeight="false" outlineLevel="0" collapsed="false">
      <c r="A122" s="9"/>
      <c r="B122" s="9"/>
      <c r="C122" s="18" t="str">
        <f aca="false">IF(B122="","",IFERROR(INDEX(LOOKAHEAD!$B$5:$B$204,MATCH(B122,LOOKAHEAD!$A$5:$A$204,0)),"ID no existe"))</f>
        <v/>
      </c>
      <c r="D122" s="27" t="str">
        <f aca="false">IF(B122="","",IFERROR(INDEX(LOOKAHEAD!$I$5:$I$204,MATCH(B122,LOOKAHEAD!$A$5:$A$204,0)),""))</f>
        <v/>
      </c>
      <c r="E122" s="9"/>
      <c r="F122" s="9"/>
      <c r="G122" s="9"/>
      <c r="H122" s="14"/>
      <c r="I122" s="27" t="str">
        <f aca="false">IF(OR(D122="",D122=0),"",D122-$D$2)</f>
        <v/>
      </c>
      <c r="J122" s="14"/>
      <c r="K122" s="14"/>
      <c r="L122" s="16" t="str">
        <f aca="false">IF(B122="","",IF(K122&lt;&gt;"","Liberado","Pendiente"))</f>
        <v/>
      </c>
      <c r="M122" s="16" t="str">
        <f aca="true">IF(B122="","",IF(L122="Liberado",IF(OR(I122="",K122&lt;=I122),"A tiempo","Liberada tarde"),IF(J122="","Sin compromiso",IF(TODAY()&gt;J122,"VENCIDA",IF(AND(I122&lt;&gt;"",J122&gt;I122),"En riesgo","En gestión")))))</f>
        <v/>
      </c>
      <c r="N122" s="15" t="str">
        <f aca="false">IF(OR(B122="",I122=""),"",IF(K122&lt;&gt;"",I122-K122,IF(J122&lt;&gt;"",I122-J122,"")))</f>
        <v/>
      </c>
      <c r="O122" s="9"/>
    </row>
    <row r="123" customFormat="false" ht="15" hidden="false" customHeight="false" outlineLevel="0" collapsed="false">
      <c r="A123" s="9"/>
      <c r="B123" s="9"/>
      <c r="C123" s="18" t="str">
        <f aca="false">IF(B123="","",IFERROR(INDEX(LOOKAHEAD!$B$5:$B$204,MATCH(B123,LOOKAHEAD!$A$5:$A$204,0)),"ID no existe"))</f>
        <v/>
      </c>
      <c r="D123" s="27" t="str">
        <f aca="false">IF(B123="","",IFERROR(INDEX(LOOKAHEAD!$I$5:$I$204,MATCH(B123,LOOKAHEAD!$A$5:$A$204,0)),""))</f>
        <v/>
      </c>
      <c r="E123" s="9"/>
      <c r="F123" s="9"/>
      <c r="G123" s="9"/>
      <c r="H123" s="14"/>
      <c r="I123" s="27" t="str">
        <f aca="false">IF(OR(D123="",D123=0),"",D123-$D$2)</f>
        <v/>
      </c>
      <c r="J123" s="14"/>
      <c r="K123" s="14"/>
      <c r="L123" s="16" t="str">
        <f aca="false">IF(B123="","",IF(K123&lt;&gt;"","Liberado","Pendiente"))</f>
        <v/>
      </c>
      <c r="M123" s="16" t="str">
        <f aca="true">IF(B123="","",IF(L123="Liberado",IF(OR(I123="",K123&lt;=I123),"A tiempo","Liberada tarde"),IF(J123="","Sin compromiso",IF(TODAY()&gt;J123,"VENCIDA",IF(AND(I123&lt;&gt;"",J123&gt;I123),"En riesgo","En gestión")))))</f>
        <v/>
      </c>
      <c r="N123" s="15" t="str">
        <f aca="false">IF(OR(B123="",I123=""),"",IF(K123&lt;&gt;"",I123-K123,IF(J123&lt;&gt;"",I123-J123,"")))</f>
        <v/>
      </c>
      <c r="O123" s="9"/>
    </row>
    <row r="124" customFormat="false" ht="15" hidden="false" customHeight="false" outlineLevel="0" collapsed="false">
      <c r="A124" s="9"/>
      <c r="B124" s="9"/>
      <c r="C124" s="18" t="str">
        <f aca="false">IF(B124="","",IFERROR(INDEX(LOOKAHEAD!$B$5:$B$204,MATCH(B124,LOOKAHEAD!$A$5:$A$204,0)),"ID no existe"))</f>
        <v/>
      </c>
      <c r="D124" s="27" t="str">
        <f aca="false">IF(B124="","",IFERROR(INDEX(LOOKAHEAD!$I$5:$I$204,MATCH(B124,LOOKAHEAD!$A$5:$A$204,0)),""))</f>
        <v/>
      </c>
      <c r="E124" s="9"/>
      <c r="F124" s="9"/>
      <c r="G124" s="9"/>
      <c r="H124" s="14"/>
      <c r="I124" s="27" t="str">
        <f aca="false">IF(OR(D124="",D124=0),"",D124-$D$2)</f>
        <v/>
      </c>
      <c r="J124" s="14"/>
      <c r="K124" s="14"/>
      <c r="L124" s="16" t="str">
        <f aca="false">IF(B124="","",IF(K124&lt;&gt;"","Liberado","Pendiente"))</f>
        <v/>
      </c>
      <c r="M124" s="16" t="str">
        <f aca="true">IF(B124="","",IF(L124="Liberado",IF(OR(I124="",K124&lt;=I124),"A tiempo","Liberada tarde"),IF(J124="","Sin compromiso",IF(TODAY()&gt;J124,"VENCIDA",IF(AND(I124&lt;&gt;"",J124&gt;I124),"En riesgo","En gestión")))))</f>
        <v/>
      </c>
      <c r="N124" s="15" t="str">
        <f aca="false">IF(OR(B124="",I124=""),"",IF(K124&lt;&gt;"",I124-K124,IF(J124&lt;&gt;"",I124-J124,"")))</f>
        <v/>
      </c>
      <c r="O124" s="9"/>
    </row>
    <row r="125" customFormat="false" ht="15" hidden="false" customHeight="false" outlineLevel="0" collapsed="false">
      <c r="A125" s="9"/>
      <c r="B125" s="9"/>
      <c r="C125" s="18" t="str">
        <f aca="false">IF(B125="","",IFERROR(INDEX(LOOKAHEAD!$B$5:$B$204,MATCH(B125,LOOKAHEAD!$A$5:$A$204,0)),"ID no existe"))</f>
        <v/>
      </c>
      <c r="D125" s="27" t="str">
        <f aca="false">IF(B125="","",IFERROR(INDEX(LOOKAHEAD!$I$5:$I$204,MATCH(B125,LOOKAHEAD!$A$5:$A$204,0)),""))</f>
        <v/>
      </c>
      <c r="E125" s="9"/>
      <c r="F125" s="9"/>
      <c r="G125" s="9"/>
      <c r="H125" s="14"/>
      <c r="I125" s="27" t="str">
        <f aca="false">IF(OR(D125="",D125=0),"",D125-$D$2)</f>
        <v/>
      </c>
      <c r="J125" s="14"/>
      <c r="K125" s="14"/>
      <c r="L125" s="16" t="str">
        <f aca="false">IF(B125="","",IF(K125&lt;&gt;"","Liberado","Pendiente"))</f>
        <v/>
      </c>
      <c r="M125" s="16" t="str">
        <f aca="true">IF(B125="","",IF(L125="Liberado",IF(OR(I125="",K125&lt;=I125),"A tiempo","Liberada tarde"),IF(J125="","Sin compromiso",IF(TODAY()&gt;J125,"VENCIDA",IF(AND(I125&lt;&gt;"",J125&gt;I125),"En riesgo","En gestión")))))</f>
        <v/>
      </c>
      <c r="N125" s="15" t="str">
        <f aca="false">IF(OR(B125="",I125=""),"",IF(K125&lt;&gt;"",I125-K125,IF(J125&lt;&gt;"",I125-J125,"")))</f>
        <v/>
      </c>
      <c r="O125" s="9"/>
    </row>
    <row r="126" customFormat="false" ht="15" hidden="false" customHeight="false" outlineLevel="0" collapsed="false">
      <c r="A126" s="9"/>
      <c r="B126" s="9"/>
      <c r="C126" s="18" t="str">
        <f aca="false">IF(B126="","",IFERROR(INDEX(LOOKAHEAD!$B$5:$B$204,MATCH(B126,LOOKAHEAD!$A$5:$A$204,0)),"ID no existe"))</f>
        <v/>
      </c>
      <c r="D126" s="27" t="str">
        <f aca="false">IF(B126="","",IFERROR(INDEX(LOOKAHEAD!$I$5:$I$204,MATCH(B126,LOOKAHEAD!$A$5:$A$204,0)),""))</f>
        <v/>
      </c>
      <c r="E126" s="9"/>
      <c r="F126" s="9"/>
      <c r="G126" s="9"/>
      <c r="H126" s="14"/>
      <c r="I126" s="27" t="str">
        <f aca="false">IF(OR(D126="",D126=0),"",D126-$D$2)</f>
        <v/>
      </c>
      <c r="J126" s="14"/>
      <c r="K126" s="14"/>
      <c r="L126" s="16" t="str">
        <f aca="false">IF(B126="","",IF(K126&lt;&gt;"","Liberado","Pendiente"))</f>
        <v/>
      </c>
      <c r="M126" s="16" t="str">
        <f aca="true">IF(B126="","",IF(L126="Liberado",IF(OR(I126="",K126&lt;=I126),"A tiempo","Liberada tarde"),IF(J126="","Sin compromiso",IF(TODAY()&gt;J126,"VENCIDA",IF(AND(I126&lt;&gt;"",J126&gt;I126),"En riesgo","En gestión")))))</f>
        <v/>
      </c>
      <c r="N126" s="15" t="str">
        <f aca="false">IF(OR(B126="",I126=""),"",IF(K126&lt;&gt;"",I126-K126,IF(J126&lt;&gt;"",I126-J126,"")))</f>
        <v/>
      </c>
      <c r="O126" s="9"/>
    </row>
    <row r="127" customFormat="false" ht="15" hidden="false" customHeight="false" outlineLevel="0" collapsed="false">
      <c r="A127" s="9"/>
      <c r="B127" s="9"/>
      <c r="C127" s="18" t="str">
        <f aca="false">IF(B127="","",IFERROR(INDEX(LOOKAHEAD!$B$5:$B$204,MATCH(B127,LOOKAHEAD!$A$5:$A$204,0)),"ID no existe"))</f>
        <v/>
      </c>
      <c r="D127" s="27" t="str">
        <f aca="false">IF(B127="","",IFERROR(INDEX(LOOKAHEAD!$I$5:$I$204,MATCH(B127,LOOKAHEAD!$A$5:$A$204,0)),""))</f>
        <v/>
      </c>
      <c r="E127" s="9"/>
      <c r="F127" s="9"/>
      <c r="G127" s="9"/>
      <c r="H127" s="14"/>
      <c r="I127" s="27" t="str">
        <f aca="false">IF(OR(D127="",D127=0),"",D127-$D$2)</f>
        <v/>
      </c>
      <c r="J127" s="14"/>
      <c r="K127" s="14"/>
      <c r="L127" s="16" t="str">
        <f aca="false">IF(B127="","",IF(K127&lt;&gt;"","Liberado","Pendiente"))</f>
        <v/>
      </c>
      <c r="M127" s="16" t="str">
        <f aca="true">IF(B127="","",IF(L127="Liberado",IF(OR(I127="",K127&lt;=I127),"A tiempo","Liberada tarde"),IF(J127="","Sin compromiso",IF(TODAY()&gt;J127,"VENCIDA",IF(AND(I127&lt;&gt;"",J127&gt;I127),"En riesgo","En gestión")))))</f>
        <v/>
      </c>
      <c r="N127" s="15" t="str">
        <f aca="false">IF(OR(B127="",I127=""),"",IF(K127&lt;&gt;"",I127-K127,IF(J127&lt;&gt;"",I127-J127,"")))</f>
        <v/>
      </c>
      <c r="O127" s="9"/>
    </row>
    <row r="128" customFormat="false" ht="15" hidden="false" customHeight="false" outlineLevel="0" collapsed="false">
      <c r="A128" s="9"/>
      <c r="B128" s="9"/>
      <c r="C128" s="18" t="str">
        <f aca="false">IF(B128="","",IFERROR(INDEX(LOOKAHEAD!$B$5:$B$204,MATCH(B128,LOOKAHEAD!$A$5:$A$204,0)),"ID no existe"))</f>
        <v/>
      </c>
      <c r="D128" s="27" t="str">
        <f aca="false">IF(B128="","",IFERROR(INDEX(LOOKAHEAD!$I$5:$I$204,MATCH(B128,LOOKAHEAD!$A$5:$A$204,0)),""))</f>
        <v/>
      </c>
      <c r="E128" s="9"/>
      <c r="F128" s="9"/>
      <c r="G128" s="9"/>
      <c r="H128" s="14"/>
      <c r="I128" s="27" t="str">
        <f aca="false">IF(OR(D128="",D128=0),"",D128-$D$2)</f>
        <v/>
      </c>
      <c r="J128" s="14"/>
      <c r="K128" s="14"/>
      <c r="L128" s="16" t="str">
        <f aca="false">IF(B128="","",IF(K128&lt;&gt;"","Liberado","Pendiente"))</f>
        <v/>
      </c>
      <c r="M128" s="16" t="str">
        <f aca="true">IF(B128="","",IF(L128="Liberado",IF(OR(I128="",K128&lt;=I128),"A tiempo","Liberada tarde"),IF(J128="","Sin compromiso",IF(TODAY()&gt;J128,"VENCIDA",IF(AND(I128&lt;&gt;"",J128&gt;I128),"En riesgo","En gestión")))))</f>
        <v/>
      </c>
      <c r="N128" s="15" t="str">
        <f aca="false">IF(OR(B128="",I128=""),"",IF(K128&lt;&gt;"",I128-K128,IF(J128&lt;&gt;"",I128-J128,"")))</f>
        <v/>
      </c>
      <c r="O128" s="9"/>
    </row>
    <row r="129" customFormat="false" ht="15" hidden="false" customHeight="false" outlineLevel="0" collapsed="false">
      <c r="A129" s="9"/>
      <c r="B129" s="9"/>
      <c r="C129" s="18" t="str">
        <f aca="false">IF(B129="","",IFERROR(INDEX(LOOKAHEAD!$B$5:$B$204,MATCH(B129,LOOKAHEAD!$A$5:$A$204,0)),"ID no existe"))</f>
        <v/>
      </c>
      <c r="D129" s="27" t="str">
        <f aca="false">IF(B129="","",IFERROR(INDEX(LOOKAHEAD!$I$5:$I$204,MATCH(B129,LOOKAHEAD!$A$5:$A$204,0)),""))</f>
        <v/>
      </c>
      <c r="E129" s="9"/>
      <c r="F129" s="9"/>
      <c r="G129" s="9"/>
      <c r="H129" s="14"/>
      <c r="I129" s="27" t="str">
        <f aca="false">IF(OR(D129="",D129=0),"",D129-$D$2)</f>
        <v/>
      </c>
      <c r="J129" s="14"/>
      <c r="K129" s="14"/>
      <c r="L129" s="16" t="str">
        <f aca="false">IF(B129="","",IF(K129&lt;&gt;"","Liberado","Pendiente"))</f>
        <v/>
      </c>
      <c r="M129" s="16" t="str">
        <f aca="true">IF(B129="","",IF(L129="Liberado",IF(OR(I129="",K129&lt;=I129),"A tiempo","Liberada tarde"),IF(J129="","Sin compromiso",IF(TODAY()&gt;J129,"VENCIDA",IF(AND(I129&lt;&gt;"",J129&gt;I129),"En riesgo","En gestión")))))</f>
        <v/>
      </c>
      <c r="N129" s="15" t="str">
        <f aca="false">IF(OR(B129="",I129=""),"",IF(K129&lt;&gt;"",I129-K129,IF(J129&lt;&gt;"",I129-J129,"")))</f>
        <v/>
      </c>
      <c r="O129" s="9"/>
    </row>
    <row r="130" customFormat="false" ht="15" hidden="false" customHeight="false" outlineLevel="0" collapsed="false">
      <c r="A130" s="9"/>
      <c r="B130" s="9"/>
      <c r="C130" s="18" t="str">
        <f aca="false">IF(B130="","",IFERROR(INDEX(LOOKAHEAD!$B$5:$B$204,MATCH(B130,LOOKAHEAD!$A$5:$A$204,0)),"ID no existe"))</f>
        <v/>
      </c>
      <c r="D130" s="27" t="str">
        <f aca="false">IF(B130="","",IFERROR(INDEX(LOOKAHEAD!$I$5:$I$204,MATCH(B130,LOOKAHEAD!$A$5:$A$204,0)),""))</f>
        <v/>
      </c>
      <c r="E130" s="9"/>
      <c r="F130" s="9"/>
      <c r="G130" s="9"/>
      <c r="H130" s="14"/>
      <c r="I130" s="27" t="str">
        <f aca="false">IF(OR(D130="",D130=0),"",D130-$D$2)</f>
        <v/>
      </c>
      <c r="J130" s="14"/>
      <c r="K130" s="14"/>
      <c r="L130" s="16" t="str">
        <f aca="false">IF(B130="","",IF(K130&lt;&gt;"","Liberado","Pendiente"))</f>
        <v/>
      </c>
      <c r="M130" s="16" t="str">
        <f aca="true">IF(B130="","",IF(L130="Liberado",IF(OR(I130="",K130&lt;=I130),"A tiempo","Liberada tarde"),IF(J130="","Sin compromiso",IF(TODAY()&gt;J130,"VENCIDA",IF(AND(I130&lt;&gt;"",J130&gt;I130),"En riesgo","En gestión")))))</f>
        <v/>
      </c>
      <c r="N130" s="15" t="str">
        <f aca="false">IF(OR(B130="",I130=""),"",IF(K130&lt;&gt;"",I130-K130,IF(J130&lt;&gt;"",I130-J130,"")))</f>
        <v/>
      </c>
      <c r="O130" s="9"/>
    </row>
    <row r="131" customFormat="false" ht="15" hidden="false" customHeight="false" outlineLevel="0" collapsed="false">
      <c r="A131" s="9"/>
      <c r="B131" s="9"/>
      <c r="C131" s="18" t="str">
        <f aca="false">IF(B131="","",IFERROR(INDEX(LOOKAHEAD!$B$5:$B$204,MATCH(B131,LOOKAHEAD!$A$5:$A$204,0)),"ID no existe"))</f>
        <v/>
      </c>
      <c r="D131" s="27" t="str">
        <f aca="false">IF(B131="","",IFERROR(INDEX(LOOKAHEAD!$I$5:$I$204,MATCH(B131,LOOKAHEAD!$A$5:$A$204,0)),""))</f>
        <v/>
      </c>
      <c r="E131" s="9"/>
      <c r="F131" s="9"/>
      <c r="G131" s="9"/>
      <c r="H131" s="14"/>
      <c r="I131" s="27" t="str">
        <f aca="false">IF(OR(D131="",D131=0),"",D131-$D$2)</f>
        <v/>
      </c>
      <c r="J131" s="14"/>
      <c r="K131" s="14"/>
      <c r="L131" s="16" t="str">
        <f aca="false">IF(B131="","",IF(K131&lt;&gt;"","Liberado","Pendiente"))</f>
        <v/>
      </c>
      <c r="M131" s="16" t="str">
        <f aca="true">IF(B131="","",IF(L131="Liberado",IF(OR(I131="",K131&lt;=I131),"A tiempo","Liberada tarde"),IF(J131="","Sin compromiso",IF(TODAY()&gt;J131,"VENCIDA",IF(AND(I131&lt;&gt;"",J131&gt;I131),"En riesgo","En gestión")))))</f>
        <v/>
      </c>
      <c r="N131" s="15" t="str">
        <f aca="false">IF(OR(B131="",I131=""),"",IF(K131&lt;&gt;"",I131-K131,IF(J131&lt;&gt;"",I131-J131,"")))</f>
        <v/>
      </c>
      <c r="O131" s="9"/>
    </row>
    <row r="132" customFormat="false" ht="15" hidden="false" customHeight="false" outlineLevel="0" collapsed="false">
      <c r="A132" s="9"/>
      <c r="B132" s="9"/>
      <c r="C132" s="18" t="str">
        <f aca="false">IF(B132="","",IFERROR(INDEX(LOOKAHEAD!$B$5:$B$204,MATCH(B132,LOOKAHEAD!$A$5:$A$204,0)),"ID no existe"))</f>
        <v/>
      </c>
      <c r="D132" s="27" t="str">
        <f aca="false">IF(B132="","",IFERROR(INDEX(LOOKAHEAD!$I$5:$I$204,MATCH(B132,LOOKAHEAD!$A$5:$A$204,0)),""))</f>
        <v/>
      </c>
      <c r="E132" s="9"/>
      <c r="F132" s="9"/>
      <c r="G132" s="9"/>
      <c r="H132" s="14"/>
      <c r="I132" s="27" t="str">
        <f aca="false">IF(OR(D132="",D132=0),"",D132-$D$2)</f>
        <v/>
      </c>
      <c r="J132" s="14"/>
      <c r="K132" s="14"/>
      <c r="L132" s="16" t="str">
        <f aca="false">IF(B132="","",IF(K132&lt;&gt;"","Liberado","Pendiente"))</f>
        <v/>
      </c>
      <c r="M132" s="16" t="str">
        <f aca="true">IF(B132="","",IF(L132="Liberado",IF(OR(I132="",K132&lt;=I132),"A tiempo","Liberada tarde"),IF(J132="","Sin compromiso",IF(TODAY()&gt;J132,"VENCIDA",IF(AND(I132&lt;&gt;"",J132&gt;I132),"En riesgo","En gestión")))))</f>
        <v/>
      </c>
      <c r="N132" s="15" t="str">
        <f aca="false">IF(OR(B132="",I132=""),"",IF(K132&lt;&gt;"",I132-K132,IF(J132&lt;&gt;"",I132-J132,"")))</f>
        <v/>
      </c>
      <c r="O132" s="9"/>
    </row>
    <row r="133" customFormat="false" ht="15" hidden="false" customHeight="false" outlineLevel="0" collapsed="false">
      <c r="A133" s="9"/>
      <c r="B133" s="9"/>
      <c r="C133" s="18" t="str">
        <f aca="false">IF(B133="","",IFERROR(INDEX(LOOKAHEAD!$B$5:$B$204,MATCH(B133,LOOKAHEAD!$A$5:$A$204,0)),"ID no existe"))</f>
        <v/>
      </c>
      <c r="D133" s="27" t="str">
        <f aca="false">IF(B133="","",IFERROR(INDEX(LOOKAHEAD!$I$5:$I$204,MATCH(B133,LOOKAHEAD!$A$5:$A$204,0)),""))</f>
        <v/>
      </c>
      <c r="E133" s="9"/>
      <c r="F133" s="9"/>
      <c r="G133" s="9"/>
      <c r="H133" s="14"/>
      <c r="I133" s="27" t="str">
        <f aca="false">IF(OR(D133="",D133=0),"",D133-$D$2)</f>
        <v/>
      </c>
      <c r="J133" s="14"/>
      <c r="K133" s="14"/>
      <c r="L133" s="16" t="str">
        <f aca="false">IF(B133="","",IF(K133&lt;&gt;"","Liberado","Pendiente"))</f>
        <v/>
      </c>
      <c r="M133" s="16" t="str">
        <f aca="true">IF(B133="","",IF(L133="Liberado",IF(OR(I133="",K133&lt;=I133),"A tiempo","Liberada tarde"),IF(J133="","Sin compromiso",IF(TODAY()&gt;J133,"VENCIDA",IF(AND(I133&lt;&gt;"",J133&gt;I133),"En riesgo","En gestión")))))</f>
        <v/>
      </c>
      <c r="N133" s="15" t="str">
        <f aca="false">IF(OR(B133="",I133=""),"",IF(K133&lt;&gt;"",I133-K133,IF(J133&lt;&gt;"",I133-J133,"")))</f>
        <v/>
      </c>
      <c r="O133" s="9"/>
    </row>
    <row r="134" customFormat="false" ht="15" hidden="false" customHeight="false" outlineLevel="0" collapsed="false">
      <c r="A134" s="9"/>
      <c r="B134" s="9"/>
      <c r="C134" s="18" t="str">
        <f aca="false">IF(B134="","",IFERROR(INDEX(LOOKAHEAD!$B$5:$B$204,MATCH(B134,LOOKAHEAD!$A$5:$A$204,0)),"ID no existe"))</f>
        <v/>
      </c>
      <c r="D134" s="27" t="str">
        <f aca="false">IF(B134="","",IFERROR(INDEX(LOOKAHEAD!$I$5:$I$204,MATCH(B134,LOOKAHEAD!$A$5:$A$204,0)),""))</f>
        <v/>
      </c>
      <c r="E134" s="9"/>
      <c r="F134" s="9"/>
      <c r="G134" s="9"/>
      <c r="H134" s="14"/>
      <c r="I134" s="27" t="str">
        <f aca="false">IF(OR(D134="",D134=0),"",D134-$D$2)</f>
        <v/>
      </c>
      <c r="J134" s="14"/>
      <c r="K134" s="14"/>
      <c r="L134" s="16" t="str">
        <f aca="false">IF(B134="","",IF(K134&lt;&gt;"","Liberado","Pendiente"))</f>
        <v/>
      </c>
      <c r="M134" s="16" t="str">
        <f aca="true">IF(B134="","",IF(L134="Liberado",IF(OR(I134="",K134&lt;=I134),"A tiempo","Liberada tarde"),IF(J134="","Sin compromiso",IF(TODAY()&gt;J134,"VENCIDA",IF(AND(I134&lt;&gt;"",J134&gt;I134),"En riesgo","En gestión")))))</f>
        <v/>
      </c>
      <c r="N134" s="15" t="str">
        <f aca="false">IF(OR(B134="",I134=""),"",IF(K134&lt;&gt;"",I134-K134,IF(J134&lt;&gt;"",I134-J134,"")))</f>
        <v/>
      </c>
      <c r="O134" s="9"/>
    </row>
    <row r="135" customFormat="false" ht="15" hidden="false" customHeight="false" outlineLevel="0" collapsed="false">
      <c r="A135" s="9"/>
      <c r="B135" s="9"/>
      <c r="C135" s="18" t="str">
        <f aca="false">IF(B135="","",IFERROR(INDEX(LOOKAHEAD!$B$5:$B$204,MATCH(B135,LOOKAHEAD!$A$5:$A$204,0)),"ID no existe"))</f>
        <v/>
      </c>
      <c r="D135" s="27" t="str">
        <f aca="false">IF(B135="","",IFERROR(INDEX(LOOKAHEAD!$I$5:$I$204,MATCH(B135,LOOKAHEAD!$A$5:$A$204,0)),""))</f>
        <v/>
      </c>
      <c r="E135" s="9"/>
      <c r="F135" s="9"/>
      <c r="G135" s="9"/>
      <c r="H135" s="14"/>
      <c r="I135" s="27" t="str">
        <f aca="false">IF(OR(D135="",D135=0),"",D135-$D$2)</f>
        <v/>
      </c>
      <c r="J135" s="14"/>
      <c r="K135" s="14"/>
      <c r="L135" s="16" t="str">
        <f aca="false">IF(B135="","",IF(K135&lt;&gt;"","Liberado","Pendiente"))</f>
        <v/>
      </c>
      <c r="M135" s="16" t="str">
        <f aca="true">IF(B135="","",IF(L135="Liberado",IF(OR(I135="",K135&lt;=I135),"A tiempo","Liberada tarde"),IF(J135="","Sin compromiso",IF(TODAY()&gt;J135,"VENCIDA",IF(AND(I135&lt;&gt;"",J135&gt;I135),"En riesgo","En gestión")))))</f>
        <v/>
      </c>
      <c r="N135" s="15" t="str">
        <f aca="false">IF(OR(B135="",I135=""),"",IF(K135&lt;&gt;"",I135-K135,IF(J135&lt;&gt;"",I135-J135,"")))</f>
        <v/>
      </c>
      <c r="O135" s="9"/>
    </row>
    <row r="136" customFormat="false" ht="15" hidden="false" customHeight="false" outlineLevel="0" collapsed="false">
      <c r="A136" s="9"/>
      <c r="B136" s="9"/>
      <c r="C136" s="18" t="str">
        <f aca="false">IF(B136="","",IFERROR(INDEX(LOOKAHEAD!$B$5:$B$204,MATCH(B136,LOOKAHEAD!$A$5:$A$204,0)),"ID no existe"))</f>
        <v/>
      </c>
      <c r="D136" s="27" t="str">
        <f aca="false">IF(B136="","",IFERROR(INDEX(LOOKAHEAD!$I$5:$I$204,MATCH(B136,LOOKAHEAD!$A$5:$A$204,0)),""))</f>
        <v/>
      </c>
      <c r="E136" s="9"/>
      <c r="F136" s="9"/>
      <c r="G136" s="9"/>
      <c r="H136" s="14"/>
      <c r="I136" s="27" t="str">
        <f aca="false">IF(OR(D136="",D136=0),"",D136-$D$2)</f>
        <v/>
      </c>
      <c r="J136" s="14"/>
      <c r="K136" s="14"/>
      <c r="L136" s="16" t="str">
        <f aca="false">IF(B136="","",IF(K136&lt;&gt;"","Liberado","Pendiente"))</f>
        <v/>
      </c>
      <c r="M136" s="16" t="str">
        <f aca="true">IF(B136="","",IF(L136="Liberado",IF(OR(I136="",K136&lt;=I136),"A tiempo","Liberada tarde"),IF(J136="","Sin compromiso",IF(TODAY()&gt;J136,"VENCIDA",IF(AND(I136&lt;&gt;"",J136&gt;I136),"En riesgo","En gestión")))))</f>
        <v/>
      </c>
      <c r="N136" s="15" t="str">
        <f aca="false">IF(OR(B136="",I136=""),"",IF(K136&lt;&gt;"",I136-K136,IF(J136&lt;&gt;"",I136-J136,"")))</f>
        <v/>
      </c>
      <c r="O136" s="9"/>
    </row>
    <row r="137" customFormat="false" ht="15" hidden="false" customHeight="false" outlineLevel="0" collapsed="false">
      <c r="A137" s="9"/>
      <c r="B137" s="9"/>
      <c r="C137" s="18" t="str">
        <f aca="false">IF(B137="","",IFERROR(INDEX(LOOKAHEAD!$B$5:$B$204,MATCH(B137,LOOKAHEAD!$A$5:$A$204,0)),"ID no existe"))</f>
        <v/>
      </c>
      <c r="D137" s="27" t="str">
        <f aca="false">IF(B137="","",IFERROR(INDEX(LOOKAHEAD!$I$5:$I$204,MATCH(B137,LOOKAHEAD!$A$5:$A$204,0)),""))</f>
        <v/>
      </c>
      <c r="E137" s="9"/>
      <c r="F137" s="9"/>
      <c r="G137" s="9"/>
      <c r="H137" s="14"/>
      <c r="I137" s="27" t="str">
        <f aca="false">IF(OR(D137="",D137=0),"",D137-$D$2)</f>
        <v/>
      </c>
      <c r="J137" s="14"/>
      <c r="K137" s="14"/>
      <c r="L137" s="16" t="str">
        <f aca="false">IF(B137="","",IF(K137&lt;&gt;"","Liberado","Pendiente"))</f>
        <v/>
      </c>
      <c r="M137" s="16" t="str">
        <f aca="true">IF(B137="","",IF(L137="Liberado",IF(OR(I137="",K137&lt;=I137),"A tiempo","Liberada tarde"),IF(J137="","Sin compromiso",IF(TODAY()&gt;J137,"VENCIDA",IF(AND(I137&lt;&gt;"",J137&gt;I137),"En riesgo","En gestión")))))</f>
        <v/>
      </c>
      <c r="N137" s="15" t="str">
        <f aca="false">IF(OR(B137="",I137=""),"",IF(K137&lt;&gt;"",I137-K137,IF(J137&lt;&gt;"",I137-J137,"")))</f>
        <v/>
      </c>
      <c r="O137" s="9"/>
    </row>
    <row r="138" customFormat="false" ht="15" hidden="false" customHeight="false" outlineLevel="0" collapsed="false">
      <c r="A138" s="9"/>
      <c r="B138" s="9"/>
      <c r="C138" s="18" t="str">
        <f aca="false">IF(B138="","",IFERROR(INDEX(LOOKAHEAD!$B$5:$B$204,MATCH(B138,LOOKAHEAD!$A$5:$A$204,0)),"ID no existe"))</f>
        <v/>
      </c>
      <c r="D138" s="27" t="str">
        <f aca="false">IF(B138="","",IFERROR(INDEX(LOOKAHEAD!$I$5:$I$204,MATCH(B138,LOOKAHEAD!$A$5:$A$204,0)),""))</f>
        <v/>
      </c>
      <c r="E138" s="9"/>
      <c r="F138" s="9"/>
      <c r="G138" s="9"/>
      <c r="H138" s="14"/>
      <c r="I138" s="27" t="str">
        <f aca="false">IF(OR(D138="",D138=0),"",D138-$D$2)</f>
        <v/>
      </c>
      <c r="J138" s="14"/>
      <c r="K138" s="14"/>
      <c r="L138" s="16" t="str">
        <f aca="false">IF(B138="","",IF(K138&lt;&gt;"","Liberado","Pendiente"))</f>
        <v/>
      </c>
      <c r="M138" s="16" t="str">
        <f aca="true">IF(B138="","",IF(L138="Liberado",IF(OR(I138="",K138&lt;=I138),"A tiempo","Liberada tarde"),IF(J138="","Sin compromiso",IF(TODAY()&gt;J138,"VENCIDA",IF(AND(I138&lt;&gt;"",J138&gt;I138),"En riesgo","En gestión")))))</f>
        <v/>
      </c>
      <c r="N138" s="15" t="str">
        <f aca="false">IF(OR(B138="",I138=""),"",IF(K138&lt;&gt;"",I138-K138,IF(J138&lt;&gt;"",I138-J138,"")))</f>
        <v/>
      </c>
      <c r="O138" s="9"/>
    </row>
    <row r="139" customFormat="false" ht="15" hidden="false" customHeight="false" outlineLevel="0" collapsed="false">
      <c r="A139" s="9"/>
      <c r="B139" s="9"/>
      <c r="C139" s="18" t="str">
        <f aca="false">IF(B139="","",IFERROR(INDEX(LOOKAHEAD!$B$5:$B$204,MATCH(B139,LOOKAHEAD!$A$5:$A$204,0)),"ID no existe"))</f>
        <v/>
      </c>
      <c r="D139" s="27" t="str">
        <f aca="false">IF(B139="","",IFERROR(INDEX(LOOKAHEAD!$I$5:$I$204,MATCH(B139,LOOKAHEAD!$A$5:$A$204,0)),""))</f>
        <v/>
      </c>
      <c r="E139" s="9"/>
      <c r="F139" s="9"/>
      <c r="G139" s="9"/>
      <c r="H139" s="14"/>
      <c r="I139" s="27" t="str">
        <f aca="false">IF(OR(D139="",D139=0),"",D139-$D$2)</f>
        <v/>
      </c>
      <c r="J139" s="14"/>
      <c r="K139" s="14"/>
      <c r="L139" s="16" t="str">
        <f aca="false">IF(B139="","",IF(K139&lt;&gt;"","Liberado","Pendiente"))</f>
        <v/>
      </c>
      <c r="M139" s="16" t="str">
        <f aca="true">IF(B139="","",IF(L139="Liberado",IF(OR(I139="",K139&lt;=I139),"A tiempo","Liberada tarde"),IF(J139="","Sin compromiso",IF(TODAY()&gt;J139,"VENCIDA",IF(AND(I139&lt;&gt;"",J139&gt;I139),"En riesgo","En gestión")))))</f>
        <v/>
      </c>
      <c r="N139" s="15" t="str">
        <f aca="false">IF(OR(B139="",I139=""),"",IF(K139&lt;&gt;"",I139-K139,IF(J139&lt;&gt;"",I139-J139,"")))</f>
        <v/>
      </c>
      <c r="O139" s="9"/>
    </row>
    <row r="140" customFormat="false" ht="15" hidden="false" customHeight="false" outlineLevel="0" collapsed="false">
      <c r="A140" s="9"/>
      <c r="B140" s="9"/>
      <c r="C140" s="18" t="str">
        <f aca="false">IF(B140="","",IFERROR(INDEX(LOOKAHEAD!$B$5:$B$204,MATCH(B140,LOOKAHEAD!$A$5:$A$204,0)),"ID no existe"))</f>
        <v/>
      </c>
      <c r="D140" s="27" t="str">
        <f aca="false">IF(B140="","",IFERROR(INDEX(LOOKAHEAD!$I$5:$I$204,MATCH(B140,LOOKAHEAD!$A$5:$A$204,0)),""))</f>
        <v/>
      </c>
      <c r="E140" s="9"/>
      <c r="F140" s="9"/>
      <c r="G140" s="9"/>
      <c r="H140" s="14"/>
      <c r="I140" s="27" t="str">
        <f aca="false">IF(OR(D140="",D140=0),"",D140-$D$2)</f>
        <v/>
      </c>
      <c r="J140" s="14"/>
      <c r="K140" s="14"/>
      <c r="L140" s="16" t="str">
        <f aca="false">IF(B140="","",IF(K140&lt;&gt;"","Liberado","Pendiente"))</f>
        <v/>
      </c>
      <c r="M140" s="16" t="str">
        <f aca="true">IF(B140="","",IF(L140="Liberado",IF(OR(I140="",K140&lt;=I140),"A tiempo","Liberada tarde"),IF(J140="","Sin compromiso",IF(TODAY()&gt;J140,"VENCIDA",IF(AND(I140&lt;&gt;"",J140&gt;I140),"En riesgo","En gestión")))))</f>
        <v/>
      </c>
      <c r="N140" s="15" t="str">
        <f aca="false">IF(OR(B140="",I140=""),"",IF(K140&lt;&gt;"",I140-K140,IF(J140&lt;&gt;"",I140-J140,"")))</f>
        <v/>
      </c>
      <c r="O140" s="9"/>
    </row>
    <row r="141" customFormat="false" ht="15" hidden="false" customHeight="false" outlineLevel="0" collapsed="false">
      <c r="A141" s="9"/>
      <c r="B141" s="9"/>
      <c r="C141" s="18" t="str">
        <f aca="false">IF(B141="","",IFERROR(INDEX(LOOKAHEAD!$B$5:$B$204,MATCH(B141,LOOKAHEAD!$A$5:$A$204,0)),"ID no existe"))</f>
        <v/>
      </c>
      <c r="D141" s="27" t="str">
        <f aca="false">IF(B141="","",IFERROR(INDEX(LOOKAHEAD!$I$5:$I$204,MATCH(B141,LOOKAHEAD!$A$5:$A$204,0)),""))</f>
        <v/>
      </c>
      <c r="E141" s="9"/>
      <c r="F141" s="9"/>
      <c r="G141" s="9"/>
      <c r="H141" s="14"/>
      <c r="I141" s="27" t="str">
        <f aca="false">IF(OR(D141="",D141=0),"",D141-$D$2)</f>
        <v/>
      </c>
      <c r="J141" s="14"/>
      <c r="K141" s="14"/>
      <c r="L141" s="16" t="str">
        <f aca="false">IF(B141="","",IF(K141&lt;&gt;"","Liberado","Pendiente"))</f>
        <v/>
      </c>
      <c r="M141" s="16" t="str">
        <f aca="true">IF(B141="","",IF(L141="Liberado",IF(OR(I141="",K141&lt;=I141),"A tiempo","Liberada tarde"),IF(J141="","Sin compromiso",IF(TODAY()&gt;J141,"VENCIDA",IF(AND(I141&lt;&gt;"",J141&gt;I141),"En riesgo","En gestión")))))</f>
        <v/>
      </c>
      <c r="N141" s="15" t="str">
        <f aca="false">IF(OR(B141="",I141=""),"",IF(K141&lt;&gt;"",I141-K141,IF(J141&lt;&gt;"",I141-J141,"")))</f>
        <v/>
      </c>
      <c r="O141" s="9"/>
    </row>
    <row r="142" customFormat="false" ht="15" hidden="false" customHeight="false" outlineLevel="0" collapsed="false">
      <c r="A142" s="9"/>
      <c r="B142" s="9"/>
      <c r="C142" s="18" t="str">
        <f aca="false">IF(B142="","",IFERROR(INDEX(LOOKAHEAD!$B$5:$B$204,MATCH(B142,LOOKAHEAD!$A$5:$A$204,0)),"ID no existe"))</f>
        <v/>
      </c>
      <c r="D142" s="27" t="str">
        <f aca="false">IF(B142="","",IFERROR(INDEX(LOOKAHEAD!$I$5:$I$204,MATCH(B142,LOOKAHEAD!$A$5:$A$204,0)),""))</f>
        <v/>
      </c>
      <c r="E142" s="9"/>
      <c r="F142" s="9"/>
      <c r="G142" s="9"/>
      <c r="H142" s="14"/>
      <c r="I142" s="27" t="str">
        <f aca="false">IF(OR(D142="",D142=0),"",D142-$D$2)</f>
        <v/>
      </c>
      <c r="J142" s="14"/>
      <c r="K142" s="14"/>
      <c r="L142" s="16" t="str">
        <f aca="false">IF(B142="","",IF(K142&lt;&gt;"","Liberado","Pendiente"))</f>
        <v/>
      </c>
      <c r="M142" s="16" t="str">
        <f aca="true">IF(B142="","",IF(L142="Liberado",IF(OR(I142="",K142&lt;=I142),"A tiempo","Liberada tarde"),IF(J142="","Sin compromiso",IF(TODAY()&gt;J142,"VENCIDA",IF(AND(I142&lt;&gt;"",J142&gt;I142),"En riesgo","En gestión")))))</f>
        <v/>
      </c>
      <c r="N142" s="15" t="str">
        <f aca="false">IF(OR(B142="",I142=""),"",IF(K142&lt;&gt;"",I142-K142,IF(J142&lt;&gt;"",I142-J142,"")))</f>
        <v/>
      </c>
      <c r="O142" s="9"/>
    </row>
    <row r="143" customFormat="false" ht="15" hidden="false" customHeight="false" outlineLevel="0" collapsed="false">
      <c r="A143" s="9"/>
      <c r="B143" s="9"/>
      <c r="C143" s="18" t="str">
        <f aca="false">IF(B143="","",IFERROR(INDEX(LOOKAHEAD!$B$5:$B$204,MATCH(B143,LOOKAHEAD!$A$5:$A$204,0)),"ID no existe"))</f>
        <v/>
      </c>
      <c r="D143" s="27" t="str">
        <f aca="false">IF(B143="","",IFERROR(INDEX(LOOKAHEAD!$I$5:$I$204,MATCH(B143,LOOKAHEAD!$A$5:$A$204,0)),""))</f>
        <v/>
      </c>
      <c r="E143" s="9"/>
      <c r="F143" s="9"/>
      <c r="G143" s="9"/>
      <c r="H143" s="14"/>
      <c r="I143" s="27" t="str">
        <f aca="false">IF(OR(D143="",D143=0),"",D143-$D$2)</f>
        <v/>
      </c>
      <c r="J143" s="14"/>
      <c r="K143" s="14"/>
      <c r="L143" s="16" t="str">
        <f aca="false">IF(B143="","",IF(K143&lt;&gt;"","Liberado","Pendiente"))</f>
        <v/>
      </c>
      <c r="M143" s="16" t="str">
        <f aca="true">IF(B143="","",IF(L143="Liberado",IF(OR(I143="",K143&lt;=I143),"A tiempo","Liberada tarde"),IF(J143="","Sin compromiso",IF(TODAY()&gt;J143,"VENCIDA",IF(AND(I143&lt;&gt;"",J143&gt;I143),"En riesgo","En gestión")))))</f>
        <v/>
      </c>
      <c r="N143" s="15" t="str">
        <f aca="false">IF(OR(B143="",I143=""),"",IF(K143&lt;&gt;"",I143-K143,IF(J143&lt;&gt;"",I143-J143,"")))</f>
        <v/>
      </c>
      <c r="O143" s="9"/>
    </row>
    <row r="144" customFormat="false" ht="15" hidden="false" customHeight="false" outlineLevel="0" collapsed="false">
      <c r="A144" s="9"/>
      <c r="B144" s="9"/>
      <c r="C144" s="18" t="str">
        <f aca="false">IF(B144="","",IFERROR(INDEX(LOOKAHEAD!$B$5:$B$204,MATCH(B144,LOOKAHEAD!$A$5:$A$204,0)),"ID no existe"))</f>
        <v/>
      </c>
      <c r="D144" s="27" t="str">
        <f aca="false">IF(B144="","",IFERROR(INDEX(LOOKAHEAD!$I$5:$I$204,MATCH(B144,LOOKAHEAD!$A$5:$A$204,0)),""))</f>
        <v/>
      </c>
      <c r="E144" s="9"/>
      <c r="F144" s="9"/>
      <c r="G144" s="9"/>
      <c r="H144" s="14"/>
      <c r="I144" s="27" t="str">
        <f aca="false">IF(OR(D144="",D144=0),"",D144-$D$2)</f>
        <v/>
      </c>
      <c r="J144" s="14"/>
      <c r="K144" s="14"/>
      <c r="L144" s="16" t="str">
        <f aca="false">IF(B144="","",IF(K144&lt;&gt;"","Liberado","Pendiente"))</f>
        <v/>
      </c>
      <c r="M144" s="16" t="str">
        <f aca="true">IF(B144="","",IF(L144="Liberado",IF(OR(I144="",K144&lt;=I144),"A tiempo","Liberada tarde"),IF(J144="","Sin compromiso",IF(TODAY()&gt;J144,"VENCIDA",IF(AND(I144&lt;&gt;"",J144&gt;I144),"En riesgo","En gestión")))))</f>
        <v/>
      </c>
      <c r="N144" s="15" t="str">
        <f aca="false">IF(OR(B144="",I144=""),"",IF(K144&lt;&gt;"",I144-K144,IF(J144&lt;&gt;"",I144-J144,"")))</f>
        <v/>
      </c>
      <c r="O144" s="9"/>
    </row>
    <row r="145" customFormat="false" ht="15" hidden="false" customHeight="false" outlineLevel="0" collapsed="false">
      <c r="A145" s="9"/>
      <c r="B145" s="9"/>
      <c r="C145" s="18" t="str">
        <f aca="false">IF(B145="","",IFERROR(INDEX(LOOKAHEAD!$B$5:$B$204,MATCH(B145,LOOKAHEAD!$A$5:$A$204,0)),"ID no existe"))</f>
        <v/>
      </c>
      <c r="D145" s="27" t="str">
        <f aca="false">IF(B145="","",IFERROR(INDEX(LOOKAHEAD!$I$5:$I$204,MATCH(B145,LOOKAHEAD!$A$5:$A$204,0)),""))</f>
        <v/>
      </c>
      <c r="E145" s="9"/>
      <c r="F145" s="9"/>
      <c r="G145" s="9"/>
      <c r="H145" s="14"/>
      <c r="I145" s="27" t="str">
        <f aca="false">IF(OR(D145="",D145=0),"",D145-$D$2)</f>
        <v/>
      </c>
      <c r="J145" s="14"/>
      <c r="K145" s="14"/>
      <c r="L145" s="16" t="str">
        <f aca="false">IF(B145="","",IF(K145&lt;&gt;"","Liberado","Pendiente"))</f>
        <v/>
      </c>
      <c r="M145" s="16" t="str">
        <f aca="true">IF(B145="","",IF(L145="Liberado",IF(OR(I145="",K145&lt;=I145),"A tiempo","Liberada tarde"),IF(J145="","Sin compromiso",IF(TODAY()&gt;J145,"VENCIDA",IF(AND(I145&lt;&gt;"",J145&gt;I145),"En riesgo","En gestión")))))</f>
        <v/>
      </c>
      <c r="N145" s="15" t="str">
        <f aca="false">IF(OR(B145="",I145=""),"",IF(K145&lt;&gt;"",I145-K145,IF(J145&lt;&gt;"",I145-J145,"")))</f>
        <v/>
      </c>
      <c r="O145" s="9"/>
    </row>
    <row r="146" customFormat="false" ht="15" hidden="false" customHeight="false" outlineLevel="0" collapsed="false">
      <c r="A146" s="9"/>
      <c r="B146" s="9"/>
      <c r="C146" s="18" t="str">
        <f aca="false">IF(B146="","",IFERROR(INDEX(LOOKAHEAD!$B$5:$B$204,MATCH(B146,LOOKAHEAD!$A$5:$A$204,0)),"ID no existe"))</f>
        <v/>
      </c>
      <c r="D146" s="27" t="str">
        <f aca="false">IF(B146="","",IFERROR(INDEX(LOOKAHEAD!$I$5:$I$204,MATCH(B146,LOOKAHEAD!$A$5:$A$204,0)),""))</f>
        <v/>
      </c>
      <c r="E146" s="9"/>
      <c r="F146" s="9"/>
      <c r="G146" s="9"/>
      <c r="H146" s="14"/>
      <c r="I146" s="27" t="str">
        <f aca="false">IF(OR(D146="",D146=0),"",D146-$D$2)</f>
        <v/>
      </c>
      <c r="J146" s="14"/>
      <c r="K146" s="14"/>
      <c r="L146" s="16" t="str">
        <f aca="false">IF(B146="","",IF(K146&lt;&gt;"","Liberado","Pendiente"))</f>
        <v/>
      </c>
      <c r="M146" s="16" t="str">
        <f aca="true">IF(B146="","",IF(L146="Liberado",IF(OR(I146="",K146&lt;=I146),"A tiempo","Liberada tarde"),IF(J146="","Sin compromiso",IF(TODAY()&gt;J146,"VENCIDA",IF(AND(I146&lt;&gt;"",J146&gt;I146),"En riesgo","En gestión")))))</f>
        <v/>
      </c>
      <c r="N146" s="15" t="str">
        <f aca="false">IF(OR(B146="",I146=""),"",IF(K146&lt;&gt;"",I146-K146,IF(J146&lt;&gt;"",I146-J146,"")))</f>
        <v/>
      </c>
      <c r="O146" s="9"/>
    </row>
    <row r="147" customFormat="false" ht="15" hidden="false" customHeight="false" outlineLevel="0" collapsed="false">
      <c r="A147" s="9"/>
      <c r="B147" s="9"/>
      <c r="C147" s="18" t="str">
        <f aca="false">IF(B147="","",IFERROR(INDEX(LOOKAHEAD!$B$5:$B$204,MATCH(B147,LOOKAHEAD!$A$5:$A$204,0)),"ID no existe"))</f>
        <v/>
      </c>
      <c r="D147" s="27" t="str">
        <f aca="false">IF(B147="","",IFERROR(INDEX(LOOKAHEAD!$I$5:$I$204,MATCH(B147,LOOKAHEAD!$A$5:$A$204,0)),""))</f>
        <v/>
      </c>
      <c r="E147" s="9"/>
      <c r="F147" s="9"/>
      <c r="G147" s="9"/>
      <c r="H147" s="14"/>
      <c r="I147" s="27" t="str">
        <f aca="false">IF(OR(D147="",D147=0),"",D147-$D$2)</f>
        <v/>
      </c>
      <c r="J147" s="14"/>
      <c r="K147" s="14"/>
      <c r="L147" s="16" t="str">
        <f aca="false">IF(B147="","",IF(K147&lt;&gt;"","Liberado","Pendiente"))</f>
        <v/>
      </c>
      <c r="M147" s="16" t="str">
        <f aca="true">IF(B147="","",IF(L147="Liberado",IF(OR(I147="",K147&lt;=I147),"A tiempo","Liberada tarde"),IF(J147="","Sin compromiso",IF(TODAY()&gt;J147,"VENCIDA",IF(AND(I147&lt;&gt;"",J147&gt;I147),"En riesgo","En gestión")))))</f>
        <v/>
      </c>
      <c r="N147" s="15" t="str">
        <f aca="false">IF(OR(B147="",I147=""),"",IF(K147&lt;&gt;"",I147-K147,IF(J147&lt;&gt;"",I147-J147,"")))</f>
        <v/>
      </c>
      <c r="O147" s="9"/>
    </row>
    <row r="148" customFormat="false" ht="15" hidden="false" customHeight="false" outlineLevel="0" collapsed="false">
      <c r="A148" s="9"/>
      <c r="B148" s="9"/>
      <c r="C148" s="18" t="str">
        <f aca="false">IF(B148="","",IFERROR(INDEX(LOOKAHEAD!$B$5:$B$204,MATCH(B148,LOOKAHEAD!$A$5:$A$204,0)),"ID no existe"))</f>
        <v/>
      </c>
      <c r="D148" s="27" t="str">
        <f aca="false">IF(B148="","",IFERROR(INDEX(LOOKAHEAD!$I$5:$I$204,MATCH(B148,LOOKAHEAD!$A$5:$A$204,0)),""))</f>
        <v/>
      </c>
      <c r="E148" s="9"/>
      <c r="F148" s="9"/>
      <c r="G148" s="9"/>
      <c r="H148" s="14"/>
      <c r="I148" s="27" t="str">
        <f aca="false">IF(OR(D148="",D148=0),"",D148-$D$2)</f>
        <v/>
      </c>
      <c r="J148" s="14"/>
      <c r="K148" s="14"/>
      <c r="L148" s="16" t="str">
        <f aca="false">IF(B148="","",IF(K148&lt;&gt;"","Liberado","Pendiente"))</f>
        <v/>
      </c>
      <c r="M148" s="16" t="str">
        <f aca="true">IF(B148="","",IF(L148="Liberado",IF(OR(I148="",K148&lt;=I148),"A tiempo","Liberada tarde"),IF(J148="","Sin compromiso",IF(TODAY()&gt;J148,"VENCIDA",IF(AND(I148&lt;&gt;"",J148&gt;I148),"En riesgo","En gestión")))))</f>
        <v/>
      </c>
      <c r="N148" s="15" t="str">
        <f aca="false">IF(OR(B148="",I148=""),"",IF(K148&lt;&gt;"",I148-K148,IF(J148&lt;&gt;"",I148-J148,"")))</f>
        <v/>
      </c>
      <c r="O148" s="9"/>
    </row>
    <row r="149" customFormat="false" ht="15" hidden="false" customHeight="false" outlineLevel="0" collapsed="false">
      <c r="A149" s="9"/>
      <c r="B149" s="9"/>
      <c r="C149" s="18" t="str">
        <f aca="false">IF(B149="","",IFERROR(INDEX(LOOKAHEAD!$B$5:$B$204,MATCH(B149,LOOKAHEAD!$A$5:$A$204,0)),"ID no existe"))</f>
        <v/>
      </c>
      <c r="D149" s="27" t="str">
        <f aca="false">IF(B149="","",IFERROR(INDEX(LOOKAHEAD!$I$5:$I$204,MATCH(B149,LOOKAHEAD!$A$5:$A$204,0)),""))</f>
        <v/>
      </c>
      <c r="E149" s="9"/>
      <c r="F149" s="9"/>
      <c r="G149" s="9"/>
      <c r="H149" s="14"/>
      <c r="I149" s="27" t="str">
        <f aca="false">IF(OR(D149="",D149=0),"",D149-$D$2)</f>
        <v/>
      </c>
      <c r="J149" s="14"/>
      <c r="K149" s="14"/>
      <c r="L149" s="16" t="str">
        <f aca="false">IF(B149="","",IF(K149&lt;&gt;"","Liberado","Pendiente"))</f>
        <v/>
      </c>
      <c r="M149" s="16" t="str">
        <f aca="true">IF(B149="","",IF(L149="Liberado",IF(OR(I149="",K149&lt;=I149),"A tiempo","Liberada tarde"),IF(J149="","Sin compromiso",IF(TODAY()&gt;J149,"VENCIDA",IF(AND(I149&lt;&gt;"",J149&gt;I149),"En riesgo","En gestión")))))</f>
        <v/>
      </c>
      <c r="N149" s="15" t="str">
        <f aca="false">IF(OR(B149="",I149=""),"",IF(K149&lt;&gt;"",I149-K149,IF(J149&lt;&gt;"",I149-J149,"")))</f>
        <v/>
      </c>
      <c r="O149" s="9"/>
    </row>
    <row r="150" customFormat="false" ht="15" hidden="false" customHeight="false" outlineLevel="0" collapsed="false">
      <c r="A150" s="9"/>
      <c r="B150" s="9"/>
      <c r="C150" s="18" t="str">
        <f aca="false">IF(B150="","",IFERROR(INDEX(LOOKAHEAD!$B$5:$B$204,MATCH(B150,LOOKAHEAD!$A$5:$A$204,0)),"ID no existe"))</f>
        <v/>
      </c>
      <c r="D150" s="27" t="str">
        <f aca="false">IF(B150="","",IFERROR(INDEX(LOOKAHEAD!$I$5:$I$204,MATCH(B150,LOOKAHEAD!$A$5:$A$204,0)),""))</f>
        <v/>
      </c>
      <c r="E150" s="9"/>
      <c r="F150" s="9"/>
      <c r="G150" s="9"/>
      <c r="H150" s="14"/>
      <c r="I150" s="27" t="str">
        <f aca="false">IF(OR(D150="",D150=0),"",D150-$D$2)</f>
        <v/>
      </c>
      <c r="J150" s="14"/>
      <c r="K150" s="14"/>
      <c r="L150" s="16" t="str">
        <f aca="false">IF(B150="","",IF(K150&lt;&gt;"","Liberado","Pendiente"))</f>
        <v/>
      </c>
      <c r="M150" s="16" t="str">
        <f aca="true">IF(B150="","",IF(L150="Liberado",IF(OR(I150="",K150&lt;=I150),"A tiempo","Liberada tarde"),IF(J150="","Sin compromiso",IF(TODAY()&gt;J150,"VENCIDA",IF(AND(I150&lt;&gt;"",J150&gt;I150),"En riesgo","En gestión")))))</f>
        <v/>
      </c>
      <c r="N150" s="15" t="str">
        <f aca="false">IF(OR(B150="",I150=""),"",IF(K150&lt;&gt;"",I150-K150,IF(J150&lt;&gt;"",I150-J150,"")))</f>
        <v/>
      </c>
      <c r="O150" s="9"/>
    </row>
    <row r="151" customFormat="false" ht="15" hidden="false" customHeight="false" outlineLevel="0" collapsed="false">
      <c r="A151" s="9"/>
      <c r="B151" s="9"/>
      <c r="C151" s="18" t="str">
        <f aca="false">IF(B151="","",IFERROR(INDEX(LOOKAHEAD!$B$5:$B$204,MATCH(B151,LOOKAHEAD!$A$5:$A$204,0)),"ID no existe"))</f>
        <v/>
      </c>
      <c r="D151" s="27" t="str">
        <f aca="false">IF(B151="","",IFERROR(INDEX(LOOKAHEAD!$I$5:$I$204,MATCH(B151,LOOKAHEAD!$A$5:$A$204,0)),""))</f>
        <v/>
      </c>
      <c r="E151" s="9"/>
      <c r="F151" s="9"/>
      <c r="G151" s="9"/>
      <c r="H151" s="14"/>
      <c r="I151" s="27" t="str">
        <f aca="false">IF(OR(D151="",D151=0),"",D151-$D$2)</f>
        <v/>
      </c>
      <c r="J151" s="14"/>
      <c r="K151" s="14"/>
      <c r="L151" s="16" t="str">
        <f aca="false">IF(B151="","",IF(K151&lt;&gt;"","Liberado","Pendiente"))</f>
        <v/>
      </c>
      <c r="M151" s="16" t="str">
        <f aca="true">IF(B151="","",IF(L151="Liberado",IF(OR(I151="",K151&lt;=I151),"A tiempo","Liberada tarde"),IF(J151="","Sin compromiso",IF(TODAY()&gt;J151,"VENCIDA",IF(AND(I151&lt;&gt;"",J151&gt;I151),"En riesgo","En gestión")))))</f>
        <v/>
      </c>
      <c r="N151" s="15" t="str">
        <f aca="false">IF(OR(B151="",I151=""),"",IF(K151&lt;&gt;"",I151-K151,IF(J151&lt;&gt;"",I151-J151,"")))</f>
        <v/>
      </c>
      <c r="O151" s="9"/>
    </row>
    <row r="152" customFormat="false" ht="15" hidden="false" customHeight="false" outlineLevel="0" collapsed="false">
      <c r="A152" s="9"/>
      <c r="B152" s="9"/>
      <c r="C152" s="18" t="str">
        <f aca="false">IF(B152="","",IFERROR(INDEX(LOOKAHEAD!$B$5:$B$204,MATCH(B152,LOOKAHEAD!$A$5:$A$204,0)),"ID no existe"))</f>
        <v/>
      </c>
      <c r="D152" s="27" t="str">
        <f aca="false">IF(B152="","",IFERROR(INDEX(LOOKAHEAD!$I$5:$I$204,MATCH(B152,LOOKAHEAD!$A$5:$A$204,0)),""))</f>
        <v/>
      </c>
      <c r="E152" s="9"/>
      <c r="F152" s="9"/>
      <c r="G152" s="9"/>
      <c r="H152" s="14"/>
      <c r="I152" s="27" t="str">
        <f aca="false">IF(OR(D152="",D152=0),"",D152-$D$2)</f>
        <v/>
      </c>
      <c r="J152" s="14"/>
      <c r="K152" s="14"/>
      <c r="L152" s="16" t="str">
        <f aca="false">IF(B152="","",IF(K152&lt;&gt;"","Liberado","Pendiente"))</f>
        <v/>
      </c>
      <c r="M152" s="16" t="str">
        <f aca="true">IF(B152="","",IF(L152="Liberado",IF(OR(I152="",K152&lt;=I152),"A tiempo","Liberada tarde"),IF(J152="","Sin compromiso",IF(TODAY()&gt;J152,"VENCIDA",IF(AND(I152&lt;&gt;"",J152&gt;I152),"En riesgo","En gestión")))))</f>
        <v/>
      </c>
      <c r="N152" s="15" t="str">
        <f aca="false">IF(OR(B152="",I152=""),"",IF(K152&lt;&gt;"",I152-K152,IF(J152&lt;&gt;"",I152-J152,"")))</f>
        <v/>
      </c>
      <c r="O152" s="9"/>
    </row>
    <row r="153" customFormat="false" ht="15" hidden="false" customHeight="false" outlineLevel="0" collapsed="false">
      <c r="A153" s="9"/>
      <c r="B153" s="9"/>
      <c r="C153" s="18" t="str">
        <f aca="false">IF(B153="","",IFERROR(INDEX(LOOKAHEAD!$B$5:$B$204,MATCH(B153,LOOKAHEAD!$A$5:$A$204,0)),"ID no existe"))</f>
        <v/>
      </c>
      <c r="D153" s="27" t="str">
        <f aca="false">IF(B153="","",IFERROR(INDEX(LOOKAHEAD!$I$5:$I$204,MATCH(B153,LOOKAHEAD!$A$5:$A$204,0)),""))</f>
        <v/>
      </c>
      <c r="E153" s="9"/>
      <c r="F153" s="9"/>
      <c r="G153" s="9"/>
      <c r="H153" s="14"/>
      <c r="I153" s="27" t="str">
        <f aca="false">IF(OR(D153="",D153=0),"",D153-$D$2)</f>
        <v/>
      </c>
      <c r="J153" s="14"/>
      <c r="K153" s="14"/>
      <c r="L153" s="16" t="str">
        <f aca="false">IF(B153="","",IF(K153&lt;&gt;"","Liberado","Pendiente"))</f>
        <v/>
      </c>
      <c r="M153" s="16" t="str">
        <f aca="true">IF(B153="","",IF(L153="Liberado",IF(OR(I153="",K153&lt;=I153),"A tiempo","Liberada tarde"),IF(J153="","Sin compromiso",IF(TODAY()&gt;J153,"VENCIDA",IF(AND(I153&lt;&gt;"",J153&gt;I153),"En riesgo","En gestión")))))</f>
        <v/>
      </c>
      <c r="N153" s="15" t="str">
        <f aca="false">IF(OR(B153="",I153=""),"",IF(K153&lt;&gt;"",I153-K153,IF(J153&lt;&gt;"",I153-J153,"")))</f>
        <v/>
      </c>
      <c r="O153" s="9"/>
    </row>
    <row r="154" customFormat="false" ht="15" hidden="false" customHeight="false" outlineLevel="0" collapsed="false">
      <c r="A154" s="9"/>
      <c r="B154" s="9"/>
      <c r="C154" s="18" t="str">
        <f aca="false">IF(B154="","",IFERROR(INDEX(LOOKAHEAD!$B$5:$B$204,MATCH(B154,LOOKAHEAD!$A$5:$A$204,0)),"ID no existe"))</f>
        <v/>
      </c>
      <c r="D154" s="27" t="str">
        <f aca="false">IF(B154="","",IFERROR(INDEX(LOOKAHEAD!$I$5:$I$204,MATCH(B154,LOOKAHEAD!$A$5:$A$204,0)),""))</f>
        <v/>
      </c>
      <c r="E154" s="9"/>
      <c r="F154" s="9"/>
      <c r="G154" s="9"/>
      <c r="H154" s="14"/>
      <c r="I154" s="27" t="str">
        <f aca="false">IF(OR(D154="",D154=0),"",D154-$D$2)</f>
        <v/>
      </c>
      <c r="J154" s="14"/>
      <c r="K154" s="14"/>
      <c r="L154" s="16" t="str">
        <f aca="false">IF(B154="","",IF(K154&lt;&gt;"","Liberado","Pendiente"))</f>
        <v/>
      </c>
      <c r="M154" s="16" t="str">
        <f aca="true">IF(B154="","",IF(L154="Liberado",IF(OR(I154="",K154&lt;=I154),"A tiempo","Liberada tarde"),IF(J154="","Sin compromiso",IF(TODAY()&gt;J154,"VENCIDA",IF(AND(I154&lt;&gt;"",J154&gt;I154),"En riesgo","En gestión")))))</f>
        <v/>
      </c>
      <c r="N154" s="15" t="str">
        <f aca="false">IF(OR(B154="",I154=""),"",IF(K154&lt;&gt;"",I154-K154,IF(J154&lt;&gt;"",I154-J154,"")))</f>
        <v/>
      </c>
      <c r="O154" s="9"/>
    </row>
    <row r="155" customFormat="false" ht="15" hidden="false" customHeight="false" outlineLevel="0" collapsed="false">
      <c r="A155" s="9"/>
      <c r="B155" s="9"/>
      <c r="C155" s="18" t="str">
        <f aca="false">IF(B155="","",IFERROR(INDEX(LOOKAHEAD!$B$5:$B$204,MATCH(B155,LOOKAHEAD!$A$5:$A$204,0)),"ID no existe"))</f>
        <v/>
      </c>
      <c r="D155" s="27" t="str">
        <f aca="false">IF(B155="","",IFERROR(INDEX(LOOKAHEAD!$I$5:$I$204,MATCH(B155,LOOKAHEAD!$A$5:$A$204,0)),""))</f>
        <v/>
      </c>
      <c r="E155" s="9"/>
      <c r="F155" s="9"/>
      <c r="G155" s="9"/>
      <c r="H155" s="14"/>
      <c r="I155" s="27" t="str">
        <f aca="false">IF(OR(D155="",D155=0),"",D155-$D$2)</f>
        <v/>
      </c>
      <c r="J155" s="14"/>
      <c r="K155" s="14"/>
      <c r="L155" s="16" t="str">
        <f aca="false">IF(B155="","",IF(K155&lt;&gt;"","Liberado","Pendiente"))</f>
        <v/>
      </c>
      <c r="M155" s="16" t="str">
        <f aca="true">IF(B155="","",IF(L155="Liberado",IF(OR(I155="",K155&lt;=I155),"A tiempo","Liberada tarde"),IF(J155="","Sin compromiso",IF(TODAY()&gt;J155,"VENCIDA",IF(AND(I155&lt;&gt;"",J155&gt;I155),"En riesgo","En gestión")))))</f>
        <v/>
      </c>
      <c r="N155" s="15" t="str">
        <f aca="false">IF(OR(B155="",I155=""),"",IF(K155&lt;&gt;"",I155-K155,IF(J155&lt;&gt;"",I155-J155,"")))</f>
        <v/>
      </c>
      <c r="O155" s="9"/>
    </row>
    <row r="156" customFormat="false" ht="15" hidden="false" customHeight="false" outlineLevel="0" collapsed="false">
      <c r="A156" s="9"/>
      <c r="B156" s="9"/>
      <c r="C156" s="18" t="str">
        <f aca="false">IF(B156="","",IFERROR(INDEX(LOOKAHEAD!$B$5:$B$204,MATCH(B156,LOOKAHEAD!$A$5:$A$204,0)),"ID no existe"))</f>
        <v/>
      </c>
      <c r="D156" s="27" t="str">
        <f aca="false">IF(B156="","",IFERROR(INDEX(LOOKAHEAD!$I$5:$I$204,MATCH(B156,LOOKAHEAD!$A$5:$A$204,0)),""))</f>
        <v/>
      </c>
      <c r="E156" s="9"/>
      <c r="F156" s="9"/>
      <c r="G156" s="9"/>
      <c r="H156" s="14"/>
      <c r="I156" s="27" t="str">
        <f aca="false">IF(OR(D156="",D156=0),"",D156-$D$2)</f>
        <v/>
      </c>
      <c r="J156" s="14"/>
      <c r="K156" s="14"/>
      <c r="L156" s="16" t="str">
        <f aca="false">IF(B156="","",IF(K156&lt;&gt;"","Liberado","Pendiente"))</f>
        <v/>
      </c>
      <c r="M156" s="16" t="str">
        <f aca="true">IF(B156="","",IF(L156="Liberado",IF(OR(I156="",K156&lt;=I156),"A tiempo","Liberada tarde"),IF(J156="","Sin compromiso",IF(TODAY()&gt;J156,"VENCIDA",IF(AND(I156&lt;&gt;"",J156&gt;I156),"En riesgo","En gestión")))))</f>
        <v/>
      </c>
      <c r="N156" s="15" t="str">
        <f aca="false">IF(OR(B156="",I156=""),"",IF(K156&lt;&gt;"",I156-K156,IF(J156&lt;&gt;"",I156-J156,"")))</f>
        <v/>
      </c>
      <c r="O156" s="9"/>
    </row>
    <row r="157" customFormat="false" ht="15" hidden="false" customHeight="false" outlineLevel="0" collapsed="false">
      <c r="A157" s="9"/>
      <c r="B157" s="9"/>
      <c r="C157" s="18" t="str">
        <f aca="false">IF(B157="","",IFERROR(INDEX(LOOKAHEAD!$B$5:$B$204,MATCH(B157,LOOKAHEAD!$A$5:$A$204,0)),"ID no existe"))</f>
        <v/>
      </c>
      <c r="D157" s="27" t="str">
        <f aca="false">IF(B157="","",IFERROR(INDEX(LOOKAHEAD!$I$5:$I$204,MATCH(B157,LOOKAHEAD!$A$5:$A$204,0)),""))</f>
        <v/>
      </c>
      <c r="E157" s="9"/>
      <c r="F157" s="9"/>
      <c r="G157" s="9"/>
      <c r="H157" s="14"/>
      <c r="I157" s="27" t="str">
        <f aca="false">IF(OR(D157="",D157=0),"",D157-$D$2)</f>
        <v/>
      </c>
      <c r="J157" s="14"/>
      <c r="K157" s="14"/>
      <c r="L157" s="16" t="str">
        <f aca="false">IF(B157="","",IF(K157&lt;&gt;"","Liberado","Pendiente"))</f>
        <v/>
      </c>
      <c r="M157" s="16" t="str">
        <f aca="true">IF(B157="","",IF(L157="Liberado",IF(OR(I157="",K157&lt;=I157),"A tiempo","Liberada tarde"),IF(J157="","Sin compromiso",IF(TODAY()&gt;J157,"VENCIDA",IF(AND(I157&lt;&gt;"",J157&gt;I157),"En riesgo","En gestión")))))</f>
        <v/>
      </c>
      <c r="N157" s="15" t="str">
        <f aca="false">IF(OR(B157="",I157=""),"",IF(K157&lt;&gt;"",I157-K157,IF(J157&lt;&gt;"",I157-J157,"")))</f>
        <v/>
      </c>
      <c r="O157" s="9"/>
    </row>
    <row r="158" customFormat="false" ht="15" hidden="false" customHeight="false" outlineLevel="0" collapsed="false">
      <c r="A158" s="9"/>
      <c r="B158" s="9"/>
      <c r="C158" s="18" t="str">
        <f aca="false">IF(B158="","",IFERROR(INDEX(LOOKAHEAD!$B$5:$B$204,MATCH(B158,LOOKAHEAD!$A$5:$A$204,0)),"ID no existe"))</f>
        <v/>
      </c>
      <c r="D158" s="27" t="str">
        <f aca="false">IF(B158="","",IFERROR(INDEX(LOOKAHEAD!$I$5:$I$204,MATCH(B158,LOOKAHEAD!$A$5:$A$204,0)),""))</f>
        <v/>
      </c>
      <c r="E158" s="9"/>
      <c r="F158" s="9"/>
      <c r="G158" s="9"/>
      <c r="H158" s="14"/>
      <c r="I158" s="27" t="str">
        <f aca="false">IF(OR(D158="",D158=0),"",D158-$D$2)</f>
        <v/>
      </c>
      <c r="J158" s="14"/>
      <c r="K158" s="14"/>
      <c r="L158" s="16" t="str">
        <f aca="false">IF(B158="","",IF(K158&lt;&gt;"","Liberado","Pendiente"))</f>
        <v/>
      </c>
      <c r="M158" s="16" t="str">
        <f aca="true">IF(B158="","",IF(L158="Liberado",IF(OR(I158="",K158&lt;=I158),"A tiempo","Liberada tarde"),IF(J158="","Sin compromiso",IF(TODAY()&gt;J158,"VENCIDA",IF(AND(I158&lt;&gt;"",J158&gt;I158),"En riesgo","En gestión")))))</f>
        <v/>
      </c>
      <c r="N158" s="15" t="str">
        <f aca="false">IF(OR(B158="",I158=""),"",IF(K158&lt;&gt;"",I158-K158,IF(J158&lt;&gt;"",I158-J158,"")))</f>
        <v/>
      </c>
      <c r="O158" s="9"/>
    </row>
    <row r="159" customFormat="false" ht="15" hidden="false" customHeight="false" outlineLevel="0" collapsed="false">
      <c r="A159" s="9"/>
      <c r="B159" s="9"/>
      <c r="C159" s="18" t="str">
        <f aca="false">IF(B159="","",IFERROR(INDEX(LOOKAHEAD!$B$5:$B$204,MATCH(B159,LOOKAHEAD!$A$5:$A$204,0)),"ID no existe"))</f>
        <v/>
      </c>
      <c r="D159" s="27" t="str">
        <f aca="false">IF(B159="","",IFERROR(INDEX(LOOKAHEAD!$I$5:$I$204,MATCH(B159,LOOKAHEAD!$A$5:$A$204,0)),""))</f>
        <v/>
      </c>
      <c r="E159" s="9"/>
      <c r="F159" s="9"/>
      <c r="G159" s="9"/>
      <c r="H159" s="14"/>
      <c r="I159" s="27" t="str">
        <f aca="false">IF(OR(D159="",D159=0),"",D159-$D$2)</f>
        <v/>
      </c>
      <c r="J159" s="14"/>
      <c r="K159" s="14"/>
      <c r="L159" s="16" t="str">
        <f aca="false">IF(B159="","",IF(K159&lt;&gt;"","Liberado","Pendiente"))</f>
        <v/>
      </c>
      <c r="M159" s="16" t="str">
        <f aca="true">IF(B159="","",IF(L159="Liberado",IF(OR(I159="",K159&lt;=I159),"A tiempo","Liberada tarde"),IF(J159="","Sin compromiso",IF(TODAY()&gt;J159,"VENCIDA",IF(AND(I159&lt;&gt;"",J159&gt;I159),"En riesgo","En gestión")))))</f>
        <v/>
      </c>
      <c r="N159" s="15" t="str">
        <f aca="false">IF(OR(B159="",I159=""),"",IF(K159&lt;&gt;"",I159-K159,IF(J159&lt;&gt;"",I159-J159,"")))</f>
        <v/>
      </c>
      <c r="O159" s="9"/>
    </row>
    <row r="160" customFormat="false" ht="15" hidden="false" customHeight="false" outlineLevel="0" collapsed="false">
      <c r="A160" s="9"/>
      <c r="B160" s="9"/>
      <c r="C160" s="18" t="str">
        <f aca="false">IF(B160="","",IFERROR(INDEX(LOOKAHEAD!$B$5:$B$204,MATCH(B160,LOOKAHEAD!$A$5:$A$204,0)),"ID no existe"))</f>
        <v/>
      </c>
      <c r="D160" s="27" t="str">
        <f aca="false">IF(B160="","",IFERROR(INDEX(LOOKAHEAD!$I$5:$I$204,MATCH(B160,LOOKAHEAD!$A$5:$A$204,0)),""))</f>
        <v/>
      </c>
      <c r="E160" s="9"/>
      <c r="F160" s="9"/>
      <c r="G160" s="9"/>
      <c r="H160" s="14"/>
      <c r="I160" s="27" t="str">
        <f aca="false">IF(OR(D160="",D160=0),"",D160-$D$2)</f>
        <v/>
      </c>
      <c r="J160" s="14"/>
      <c r="K160" s="14"/>
      <c r="L160" s="16" t="str">
        <f aca="false">IF(B160="","",IF(K160&lt;&gt;"","Liberado","Pendiente"))</f>
        <v/>
      </c>
      <c r="M160" s="16" t="str">
        <f aca="true">IF(B160="","",IF(L160="Liberado",IF(OR(I160="",K160&lt;=I160),"A tiempo","Liberada tarde"),IF(J160="","Sin compromiso",IF(TODAY()&gt;J160,"VENCIDA",IF(AND(I160&lt;&gt;"",J160&gt;I160),"En riesgo","En gestión")))))</f>
        <v/>
      </c>
      <c r="N160" s="15" t="str">
        <f aca="false">IF(OR(B160="",I160=""),"",IF(K160&lt;&gt;"",I160-K160,IF(J160&lt;&gt;"",I160-J160,"")))</f>
        <v/>
      </c>
      <c r="O160" s="9"/>
    </row>
    <row r="161" customFormat="false" ht="15" hidden="false" customHeight="false" outlineLevel="0" collapsed="false">
      <c r="A161" s="9"/>
      <c r="B161" s="9"/>
      <c r="C161" s="18" t="str">
        <f aca="false">IF(B161="","",IFERROR(INDEX(LOOKAHEAD!$B$5:$B$204,MATCH(B161,LOOKAHEAD!$A$5:$A$204,0)),"ID no existe"))</f>
        <v/>
      </c>
      <c r="D161" s="27" t="str">
        <f aca="false">IF(B161="","",IFERROR(INDEX(LOOKAHEAD!$I$5:$I$204,MATCH(B161,LOOKAHEAD!$A$5:$A$204,0)),""))</f>
        <v/>
      </c>
      <c r="E161" s="9"/>
      <c r="F161" s="9"/>
      <c r="G161" s="9"/>
      <c r="H161" s="14"/>
      <c r="I161" s="27" t="str">
        <f aca="false">IF(OR(D161="",D161=0),"",D161-$D$2)</f>
        <v/>
      </c>
      <c r="J161" s="14"/>
      <c r="K161" s="14"/>
      <c r="L161" s="16" t="str">
        <f aca="false">IF(B161="","",IF(K161&lt;&gt;"","Liberado","Pendiente"))</f>
        <v/>
      </c>
      <c r="M161" s="16" t="str">
        <f aca="true">IF(B161="","",IF(L161="Liberado",IF(OR(I161="",K161&lt;=I161),"A tiempo","Liberada tarde"),IF(J161="","Sin compromiso",IF(TODAY()&gt;J161,"VENCIDA",IF(AND(I161&lt;&gt;"",J161&gt;I161),"En riesgo","En gestión")))))</f>
        <v/>
      </c>
      <c r="N161" s="15" t="str">
        <f aca="false">IF(OR(B161="",I161=""),"",IF(K161&lt;&gt;"",I161-K161,IF(J161&lt;&gt;"",I161-J161,"")))</f>
        <v/>
      </c>
      <c r="O161" s="9"/>
    </row>
    <row r="162" customFormat="false" ht="15" hidden="false" customHeight="false" outlineLevel="0" collapsed="false">
      <c r="A162" s="9"/>
      <c r="B162" s="9"/>
      <c r="C162" s="18" t="str">
        <f aca="false">IF(B162="","",IFERROR(INDEX(LOOKAHEAD!$B$5:$B$204,MATCH(B162,LOOKAHEAD!$A$5:$A$204,0)),"ID no existe"))</f>
        <v/>
      </c>
      <c r="D162" s="27" t="str">
        <f aca="false">IF(B162="","",IFERROR(INDEX(LOOKAHEAD!$I$5:$I$204,MATCH(B162,LOOKAHEAD!$A$5:$A$204,0)),""))</f>
        <v/>
      </c>
      <c r="E162" s="9"/>
      <c r="F162" s="9"/>
      <c r="G162" s="9"/>
      <c r="H162" s="14"/>
      <c r="I162" s="27" t="str">
        <f aca="false">IF(OR(D162="",D162=0),"",D162-$D$2)</f>
        <v/>
      </c>
      <c r="J162" s="14"/>
      <c r="K162" s="14"/>
      <c r="L162" s="16" t="str">
        <f aca="false">IF(B162="","",IF(K162&lt;&gt;"","Liberado","Pendiente"))</f>
        <v/>
      </c>
      <c r="M162" s="16" t="str">
        <f aca="true">IF(B162="","",IF(L162="Liberado",IF(OR(I162="",K162&lt;=I162),"A tiempo","Liberada tarde"),IF(J162="","Sin compromiso",IF(TODAY()&gt;J162,"VENCIDA",IF(AND(I162&lt;&gt;"",J162&gt;I162),"En riesgo","En gestión")))))</f>
        <v/>
      </c>
      <c r="N162" s="15" t="str">
        <f aca="false">IF(OR(B162="",I162=""),"",IF(K162&lt;&gt;"",I162-K162,IF(J162&lt;&gt;"",I162-J162,"")))</f>
        <v/>
      </c>
      <c r="O162" s="9"/>
    </row>
    <row r="163" customFormat="false" ht="15" hidden="false" customHeight="false" outlineLevel="0" collapsed="false">
      <c r="A163" s="9"/>
      <c r="B163" s="9"/>
      <c r="C163" s="18" t="str">
        <f aca="false">IF(B163="","",IFERROR(INDEX(LOOKAHEAD!$B$5:$B$204,MATCH(B163,LOOKAHEAD!$A$5:$A$204,0)),"ID no existe"))</f>
        <v/>
      </c>
      <c r="D163" s="27" t="str">
        <f aca="false">IF(B163="","",IFERROR(INDEX(LOOKAHEAD!$I$5:$I$204,MATCH(B163,LOOKAHEAD!$A$5:$A$204,0)),""))</f>
        <v/>
      </c>
      <c r="E163" s="9"/>
      <c r="F163" s="9"/>
      <c r="G163" s="9"/>
      <c r="H163" s="14"/>
      <c r="I163" s="27" t="str">
        <f aca="false">IF(OR(D163="",D163=0),"",D163-$D$2)</f>
        <v/>
      </c>
      <c r="J163" s="14"/>
      <c r="K163" s="14"/>
      <c r="L163" s="16" t="str">
        <f aca="false">IF(B163="","",IF(K163&lt;&gt;"","Liberado","Pendiente"))</f>
        <v/>
      </c>
      <c r="M163" s="16" t="str">
        <f aca="true">IF(B163="","",IF(L163="Liberado",IF(OR(I163="",K163&lt;=I163),"A tiempo","Liberada tarde"),IF(J163="","Sin compromiso",IF(TODAY()&gt;J163,"VENCIDA",IF(AND(I163&lt;&gt;"",J163&gt;I163),"En riesgo","En gestión")))))</f>
        <v/>
      </c>
      <c r="N163" s="15" t="str">
        <f aca="false">IF(OR(B163="",I163=""),"",IF(K163&lt;&gt;"",I163-K163,IF(J163&lt;&gt;"",I163-J163,"")))</f>
        <v/>
      </c>
      <c r="O163" s="9"/>
    </row>
    <row r="164" customFormat="false" ht="15" hidden="false" customHeight="false" outlineLevel="0" collapsed="false">
      <c r="A164" s="9"/>
      <c r="B164" s="9"/>
      <c r="C164" s="18" t="str">
        <f aca="false">IF(B164="","",IFERROR(INDEX(LOOKAHEAD!$B$5:$B$204,MATCH(B164,LOOKAHEAD!$A$5:$A$204,0)),"ID no existe"))</f>
        <v/>
      </c>
      <c r="D164" s="27" t="str">
        <f aca="false">IF(B164="","",IFERROR(INDEX(LOOKAHEAD!$I$5:$I$204,MATCH(B164,LOOKAHEAD!$A$5:$A$204,0)),""))</f>
        <v/>
      </c>
      <c r="E164" s="9"/>
      <c r="F164" s="9"/>
      <c r="G164" s="9"/>
      <c r="H164" s="14"/>
      <c r="I164" s="27" t="str">
        <f aca="false">IF(OR(D164="",D164=0),"",D164-$D$2)</f>
        <v/>
      </c>
      <c r="J164" s="14"/>
      <c r="K164" s="14"/>
      <c r="L164" s="16" t="str">
        <f aca="false">IF(B164="","",IF(K164&lt;&gt;"","Liberado","Pendiente"))</f>
        <v/>
      </c>
      <c r="M164" s="16" t="str">
        <f aca="true">IF(B164="","",IF(L164="Liberado",IF(OR(I164="",K164&lt;=I164),"A tiempo","Liberada tarde"),IF(J164="","Sin compromiso",IF(TODAY()&gt;J164,"VENCIDA",IF(AND(I164&lt;&gt;"",J164&gt;I164),"En riesgo","En gestión")))))</f>
        <v/>
      </c>
      <c r="N164" s="15" t="str">
        <f aca="false">IF(OR(B164="",I164=""),"",IF(K164&lt;&gt;"",I164-K164,IF(J164&lt;&gt;"",I164-J164,"")))</f>
        <v/>
      </c>
      <c r="O164" s="9"/>
    </row>
    <row r="165" customFormat="false" ht="15" hidden="false" customHeight="false" outlineLevel="0" collapsed="false">
      <c r="A165" s="9"/>
      <c r="B165" s="9"/>
      <c r="C165" s="18" t="str">
        <f aca="false">IF(B165="","",IFERROR(INDEX(LOOKAHEAD!$B$5:$B$204,MATCH(B165,LOOKAHEAD!$A$5:$A$204,0)),"ID no existe"))</f>
        <v/>
      </c>
      <c r="D165" s="27" t="str">
        <f aca="false">IF(B165="","",IFERROR(INDEX(LOOKAHEAD!$I$5:$I$204,MATCH(B165,LOOKAHEAD!$A$5:$A$204,0)),""))</f>
        <v/>
      </c>
      <c r="E165" s="9"/>
      <c r="F165" s="9"/>
      <c r="G165" s="9"/>
      <c r="H165" s="14"/>
      <c r="I165" s="27" t="str">
        <f aca="false">IF(OR(D165="",D165=0),"",D165-$D$2)</f>
        <v/>
      </c>
      <c r="J165" s="14"/>
      <c r="K165" s="14"/>
      <c r="L165" s="16" t="str">
        <f aca="false">IF(B165="","",IF(K165&lt;&gt;"","Liberado","Pendiente"))</f>
        <v/>
      </c>
      <c r="M165" s="16" t="str">
        <f aca="true">IF(B165="","",IF(L165="Liberado",IF(OR(I165="",K165&lt;=I165),"A tiempo","Liberada tarde"),IF(J165="","Sin compromiso",IF(TODAY()&gt;J165,"VENCIDA",IF(AND(I165&lt;&gt;"",J165&gt;I165),"En riesgo","En gestión")))))</f>
        <v/>
      </c>
      <c r="N165" s="15" t="str">
        <f aca="false">IF(OR(B165="",I165=""),"",IF(K165&lt;&gt;"",I165-K165,IF(J165&lt;&gt;"",I165-J165,"")))</f>
        <v/>
      </c>
      <c r="O165" s="9"/>
    </row>
    <row r="166" customFormat="false" ht="15" hidden="false" customHeight="false" outlineLevel="0" collapsed="false">
      <c r="A166" s="9"/>
      <c r="B166" s="9"/>
      <c r="C166" s="18" t="str">
        <f aca="false">IF(B166="","",IFERROR(INDEX(LOOKAHEAD!$B$5:$B$204,MATCH(B166,LOOKAHEAD!$A$5:$A$204,0)),"ID no existe"))</f>
        <v/>
      </c>
      <c r="D166" s="27" t="str">
        <f aca="false">IF(B166="","",IFERROR(INDEX(LOOKAHEAD!$I$5:$I$204,MATCH(B166,LOOKAHEAD!$A$5:$A$204,0)),""))</f>
        <v/>
      </c>
      <c r="E166" s="9"/>
      <c r="F166" s="9"/>
      <c r="G166" s="9"/>
      <c r="H166" s="14"/>
      <c r="I166" s="27" t="str">
        <f aca="false">IF(OR(D166="",D166=0),"",D166-$D$2)</f>
        <v/>
      </c>
      <c r="J166" s="14"/>
      <c r="K166" s="14"/>
      <c r="L166" s="16" t="str">
        <f aca="false">IF(B166="","",IF(K166&lt;&gt;"","Liberado","Pendiente"))</f>
        <v/>
      </c>
      <c r="M166" s="16" t="str">
        <f aca="true">IF(B166="","",IF(L166="Liberado",IF(OR(I166="",K166&lt;=I166),"A tiempo","Liberada tarde"),IF(J166="","Sin compromiso",IF(TODAY()&gt;J166,"VENCIDA",IF(AND(I166&lt;&gt;"",J166&gt;I166),"En riesgo","En gestión")))))</f>
        <v/>
      </c>
      <c r="N166" s="15" t="str">
        <f aca="false">IF(OR(B166="",I166=""),"",IF(K166&lt;&gt;"",I166-K166,IF(J166&lt;&gt;"",I166-J166,"")))</f>
        <v/>
      </c>
      <c r="O166" s="9"/>
    </row>
    <row r="167" customFormat="false" ht="15" hidden="false" customHeight="false" outlineLevel="0" collapsed="false">
      <c r="A167" s="9"/>
      <c r="B167" s="9"/>
      <c r="C167" s="18" t="str">
        <f aca="false">IF(B167="","",IFERROR(INDEX(LOOKAHEAD!$B$5:$B$204,MATCH(B167,LOOKAHEAD!$A$5:$A$204,0)),"ID no existe"))</f>
        <v/>
      </c>
      <c r="D167" s="27" t="str">
        <f aca="false">IF(B167="","",IFERROR(INDEX(LOOKAHEAD!$I$5:$I$204,MATCH(B167,LOOKAHEAD!$A$5:$A$204,0)),""))</f>
        <v/>
      </c>
      <c r="E167" s="9"/>
      <c r="F167" s="9"/>
      <c r="G167" s="9"/>
      <c r="H167" s="14"/>
      <c r="I167" s="27" t="str">
        <f aca="false">IF(OR(D167="",D167=0),"",D167-$D$2)</f>
        <v/>
      </c>
      <c r="J167" s="14"/>
      <c r="K167" s="14"/>
      <c r="L167" s="16" t="str">
        <f aca="false">IF(B167="","",IF(K167&lt;&gt;"","Liberado","Pendiente"))</f>
        <v/>
      </c>
      <c r="M167" s="16" t="str">
        <f aca="true">IF(B167="","",IF(L167="Liberado",IF(OR(I167="",K167&lt;=I167),"A tiempo","Liberada tarde"),IF(J167="","Sin compromiso",IF(TODAY()&gt;J167,"VENCIDA",IF(AND(I167&lt;&gt;"",J167&gt;I167),"En riesgo","En gestión")))))</f>
        <v/>
      </c>
      <c r="N167" s="15" t="str">
        <f aca="false">IF(OR(B167="",I167=""),"",IF(K167&lt;&gt;"",I167-K167,IF(J167&lt;&gt;"",I167-J167,"")))</f>
        <v/>
      </c>
      <c r="O167" s="9"/>
    </row>
    <row r="168" customFormat="false" ht="15" hidden="false" customHeight="false" outlineLevel="0" collapsed="false">
      <c r="A168" s="9"/>
      <c r="B168" s="9"/>
      <c r="C168" s="18" t="str">
        <f aca="false">IF(B168="","",IFERROR(INDEX(LOOKAHEAD!$B$5:$B$204,MATCH(B168,LOOKAHEAD!$A$5:$A$204,0)),"ID no existe"))</f>
        <v/>
      </c>
      <c r="D168" s="27" t="str">
        <f aca="false">IF(B168="","",IFERROR(INDEX(LOOKAHEAD!$I$5:$I$204,MATCH(B168,LOOKAHEAD!$A$5:$A$204,0)),""))</f>
        <v/>
      </c>
      <c r="E168" s="9"/>
      <c r="F168" s="9"/>
      <c r="G168" s="9"/>
      <c r="H168" s="14"/>
      <c r="I168" s="27" t="str">
        <f aca="false">IF(OR(D168="",D168=0),"",D168-$D$2)</f>
        <v/>
      </c>
      <c r="J168" s="14"/>
      <c r="K168" s="14"/>
      <c r="L168" s="16" t="str">
        <f aca="false">IF(B168="","",IF(K168&lt;&gt;"","Liberado","Pendiente"))</f>
        <v/>
      </c>
      <c r="M168" s="16" t="str">
        <f aca="true">IF(B168="","",IF(L168="Liberado",IF(OR(I168="",K168&lt;=I168),"A tiempo","Liberada tarde"),IF(J168="","Sin compromiso",IF(TODAY()&gt;J168,"VENCIDA",IF(AND(I168&lt;&gt;"",J168&gt;I168),"En riesgo","En gestión")))))</f>
        <v/>
      </c>
      <c r="N168" s="15" t="str">
        <f aca="false">IF(OR(B168="",I168=""),"",IF(K168&lt;&gt;"",I168-K168,IF(J168&lt;&gt;"",I168-J168,"")))</f>
        <v/>
      </c>
      <c r="O168" s="9"/>
    </row>
    <row r="169" customFormat="false" ht="15" hidden="false" customHeight="false" outlineLevel="0" collapsed="false">
      <c r="A169" s="9"/>
      <c r="B169" s="9"/>
      <c r="C169" s="18" t="str">
        <f aca="false">IF(B169="","",IFERROR(INDEX(LOOKAHEAD!$B$5:$B$204,MATCH(B169,LOOKAHEAD!$A$5:$A$204,0)),"ID no existe"))</f>
        <v/>
      </c>
      <c r="D169" s="27" t="str">
        <f aca="false">IF(B169="","",IFERROR(INDEX(LOOKAHEAD!$I$5:$I$204,MATCH(B169,LOOKAHEAD!$A$5:$A$204,0)),""))</f>
        <v/>
      </c>
      <c r="E169" s="9"/>
      <c r="F169" s="9"/>
      <c r="G169" s="9"/>
      <c r="H169" s="14"/>
      <c r="I169" s="27" t="str">
        <f aca="false">IF(OR(D169="",D169=0),"",D169-$D$2)</f>
        <v/>
      </c>
      <c r="J169" s="14"/>
      <c r="K169" s="14"/>
      <c r="L169" s="16" t="str">
        <f aca="false">IF(B169="","",IF(K169&lt;&gt;"","Liberado","Pendiente"))</f>
        <v/>
      </c>
      <c r="M169" s="16" t="str">
        <f aca="true">IF(B169="","",IF(L169="Liberado",IF(OR(I169="",K169&lt;=I169),"A tiempo","Liberada tarde"),IF(J169="","Sin compromiso",IF(TODAY()&gt;J169,"VENCIDA",IF(AND(I169&lt;&gt;"",J169&gt;I169),"En riesgo","En gestión")))))</f>
        <v/>
      </c>
      <c r="N169" s="15" t="str">
        <f aca="false">IF(OR(B169="",I169=""),"",IF(K169&lt;&gt;"",I169-K169,IF(J169&lt;&gt;"",I169-J169,"")))</f>
        <v/>
      </c>
      <c r="O169" s="9"/>
    </row>
    <row r="170" customFormat="false" ht="15" hidden="false" customHeight="false" outlineLevel="0" collapsed="false">
      <c r="A170" s="9"/>
      <c r="B170" s="9"/>
      <c r="C170" s="18" t="str">
        <f aca="false">IF(B170="","",IFERROR(INDEX(LOOKAHEAD!$B$5:$B$204,MATCH(B170,LOOKAHEAD!$A$5:$A$204,0)),"ID no existe"))</f>
        <v/>
      </c>
      <c r="D170" s="27" t="str">
        <f aca="false">IF(B170="","",IFERROR(INDEX(LOOKAHEAD!$I$5:$I$204,MATCH(B170,LOOKAHEAD!$A$5:$A$204,0)),""))</f>
        <v/>
      </c>
      <c r="E170" s="9"/>
      <c r="F170" s="9"/>
      <c r="G170" s="9"/>
      <c r="H170" s="14"/>
      <c r="I170" s="27" t="str">
        <f aca="false">IF(OR(D170="",D170=0),"",D170-$D$2)</f>
        <v/>
      </c>
      <c r="J170" s="14"/>
      <c r="K170" s="14"/>
      <c r="L170" s="16" t="str">
        <f aca="false">IF(B170="","",IF(K170&lt;&gt;"","Liberado","Pendiente"))</f>
        <v/>
      </c>
      <c r="M170" s="16" t="str">
        <f aca="true">IF(B170="","",IF(L170="Liberado",IF(OR(I170="",K170&lt;=I170),"A tiempo","Liberada tarde"),IF(J170="","Sin compromiso",IF(TODAY()&gt;J170,"VENCIDA",IF(AND(I170&lt;&gt;"",J170&gt;I170),"En riesgo","En gestión")))))</f>
        <v/>
      </c>
      <c r="N170" s="15" t="str">
        <f aca="false">IF(OR(B170="",I170=""),"",IF(K170&lt;&gt;"",I170-K170,IF(J170&lt;&gt;"",I170-J170,"")))</f>
        <v/>
      </c>
      <c r="O170" s="9"/>
    </row>
    <row r="171" customFormat="false" ht="15" hidden="false" customHeight="false" outlineLevel="0" collapsed="false">
      <c r="A171" s="9"/>
      <c r="B171" s="9"/>
      <c r="C171" s="18" t="str">
        <f aca="false">IF(B171="","",IFERROR(INDEX(LOOKAHEAD!$B$5:$B$204,MATCH(B171,LOOKAHEAD!$A$5:$A$204,0)),"ID no existe"))</f>
        <v/>
      </c>
      <c r="D171" s="27" t="str">
        <f aca="false">IF(B171="","",IFERROR(INDEX(LOOKAHEAD!$I$5:$I$204,MATCH(B171,LOOKAHEAD!$A$5:$A$204,0)),""))</f>
        <v/>
      </c>
      <c r="E171" s="9"/>
      <c r="F171" s="9"/>
      <c r="G171" s="9"/>
      <c r="H171" s="14"/>
      <c r="I171" s="27" t="str">
        <f aca="false">IF(OR(D171="",D171=0),"",D171-$D$2)</f>
        <v/>
      </c>
      <c r="J171" s="14"/>
      <c r="K171" s="14"/>
      <c r="L171" s="16" t="str">
        <f aca="false">IF(B171="","",IF(K171&lt;&gt;"","Liberado","Pendiente"))</f>
        <v/>
      </c>
      <c r="M171" s="16" t="str">
        <f aca="true">IF(B171="","",IF(L171="Liberado",IF(OR(I171="",K171&lt;=I171),"A tiempo","Liberada tarde"),IF(J171="","Sin compromiso",IF(TODAY()&gt;J171,"VENCIDA",IF(AND(I171&lt;&gt;"",J171&gt;I171),"En riesgo","En gestión")))))</f>
        <v/>
      </c>
      <c r="N171" s="15" t="str">
        <f aca="false">IF(OR(B171="",I171=""),"",IF(K171&lt;&gt;"",I171-K171,IF(J171&lt;&gt;"",I171-J171,"")))</f>
        <v/>
      </c>
      <c r="O171" s="9"/>
    </row>
    <row r="172" customFormat="false" ht="15" hidden="false" customHeight="false" outlineLevel="0" collapsed="false">
      <c r="A172" s="9"/>
      <c r="B172" s="9"/>
      <c r="C172" s="18" t="str">
        <f aca="false">IF(B172="","",IFERROR(INDEX(LOOKAHEAD!$B$5:$B$204,MATCH(B172,LOOKAHEAD!$A$5:$A$204,0)),"ID no existe"))</f>
        <v/>
      </c>
      <c r="D172" s="27" t="str">
        <f aca="false">IF(B172="","",IFERROR(INDEX(LOOKAHEAD!$I$5:$I$204,MATCH(B172,LOOKAHEAD!$A$5:$A$204,0)),""))</f>
        <v/>
      </c>
      <c r="E172" s="9"/>
      <c r="F172" s="9"/>
      <c r="G172" s="9"/>
      <c r="H172" s="14"/>
      <c r="I172" s="27" t="str">
        <f aca="false">IF(OR(D172="",D172=0),"",D172-$D$2)</f>
        <v/>
      </c>
      <c r="J172" s="14"/>
      <c r="K172" s="14"/>
      <c r="L172" s="16" t="str">
        <f aca="false">IF(B172="","",IF(K172&lt;&gt;"","Liberado","Pendiente"))</f>
        <v/>
      </c>
      <c r="M172" s="16" t="str">
        <f aca="true">IF(B172="","",IF(L172="Liberado",IF(OR(I172="",K172&lt;=I172),"A tiempo","Liberada tarde"),IF(J172="","Sin compromiso",IF(TODAY()&gt;J172,"VENCIDA",IF(AND(I172&lt;&gt;"",J172&gt;I172),"En riesgo","En gestión")))))</f>
        <v/>
      </c>
      <c r="N172" s="15" t="str">
        <f aca="false">IF(OR(B172="",I172=""),"",IF(K172&lt;&gt;"",I172-K172,IF(J172&lt;&gt;"",I172-J172,"")))</f>
        <v/>
      </c>
      <c r="O172" s="9"/>
    </row>
    <row r="173" customFormat="false" ht="15" hidden="false" customHeight="false" outlineLevel="0" collapsed="false">
      <c r="A173" s="9"/>
      <c r="B173" s="9"/>
      <c r="C173" s="18" t="str">
        <f aca="false">IF(B173="","",IFERROR(INDEX(LOOKAHEAD!$B$5:$B$204,MATCH(B173,LOOKAHEAD!$A$5:$A$204,0)),"ID no existe"))</f>
        <v/>
      </c>
      <c r="D173" s="27" t="str">
        <f aca="false">IF(B173="","",IFERROR(INDEX(LOOKAHEAD!$I$5:$I$204,MATCH(B173,LOOKAHEAD!$A$5:$A$204,0)),""))</f>
        <v/>
      </c>
      <c r="E173" s="9"/>
      <c r="F173" s="9"/>
      <c r="G173" s="9"/>
      <c r="H173" s="14"/>
      <c r="I173" s="27" t="str">
        <f aca="false">IF(OR(D173="",D173=0),"",D173-$D$2)</f>
        <v/>
      </c>
      <c r="J173" s="14"/>
      <c r="K173" s="14"/>
      <c r="L173" s="16" t="str">
        <f aca="false">IF(B173="","",IF(K173&lt;&gt;"","Liberado","Pendiente"))</f>
        <v/>
      </c>
      <c r="M173" s="16" t="str">
        <f aca="true">IF(B173="","",IF(L173="Liberado",IF(OR(I173="",K173&lt;=I173),"A tiempo","Liberada tarde"),IF(J173="","Sin compromiso",IF(TODAY()&gt;J173,"VENCIDA",IF(AND(I173&lt;&gt;"",J173&gt;I173),"En riesgo","En gestión")))))</f>
        <v/>
      </c>
      <c r="N173" s="15" t="str">
        <f aca="false">IF(OR(B173="",I173=""),"",IF(K173&lt;&gt;"",I173-K173,IF(J173&lt;&gt;"",I173-J173,"")))</f>
        <v/>
      </c>
      <c r="O173" s="9"/>
    </row>
    <row r="174" customFormat="false" ht="15" hidden="false" customHeight="false" outlineLevel="0" collapsed="false">
      <c r="A174" s="9"/>
      <c r="B174" s="9"/>
      <c r="C174" s="18" t="str">
        <f aca="false">IF(B174="","",IFERROR(INDEX(LOOKAHEAD!$B$5:$B$204,MATCH(B174,LOOKAHEAD!$A$5:$A$204,0)),"ID no existe"))</f>
        <v/>
      </c>
      <c r="D174" s="27" t="str">
        <f aca="false">IF(B174="","",IFERROR(INDEX(LOOKAHEAD!$I$5:$I$204,MATCH(B174,LOOKAHEAD!$A$5:$A$204,0)),""))</f>
        <v/>
      </c>
      <c r="E174" s="9"/>
      <c r="F174" s="9"/>
      <c r="G174" s="9"/>
      <c r="H174" s="14"/>
      <c r="I174" s="27" t="str">
        <f aca="false">IF(OR(D174="",D174=0),"",D174-$D$2)</f>
        <v/>
      </c>
      <c r="J174" s="14"/>
      <c r="K174" s="14"/>
      <c r="L174" s="16" t="str">
        <f aca="false">IF(B174="","",IF(K174&lt;&gt;"","Liberado","Pendiente"))</f>
        <v/>
      </c>
      <c r="M174" s="16" t="str">
        <f aca="true">IF(B174="","",IF(L174="Liberado",IF(OR(I174="",K174&lt;=I174),"A tiempo","Liberada tarde"),IF(J174="","Sin compromiso",IF(TODAY()&gt;J174,"VENCIDA",IF(AND(I174&lt;&gt;"",J174&gt;I174),"En riesgo","En gestión")))))</f>
        <v/>
      </c>
      <c r="N174" s="15" t="str">
        <f aca="false">IF(OR(B174="",I174=""),"",IF(K174&lt;&gt;"",I174-K174,IF(J174&lt;&gt;"",I174-J174,"")))</f>
        <v/>
      </c>
      <c r="O174" s="9"/>
    </row>
    <row r="175" customFormat="false" ht="15" hidden="false" customHeight="false" outlineLevel="0" collapsed="false">
      <c r="A175" s="9"/>
      <c r="B175" s="9"/>
      <c r="C175" s="18" t="str">
        <f aca="false">IF(B175="","",IFERROR(INDEX(LOOKAHEAD!$B$5:$B$204,MATCH(B175,LOOKAHEAD!$A$5:$A$204,0)),"ID no existe"))</f>
        <v/>
      </c>
      <c r="D175" s="27" t="str">
        <f aca="false">IF(B175="","",IFERROR(INDEX(LOOKAHEAD!$I$5:$I$204,MATCH(B175,LOOKAHEAD!$A$5:$A$204,0)),""))</f>
        <v/>
      </c>
      <c r="E175" s="9"/>
      <c r="F175" s="9"/>
      <c r="G175" s="9"/>
      <c r="H175" s="14"/>
      <c r="I175" s="27" t="str">
        <f aca="false">IF(OR(D175="",D175=0),"",D175-$D$2)</f>
        <v/>
      </c>
      <c r="J175" s="14"/>
      <c r="K175" s="14"/>
      <c r="L175" s="16" t="str">
        <f aca="false">IF(B175="","",IF(K175&lt;&gt;"","Liberado","Pendiente"))</f>
        <v/>
      </c>
      <c r="M175" s="16" t="str">
        <f aca="true">IF(B175="","",IF(L175="Liberado",IF(OR(I175="",K175&lt;=I175),"A tiempo","Liberada tarde"),IF(J175="","Sin compromiso",IF(TODAY()&gt;J175,"VENCIDA",IF(AND(I175&lt;&gt;"",J175&gt;I175),"En riesgo","En gestión")))))</f>
        <v/>
      </c>
      <c r="N175" s="15" t="str">
        <f aca="false">IF(OR(B175="",I175=""),"",IF(K175&lt;&gt;"",I175-K175,IF(J175&lt;&gt;"",I175-J175,"")))</f>
        <v/>
      </c>
      <c r="O175" s="9"/>
    </row>
    <row r="176" customFormat="false" ht="15" hidden="false" customHeight="false" outlineLevel="0" collapsed="false">
      <c r="A176" s="9"/>
      <c r="B176" s="9"/>
      <c r="C176" s="18" t="str">
        <f aca="false">IF(B176="","",IFERROR(INDEX(LOOKAHEAD!$B$5:$B$204,MATCH(B176,LOOKAHEAD!$A$5:$A$204,0)),"ID no existe"))</f>
        <v/>
      </c>
      <c r="D176" s="27" t="str">
        <f aca="false">IF(B176="","",IFERROR(INDEX(LOOKAHEAD!$I$5:$I$204,MATCH(B176,LOOKAHEAD!$A$5:$A$204,0)),""))</f>
        <v/>
      </c>
      <c r="E176" s="9"/>
      <c r="F176" s="9"/>
      <c r="G176" s="9"/>
      <c r="H176" s="14"/>
      <c r="I176" s="27" t="str">
        <f aca="false">IF(OR(D176="",D176=0),"",D176-$D$2)</f>
        <v/>
      </c>
      <c r="J176" s="14"/>
      <c r="K176" s="14"/>
      <c r="L176" s="16" t="str">
        <f aca="false">IF(B176="","",IF(K176&lt;&gt;"","Liberado","Pendiente"))</f>
        <v/>
      </c>
      <c r="M176" s="16" t="str">
        <f aca="true">IF(B176="","",IF(L176="Liberado",IF(OR(I176="",K176&lt;=I176),"A tiempo","Liberada tarde"),IF(J176="","Sin compromiso",IF(TODAY()&gt;J176,"VENCIDA",IF(AND(I176&lt;&gt;"",J176&gt;I176),"En riesgo","En gestión")))))</f>
        <v/>
      </c>
      <c r="N176" s="15" t="str">
        <f aca="false">IF(OR(B176="",I176=""),"",IF(K176&lt;&gt;"",I176-K176,IF(J176&lt;&gt;"",I176-J176,"")))</f>
        <v/>
      </c>
      <c r="O176" s="9"/>
    </row>
    <row r="177" customFormat="false" ht="15" hidden="false" customHeight="false" outlineLevel="0" collapsed="false">
      <c r="A177" s="9"/>
      <c r="B177" s="9"/>
      <c r="C177" s="18" t="str">
        <f aca="false">IF(B177="","",IFERROR(INDEX(LOOKAHEAD!$B$5:$B$204,MATCH(B177,LOOKAHEAD!$A$5:$A$204,0)),"ID no existe"))</f>
        <v/>
      </c>
      <c r="D177" s="27" t="str">
        <f aca="false">IF(B177="","",IFERROR(INDEX(LOOKAHEAD!$I$5:$I$204,MATCH(B177,LOOKAHEAD!$A$5:$A$204,0)),""))</f>
        <v/>
      </c>
      <c r="E177" s="9"/>
      <c r="F177" s="9"/>
      <c r="G177" s="9"/>
      <c r="H177" s="14"/>
      <c r="I177" s="27" t="str">
        <f aca="false">IF(OR(D177="",D177=0),"",D177-$D$2)</f>
        <v/>
      </c>
      <c r="J177" s="14"/>
      <c r="K177" s="14"/>
      <c r="L177" s="16" t="str">
        <f aca="false">IF(B177="","",IF(K177&lt;&gt;"","Liberado","Pendiente"))</f>
        <v/>
      </c>
      <c r="M177" s="16" t="str">
        <f aca="true">IF(B177="","",IF(L177="Liberado",IF(OR(I177="",K177&lt;=I177),"A tiempo","Liberada tarde"),IF(J177="","Sin compromiso",IF(TODAY()&gt;J177,"VENCIDA",IF(AND(I177&lt;&gt;"",J177&gt;I177),"En riesgo","En gestión")))))</f>
        <v/>
      </c>
      <c r="N177" s="15" t="str">
        <f aca="false">IF(OR(B177="",I177=""),"",IF(K177&lt;&gt;"",I177-K177,IF(J177&lt;&gt;"",I177-J177,"")))</f>
        <v/>
      </c>
      <c r="O177" s="9"/>
    </row>
    <row r="178" customFormat="false" ht="15" hidden="false" customHeight="false" outlineLevel="0" collapsed="false">
      <c r="A178" s="9"/>
      <c r="B178" s="9"/>
      <c r="C178" s="18" t="str">
        <f aca="false">IF(B178="","",IFERROR(INDEX(LOOKAHEAD!$B$5:$B$204,MATCH(B178,LOOKAHEAD!$A$5:$A$204,0)),"ID no existe"))</f>
        <v/>
      </c>
      <c r="D178" s="27" t="str">
        <f aca="false">IF(B178="","",IFERROR(INDEX(LOOKAHEAD!$I$5:$I$204,MATCH(B178,LOOKAHEAD!$A$5:$A$204,0)),""))</f>
        <v/>
      </c>
      <c r="E178" s="9"/>
      <c r="F178" s="9"/>
      <c r="G178" s="9"/>
      <c r="H178" s="14"/>
      <c r="I178" s="27" t="str">
        <f aca="false">IF(OR(D178="",D178=0),"",D178-$D$2)</f>
        <v/>
      </c>
      <c r="J178" s="14"/>
      <c r="K178" s="14"/>
      <c r="L178" s="16" t="str">
        <f aca="false">IF(B178="","",IF(K178&lt;&gt;"","Liberado","Pendiente"))</f>
        <v/>
      </c>
      <c r="M178" s="16" t="str">
        <f aca="true">IF(B178="","",IF(L178="Liberado",IF(OR(I178="",K178&lt;=I178),"A tiempo","Liberada tarde"),IF(J178="","Sin compromiso",IF(TODAY()&gt;J178,"VENCIDA",IF(AND(I178&lt;&gt;"",J178&gt;I178),"En riesgo","En gestión")))))</f>
        <v/>
      </c>
      <c r="N178" s="15" t="str">
        <f aca="false">IF(OR(B178="",I178=""),"",IF(K178&lt;&gt;"",I178-K178,IF(J178&lt;&gt;"",I178-J178,"")))</f>
        <v/>
      </c>
      <c r="O178" s="9"/>
    </row>
    <row r="179" customFormat="false" ht="15" hidden="false" customHeight="false" outlineLevel="0" collapsed="false">
      <c r="A179" s="9"/>
      <c r="B179" s="9"/>
      <c r="C179" s="18" t="str">
        <f aca="false">IF(B179="","",IFERROR(INDEX(LOOKAHEAD!$B$5:$B$204,MATCH(B179,LOOKAHEAD!$A$5:$A$204,0)),"ID no existe"))</f>
        <v/>
      </c>
      <c r="D179" s="27" t="str">
        <f aca="false">IF(B179="","",IFERROR(INDEX(LOOKAHEAD!$I$5:$I$204,MATCH(B179,LOOKAHEAD!$A$5:$A$204,0)),""))</f>
        <v/>
      </c>
      <c r="E179" s="9"/>
      <c r="F179" s="9"/>
      <c r="G179" s="9"/>
      <c r="H179" s="14"/>
      <c r="I179" s="27" t="str">
        <f aca="false">IF(OR(D179="",D179=0),"",D179-$D$2)</f>
        <v/>
      </c>
      <c r="J179" s="14"/>
      <c r="K179" s="14"/>
      <c r="L179" s="16" t="str">
        <f aca="false">IF(B179="","",IF(K179&lt;&gt;"","Liberado","Pendiente"))</f>
        <v/>
      </c>
      <c r="M179" s="16" t="str">
        <f aca="true">IF(B179="","",IF(L179="Liberado",IF(OR(I179="",K179&lt;=I179),"A tiempo","Liberada tarde"),IF(J179="","Sin compromiso",IF(TODAY()&gt;J179,"VENCIDA",IF(AND(I179&lt;&gt;"",J179&gt;I179),"En riesgo","En gestión")))))</f>
        <v/>
      </c>
      <c r="N179" s="15" t="str">
        <f aca="false">IF(OR(B179="",I179=""),"",IF(K179&lt;&gt;"",I179-K179,IF(J179&lt;&gt;"",I179-J179,"")))</f>
        <v/>
      </c>
      <c r="O179" s="9"/>
    </row>
    <row r="180" customFormat="false" ht="15" hidden="false" customHeight="false" outlineLevel="0" collapsed="false">
      <c r="A180" s="9"/>
      <c r="B180" s="9"/>
      <c r="C180" s="18" t="str">
        <f aca="false">IF(B180="","",IFERROR(INDEX(LOOKAHEAD!$B$5:$B$204,MATCH(B180,LOOKAHEAD!$A$5:$A$204,0)),"ID no existe"))</f>
        <v/>
      </c>
      <c r="D180" s="27" t="str">
        <f aca="false">IF(B180="","",IFERROR(INDEX(LOOKAHEAD!$I$5:$I$204,MATCH(B180,LOOKAHEAD!$A$5:$A$204,0)),""))</f>
        <v/>
      </c>
      <c r="E180" s="9"/>
      <c r="F180" s="9"/>
      <c r="G180" s="9"/>
      <c r="H180" s="14"/>
      <c r="I180" s="27" t="str">
        <f aca="false">IF(OR(D180="",D180=0),"",D180-$D$2)</f>
        <v/>
      </c>
      <c r="J180" s="14"/>
      <c r="K180" s="14"/>
      <c r="L180" s="16" t="str">
        <f aca="false">IF(B180="","",IF(K180&lt;&gt;"","Liberado","Pendiente"))</f>
        <v/>
      </c>
      <c r="M180" s="16" t="str">
        <f aca="true">IF(B180="","",IF(L180="Liberado",IF(OR(I180="",K180&lt;=I180),"A tiempo","Liberada tarde"),IF(J180="","Sin compromiso",IF(TODAY()&gt;J180,"VENCIDA",IF(AND(I180&lt;&gt;"",J180&gt;I180),"En riesgo","En gestión")))))</f>
        <v/>
      </c>
      <c r="N180" s="15" t="str">
        <f aca="false">IF(OR(B180="",I180=""),"",IF(K180&lt;&gt;"",I180-K180,IF(J180&lt;&gt;"",I180-J180,"")))</f>
        <v/>
      </c>
      <c r="O180" s="9"/>
    </row>
    <row r="181" customFormat="false" ht="15" hidden="false" customHeight="false" outlineLevel="0" collapsed="false">
      <c r="A181" s="9"/>
      <c r="B181" s="9"/>
      <c r="C181" s="18" t="str">
        <f aca="false">IF(B181="","",IFERROR(INDEX(LOOKAHEAD!$B$5:$B$204,MATCH(B181,LOOKAHEAD!$A$5:$A$204,0)),"ID no existe"))</f>
        <v/>
      </c>
      <c r="D181" s="27" t="str">
        <f aca="false">IF(B181="","",IFERROR(INDEX(LOOKAHEAD!$I$5:$I$204,MATCH(B181,LOOKAHEAD!$A$5:$A$204,0)),""))</f>
        <v/>
      </c>
      <c r="E181" s="9"/>
      <c r="F181" s="9"/>
      <c r="G181" s="9"/>
      <c r="H181" s="14"/>
      <c r="I181" s="27" t="str">
        <f aca="false">IF(OR(D181="",D181=0),"",D181-$D$2)</f>
        <v/>
      </c>
      <c r="J181" s="14"/>
      <c r="K181" s="14"/>
      <c r="L181" s="16" t="str">
        <f aca="false">IF(B181="","",IF(K181&lt;&gt;"","Liberado","Pendiente"))</f>
        <v/>
      </c>
      <c r="M181" s="16" t="str">
        <f aca="true">IF(B181="","",IF(L181="Liberado",IF(OR(I181="",K181&lt;=I181),"A tiempo","Liberada tarde"),IF(J181="","Sin compromiso",IF(TODAY()&gt;J181,"VENCIDA",IF(AND(I181&lt;&gt;"",J181&gt;I181),"En riesgo","En gestión")))))</f>
        <v/>
      </c>
      <c r="N181" s="15" t="str">
        <f aca="false">IF(OR(B181="",I181=""),"",IF(K181&lt;&gt;"",I181-K181,IF(J181&lt;&gt;"",I181-J181,"")))</f>
        <v/>
      </c>
      <c r="O181" s="9"/>
    </row>
    <row r="182" customFormat="false" ht="15" hidden="false" customHeight="false" outlineLevel="0" collapsed="false">
      <c r="A182" s="9"/>
      <c r="B182" s="9"/>
      <c r="C182" s="18" t="str">
        <f aca="false">IF(B182="","",IFERROR(INDEX(LOOKAHEAD!$B$5:$B$204,MATCH(B182,LOOKAHEAD!$A$5:$A$204,0)),"ID no existe"))</f>
        <v/>
      </c>
      <c r="D182" s="27" t="str">
        <f aca="false">IF(B182="","",IFERROR(INDEX(LOOKAHEAD!$I$5:$I$204,MATCH(B182,LOOKAHEAD!$A$5:$A$204,0)),""))</f>
        <v/>
      </c>
      <c r="E182" s="9"/>
      <c r="F182" s="9"/>
      <c r="G182" s="9"/>
      <c r="H182" s="14"/>
      <c r="I182" s="27" t="str">
        <f aca="false">IF(OR(D182="",D182=0),"",D182-$D$2)</f>
        <v/>
      </c>
      <c r="J182" s="14"/>
      <c r="K182" s="14"/>
      <c r="L182" s="16" t="str">
        <f aca="false">IF(B182="","",IF(K182&lt;&gt;"","Liberado","Pendiente"))</f>
        <v/>
      </c>
      <c r="M182" s="16" t="str">
        <f aca="true">IF(B182="","",IF(L182="Liberado",IF(OR(I182="",K182&lt;=I182),"A tiempo","Liberada tarde"),IF(J182="","Sin compromiso",IF(TODAY()&gt;J182,"VENCIDA",IF(AND(I182&lt;&gt;"",J182&gt;I182),"En riesgo","En gestión")))))</f>
        <v/>
      </c>
      <c r="N182" s="15" t="str">
        <f aca="false">IF(OR(B182="",I182=""),"",IF(K182&lt;&gt;"",I182-K182,IF(J182&lt;&gt;"",I182-J182,"")))</f>
        <v/>
      </c>
      <c r="O182" s="9"/>
    </row>
    <row r="183" customFormat="false" ht="15" hidden="false" customHeight="false" outlineLevel="0" collapsed="false">
      <c r="A183" s="9"/>
      <c r="B183" s="9"/>
      <c r="C183" s="18" t="str">
        <f aca="false">IF(B183="","",IFERROR(INDEX(LOOKAHEAD!$B$5:$B$204,MATCH(B183,LOOKAHEAD!$A$5:$A$204,0)),"ID no existe"))</f>
        <v/>
      </c>
      <c r="D183" s="27" t="str">
        <f aca="false">IF(B183="","",IFERROR(INDEX(LOOKAHEAD!$I$5:$I$204,MATCH(B183,LOOKAHEAD!$A$5:$A$204,0)),""))</f>
        <v/>
      </c>
      <c r="E183" s="9"/>
      <c r="F183" s="9"/>
      <c r="G183" s="9"/>
      <c r="H183" s="14"/>
      <c r="I183" s="27" t="str">
        <f aca="false">IF(OR(D183="",D183=0),"",D183-$D$2)</f>
        <v/>
      </c>
      <c r="J183" s="14"/>
      <c r="K183" s="14"/>
      <c r="L183" s="16" t="str">
        <f aca="false">IF(B183="","",IF(K183&lt;&gt;"","Liberado","Pendiente"))</f>
        <v/>
      </c>
      <c r="M183" s="16" t="str">
        <f aca="true">IF(B183="","",IF(L183="Liberado",IF(OR(I183="",K183&lt;=I183),"A tiempo","Liberada tarde"),IF(J183="","Sin compromiso",IF(TODAY()&gt;J183,"VENCIDA",IF(AND(I183&lt;&gt;"",J183&gt;I183),"En riesgo","En gestión")))))</f>
        <v/>
      </c>
      <c r="N183" s="15" t="str">
        <f aca="false">IF(OR(B183="",I183=""),"",IF(K183&lt;&gt;"",I183-K183,IF(J183&lt;&gt;"",I183-J183,"")))</f>
        <v/>
      </c>
      <c r="O183" s="9"/>
    </row>
    <row r="184" customFormat="false" ht="15" hidden="false" customHeight="false" outlineLevel="0" collapsed="false">
      <c r="A184" s="9"/>
      <c r="B184" s="9"/>
      <c r="C184" s="18" t="str">
        <f aca="false">IF(B184="","",IFERROR(INDEX(LOOKAHEAD!$B$5:$B$204,MATCH(B184,LOOKAHEAD!$A$5:$A$204,0)),"ID no existe"))</f>
        <v/>
      </c>
      <c r="D184" s="27" t="str">
        <f aca="false">IF(B184="","",IFERROR(INDEX(LOOKAHEAD!$I$5:$I$204,MATCH(B184,LOOKAHEAD!$A$5:$A$204,0)),""))</f>
        <v/>
      </c>
      <c r="E184" s="9"/>
      <c r="F184" s="9"/>
      <c r="G184" s="9"/>
      <c r="H184" s="14"/>
      <c r="I184" s="27" t="str">
        <f aca="false">IF(OR(D184="",D184=0),"",D184-$D$2)</f>
        <v/>
      </c>
      <c r="J184" s="14"/>
      <c r="K184" s="14"/>
      <c r="L184" s="16" t="str">
        <f aca="false">IF(B184="","",IF(K184&lt;&gt;"","Liberado","Pendiente"))</f>
        <v/>
      </c>
      <c r="M184" s="16" t="str">
        <f aca="true">IF(B184="","",IF(L184="Liberado",IF(OR(I184="",K184&lt;=I184),"A tiempo","Liberada tarde"),IF(J184="","Sin compromiso",IF(TODAY()&gt;J184,"VENCIDA",IF(AND(I184&lt;&gt;"",J184&gt;I184),"En riesgo","En gestión")))))</f>
        <v/>
      </c>
      <c r="N184" s="15" t="str">
        <f aca="false">IF(OR(B184="",I184=""),"",IF(K184&lt;&gt;"",I184-K184,IF(J184&lt;&gt;"",I184-J184,"")))</f>
        <v/>
      </c>
      <c r="O184" s="9"/>
    </row>
    <row r="185" customFormat="false" ht="15" hidden="false" customHeight="false" outlineLevel="0" collapsed="false">
      <c r="A185" s="9"/>
      <c r="B185" s="9"/>
      <c r="C185" s="18" t="str">
        <f aca="false">IF(B185="","",IFERROR(INDEX(LOOKAHEAD!$B$5:$B$204,MATCH(B185,LOOKAHEAD!$A$5:$A$204,0)),"ID no existe"))</f>
        <v/>
      </c>
      <c r="D185" s="27" t="str">
        <f aca="false">IF(B185="","",IFERROR(INDEX(LOOKAHEAD!$I$5:$I$204,MATCH(B185,LOOKAHEAD!$A$5:$A$204,0)),""))</f>
        <v/>
      </c>
      <c r="E185" s="9"/>
      <c r="F185" s="9"/>
      <c r="G185" s="9"/>
      <c r="H185" s="14"/>
      <c r="I185" s="27" t="str">
        <f aca="false">IF(OR(D185="",D185=0),"",D185-$D$2)</f>
        <v/>
      </c>
      <c r="J185" s="14"/>
      <c r="K185" s="14"/>
      <c r="L185" s="16" t="str">
        <f aca="false">IF(B185="","",IF(K185&lt;&gt;"","Liberado","Pendiente"))</f>
        <v/>
      </c>
      <c r="M185" s="16" t="str">
        <f aca="true">IF(B185="","",IF(L185="Liberado",IF(OR(I185="",K185&lt;=I185),"A tiempo","Liberada tarde"),IF(J185="","Sin compromiso",IF(TODAY()&gt;J185,"VENCIDA",IF(AND(I185&lt;&gt;"",J185&gt;I185),"En riesgo","En gestión")))))</f>
        <v/>
      </c>
      <c r="N185" s="15" t="str">
        <f aca="false">IF(OR(B185="",I185=""),"",IF(K185&lt;&gt;"",I185-K185,IF(J185&lt;&gt;"",I185-J185,"")))</f>
        <v/>
      </c>
      <c r="O185" s="9"/>
    </row>
    <row r="186" customFormat="false" ht="15" hidden="false" customHeight="false" outlineLevel="0" collapsed="false">
      <c r="A186" s="9"/>
      <c r="B186" s="9"/>
      <c r="C186" s="18" t="str">
        <f aca="false">IF(B186="","",IFERROR(INDEX(LOOKAHEAD!$B$5:$B$204,MATCH(B186,LOOKAHEAD!$A$5:$A$204,0)),"ID no existe"))</f>
        <v/>
      </c>
      <c r="D186" s="27" t="str">
        <f aca="false">IF(B186="","",IFERROR(INDEX(LOOKAHEAD!$I$5:$I$204,MATCH(B186,LOOKAHEAD!$A$5:$A$204,0)),""))</f>
        <v/>
      </c>
      <c r="E186" s="9"/>
      <c r="F186" s="9"/>
      <c r="G186" s="9"/>
      <c r="H186" s="14"/>
      <c r="I186" s="27" t="str">
        <f aca="false">IF(OR(D186="",D186=0),"",D186-$D$2)</f>
        <v/>
      </c>
      <c r="J186" s="14"/>
      <c r="K186" s="14"/>
      <c r="L186" s="16" t="str">
        <f aca="false">IF(B186="","",IF(K186&lt;&gt;"","Liberado","Pendiente"))</f>
        <v/>
      </c>
      <c r="M186" s="16" t="str">
        <f aca="true">IF(B186="","",IF(L186="Liberado",IF(OR(I186="",K186&lt;=I186),"A tiempo","Liberada tarde"),IF(J186="","Sin compromiso",IF(TODAY()&gt;J186,"VENCIDA",IF(AND(I186&lt;&gt;"",J186&gt;I186),"En riesgo","En gestión")))))</f>
        <v/>
      </c>
      <c r="N186" s="15" t="str">
        <f aca="false">IF(OR(B186="",I186=""),"",IF(K186&lt;&gt;"",I186-K186,IF(J186&lt;&gt;"",I186-J186,"")))</f>
        <v/>
      </c>
      <c r="O186" s="9"/>
    </row>
    <row r="187" customFormat="false" ht="15" hidden="false" customHeight="false" outlineLevel="0" collapsed="false">
      <c r="A187" s="9"/>
      <c r="B187" s="9"/>
      <c r="C187" s="18" t="str">
        <f aca="false">IF(B187="","",IFERROR(INDEX(LOOKAHEAD!$B$5:$B$204,MATCH(B187,LOOKAHEAD!$A$5:$A$204,0)),"ID no existe"))</f>
        <v/>
      </c>
      <c r="D187" s="27" t="str">
        <f aca="false">IF(B187="","",IFERROR(INDEX(LOOKAHEAD!$I$5:$I$204,MATCH(B187,LOOKAHEAD!$A$5:$A$204,0)),""))</f>
        <v/>
      </c>
      <c r="E187" s="9"/>
      <c r="F187" s="9"/>
      <c r="G187" s="9"/>
      <c r="H187" s="14"/>
      <c r="I187" s="27" t="str">
        <f aca="false">IF(OR(D187="",D187=0),"",D187-$D$2)</f>
        <v/>
      </c>
      <c r="J187" s="14"/>
      <c r="K187" s="14"/>
      <c r="L187" s="16" t="str">
        <f aca="false">IF(B187="","",IF(K187&lt;&gt;"","Liberado","Pendiente"))</f>
        <v/>
      </c>
      <c r="M187" s="16" t="str">
        <f aca="true">IF(B187="","",IF(L187="Liberado",IF(OR(I187="",K187&lt;=I187),"A tiempo","Liberada tarde"),IF(J187="","Sin compromiso",IF(TODAY()&gt;J187,"VENCIDA",IF(AND(I187&lt;&gt;"",J187&gt;I187),"En riesgo","En gestión")))))</f>
        <v/>
      </c>
      <c r="N187" s="15" t="str">
        <f aca="false">IF(OR(B187="",I187=""),"",IF(K187&lt;&gt;"",I187-K187,IF(J187&lt;&gt;"",I187-J187,"")))</f>
        <v/>
      </c>
      <c r="O187" s="9"/>
    </row>
    <row r="188" customFormat="false" ht="15" hidden="false" customHeight="false" outlineLevel="0" collapsed="false">
      <c r="A188" s="9"/>
      <c r="B188" s="9"/>
      <c r="C188" s="18" t="str">
        <f aca="false">IF(B188="","",IFERROR(INDEX(LOOKAHEAD!$B$5:$B$204,MATCH(B188,LOOKAHEAD!$A$5:$A$204,0)),"ID no existe"))</f>
        <v/>
      </c>
      <c r="D188" s="27" t="str">
        <f aca="false">IF(B188="","",IFERROR(INDEX(LOOKAHEAD!$I$5:$I$204,MATCH(B188,LOOKAHEAD!$A$5:$A$204,0)),""))</f>
        <v/>
      </c>
      <c r="E188" s="9"/>
      <c r="F188" s="9"/>
      <c r="G188" s="9"/>
      <c r="H188" s="14"/>
      <c r="I188" s="27" t="str">
        <f aca="false">IF(OR(D188="",D188=0),"",D188-$D$2)</f>
        <v/>
      </c>
      <c r="J188" s="14"/>
      <c r="K188" s="14"/>
      <c r="L188" s="16" t="str">
        <f aca="false">IF(B188="","",IF(K188&lt;&gt;"","Liberado","Pendiente"))</f>
        <v/>
      </c>
      <c r="M188" s="16" t="str">
        <f aca="true">IF(B188="","",IF(L188="Liberado",IF(OR(I188="",K188&lt;=I188),"A tiempo","Liberada tarde"),IF(J188="","Sin compromiso",IF(TODAY()&gt;J188,"VENCIDA",IF(AND(I188&lt;&gt;"",J188&gt;I188),"En riesgo","En gestión")))))</f>
        <v/>
      </c>
      <c r="N188" s="15" t="str">
        <f aca="false">IF(OR(B188="",I188=""),"",IF(K188&lt;&gt;"",I188-K188,IF(J188&lt;&gt;"",I188-J188,"")))</f>
        <v/>
      </c>
      <c r="O188" s="9"/>
    </row>
    <row r="189" customFormat="false" ht="15" hidden="false" customHeight="false" outlineLevel="0" collapsed="false">
      <c r="A189" s="9"/>
      <c r="B189" s="9"/>
      <c r="C189" s="18" t="str">
        <f aca="false">IF(B189="","",IFERROR(INDEX(LOOKAHEAD!$B$5:$B$204,MATCH(B189,LOOKAHEAD!$A$5:$A$204,0)),"ID no existe"))</f>
        <v/>
      </c>
      <c r="D189" s="27" t="str">
        <f aca="false">IF(B189="","",IFERROR(INDEX(LOOKAHEAD!$I$5:$I$204,MATCH(B189,LOOKAHEAD!$A$5:$A$204,0)),""))</f>
        <v/>
      </c>
      <c r="E189" s="9"/>
      <c r="F189" s="9"/>
      <c r="G189" s="9"/>
      <c r="H189" s="14"/>
      <c r="I189" s="27" t="str">
        <f aca="false">IF(OR(D189="",D189=0),"",D189-$D$2)</f>
        <v/>
      </c>
      <c r="J189" s="14"/>
      <c r="K189" s="14"/>
      <c r="L189" s="16" t="str">
        <f aca="false">IF(B189="","",IF(K189&lt;&gt;"","Liberado","Pendiente"))</f>
        <v/>
      </c>
      <c r="M189" s="16" t="str">
        <f aca="true">IF(B189="","",IF(L189="Liberado",IF(OR(I189="",K189&lt;=I189),"A tiempo","Liberada tarde"),IF(J189="","Sin compromiso",IF(TODAY()&gt;J189,"VENCIDA",IF(AND(I189&lt;&gt;"",J189&gt;I189),"En riesgo","En gestión")))))</f>
        <v/>
      </c>
      <c r="N189" s="15" t="str">
        <f aca="false">IF(OR(B189="",I189=""),"",IF(K189&lt;&gt;"",I189-K189,IF(J189&lt;&gt;"",I189-J189,"")))</f>
        <v/>
      </c>
      <c r="O189" s="9"/>
    </row>
    <row r="190" customFormat="false" ht="15" hidden="false" customHeight="false" outlineLevel="0" collapsed="false">
      <c r="A190" s="9"/>
      <c r="B190" s="9"/>
      <c r="C190" s="18" t="str">
        <f aca="false">IF(B190="","",IFERROR(INDEX(LOOKAHEAD!$B$5:$B$204,MATCH(B190,LOOKAHEAD!$A$5:$A$204,0)),"ID no existe"))</f>
        <v/>
      </c>
      <c r="D190" s="27" t="str">
        <f aca="false">IF(B190="","",IFERROR(INDEX(LOOKAHEAD!$I$5:$I$204,MATCH(B190,LOOKAHEAD!$A$5:$A$204,0)),""))</f>
        <v/>
      </c>
      <c r="E190" s="9"/>
      <c r="F190" s="9"/>
      <c r="G190" s="9"/>
      <c r="H190" s="14"/>
      <c r="I190" s="27" t="str">
        <f aca="false">IF(OR(D190="",D190=0),"",D190-$D$2)</f>
        <v/>
      </c>
      <c r="J190" s="14"/>
      <c r="K190" s="14"/>
      <c r="L190" s="16" t="str">
        <f aca="false">IF(B190="","",IF(K190&lt;&gt;"","Liberado","Pendiente"))</f>
        <v/>
      </c>
      <c r="M190" s="16" t="str">
        <f aca="true">IF(B190="","",IF(L190="Liberado",IF(OR(I190="",K190&lt;=I190),"A tiempo","Liberada tarde"),IF(J190="","Sin compromiso",IF(TODAY()&gt;J190,"VENCIDA",IF(AND(I190&lt;&gt;"",J190&gt;I190),"En riesgo","En gestión")))))</f>
        <v/>
      </c>
      <c r="N190" s="15" t="str">
        <f aca="false">IF(OR(B190="",I190=""),"",IF(K190&lt;&gt;"",I190-K190,IF(J190&lt;&gt;"",I190-J190,"")))</f>
        <v/>
      </c>
      <c r="O190" s="9"/>
    </row>
    <row r="191" customFormat="false" ht="15" hidden="false" customHeight="false" outlineLevel="0" collapsed="false">
      <c r="A191" s="9"/>
      <c r="B191" s="9"/>
      <c r="C191" s="18" t="str">
        <f aca="false">IF(B191="","",IFERROR(INDEX(LOOKAHEAD!$B$5:$B$204,MATCH(B191,LOOKAHEAD!$A$5:$A$204,0)),"ID no existe"))</f>
        <v/>
      </c>
      <c r="D191" s="27" t="str">
        <f aca="false">IF(B191="","",IFERROR(INDEX(LOOKAHEAD!$I$5:$I$204,MATCH(B191,LOOKAHEAD!$A$5:$A$204,0)),""))</f>
        <v/>
      </c>
      <c r="E191" s="9"/>
      <c r="F191" s="9"/>
      <c r="G191" s="9"/>
      <c r="H191" s="14"/>
      <c r="I191" s="27" t="str">
        <f aca="false">IF(OR(D191="",D191=0),"",D191-$D$2)</f>
        <v/>
      </c>
      <c r="J191" s="14"/>
      <c r="K191" s="14"/>
      <c r="L191" s="16" t="str">
        <f aca="false">IF(B191="","",IF(K191&lt;&gt;"","Liberado","Pendiente"))</f>
        <v/>
      </c>
      <c r="M191" s="16" t="str">
        <f aca="true">IF(B191="","",IF(L191="Liberado",IF(OR(I191="",K191&lt;=I191),"A tiempo","Liberada tarde"),IF(J191="","Sin compromiso",IF(TODAY()&gt;J191,"VENCIDA",IF(AND(I191&lt;&gt;"",J191&gt;I191),"En riesgo","En gestión")))))</f>
        <v/>
      </c>
      <c r="N191" s="15" t="str">
        <f aca="false">IF(OR(B191="",I191=""),"",IF(K191&lt;&gt;"",I191-K191,IF(J191&lt;&gt;"",I191-J191,"")))</f>
        <v/>
      </c>
      <c r="O191" s="9"/>
    </row>
    <row r="192" customFormat="false" ht="15" hidden="false" customHeight="false" outlineLevel="0" collapsed="false">
      <c r="A192" s="9"/>
      <c r="B192" s="9"/>
      <c r="C192" s="18" t="str">
        <f aca="false">IF(B192="","",IFERROR(INDEX(LOOKAHEAD!$B$5:$B$204,MATCH(B192,LOOKAHEAD!$A$5:$A$204,0)),"ID no existe"))</f>
        <v/>
      </c>
      <c r="D192" s="27" t="str">
        <f aca="false">IF(B192="","",IFERROR(INDEX(LOOKAHEAD!$I$5:$I$204,MATCH(B192,LOOKAHEAD!$A$5:$A$204,0)),""))</f>
        <v/>
      </c>
      <c r="E192" s="9"/>
      <c r="F192" s="9"/>
      <c r="G192" s="9"/>
      <c r="H192" s="14"/>
      <c r="I192" s="27" t="str">
        <f aca="false">IF(OR(D192="",D192=0),"",D192-$D$2)</f>
        <v/>
      </c>
      <c r="J192" s="14"/>
      <c r="K192" s="14"/>
      <c r="L192" s="16" t="str">
        <f aca="false">IF(B192="","",IF(K192&lt;&gt;"","Liberado","Pendiente"))</f>
        <v/>
      </c>
      <c r="M192" s="16" t="str">
        <f aca="true">IF(B192="","",IF(L192="Liberado",IF(OR(I192="",K192&lt;=I192),"A tiempo","Liberada tarde"),IF(J192="","Sin compromiso",IF(TODAY()&gt;J192,"VENCIDA",IF(AND(I192&lt;&gt;"",J192&gt;I192),"En riesgo","En gestión")))))</f>
        <v/>
      </c>
      <c r="N192" s="15" t="str">
        <f aca="false">IF(OR(B192="",I192=""),"",IF(K192&lt;&gt;"",I192-K192,IF(J192&lt;&gt;"",I192-J192,"")))</f>
        <v/>
      </c>
      <c r="O192" s="9"/>
    </row>
    <row r="193" customFormat="false" ht="15" hidden="false" customHeight="false" outlineLevel="0" collapsed="false">
      <c r="A193" s="9"/>
      <c r="B193" s="9"/>
      <c r="C193" s="18" t="str">
        <f aca="false">IF(B193="","",IFERROR(INDEX(LOOKAHEAD!$B$5:$B$204,MATCH(B193,LOOKAHEAD!$A$5:$A$204,0)),"ID no existe"))</f>
        <v/>
      </c>
      <c r="D193" s="27" t="str">
        <f aca="false">IF(B193="","",IFERROR(INDEX(LOOKAHEAD!$I$5:$I$204,MATCH(B193,LOOKAHEAD!$A$5:$A$204,0)),""))</f>
        <v/>
      </c>
      <c r="E193" s="9"/>
      <c r="F193" s="9"/>
      <c r="G193" s="9"/>
      <c r="H193" s="14"/>
      <c r="I193" s="27" t="str">
        <f aca="false">IF(OR(D193="",D193=0),"",D193-$D$2)</f>
        <v/>
      </c>
      <c r="J193" s="14"/>
      <c r="K193" s="14"/>
      <c r="L193" s="16" t="str">
        <f aca="false">IF(B193="","",IF(K193&lt;&gt;"","Liberado","Pendiente"))</f>
        <v/>
      </c>
      <c r="M193" s="16" t="str">
        <f aca="true">IF(B193="","",IF(L193="Liberado",IF(OR(I193="",K193&lt;=I193),"A tiempo","Liberada tarde"),IF(J193="","Sin compromiso",IF(TODAY()&gt;J193,"VENCIDA",IF(AND(I193&lt;&gt;"",J193&gt;I193),"En riesgo","En gestión")))))</f>
        <v/>
      </c>
      <c r="N193" s="15" t="str">
        <f aca="false">IF(OR(B193="",I193=""),"",IF(K193&lt;&gt;"",I193-K193,IF(J193&lt;&gt;"",I193-J193,"")))</f>
        <v/>
      </c>
      <c r="O193" s="9"/>
    </row>
    <row r="194" customFormat="false" ht="15" hidden="false" customHeight="false" outlineLevel="0" collapsed="false">
      <c r="A194" s="9"/>
      <c r="B194" s="9"/>
      <c r="C194" s="18" t="str">
        <f aca="false">IF(B194="","",IFERROR(INDEX(LOOKAHEAD!$B$5:$B$204,MATCH(B194,LOOKAHEAD!$A$5:$A$204,0)),"ID no existe"))</f>
        <v/>
      </c>
      <c r="D194" s="27" t="str">
        <f aca="false">IF(B194="","",IFERROR(INDEX(LOOKAHEAD!$I$5:$I$204,MATCH(B194,LOOKAHEAD!$A$5:$A$204,0)),""))</f>
        <v/>
      </c>
      <c r="E194" s="9"/>
      <c r="F194" s="9"/>
      <c r="G194" s="9"/>
      <c r="H194" s="14"/>
      <c r="I194" s="27" t="str">
        <f aca="false">IF(OR(D194="",D194=0),"",D194-$D$2)</f>
        <v/>
      </c>
      <c r="J194" s="14"/>
      <c r="K194" s="14"/>
      <c r="L194" s="16" t="str">
        <f aca="false">IF(B194="","",IF(K194&lt;&gt;"","Liberado","Pendiente"))</f>
        <v/>
      </c>
      <c r="M194" s="16" t="str">
        <f aca="true">IF(B194="","",IF(L194="Liberado",IF(OR(I194="",K194&lt;=I194),"A tiempo","Liberada tarde"),IF(J194="","Sin compromiso",IF(TODAY()&gt;J194,"VENCIDA",IF(AND(I194&lt;&gt;"",J194&gt;I194),"En riesgo","En gestión")))))</f>
        <v/>
      </c>
      <c r="N194" s="15" t="str">
        <f aca="false">IF(OR(B194="",I194=""),"",IF(K194&lt;&gt;"",I194-K194,IF(J194&lt;&gt;"",I194-J194,"")))</f>
        <v/>
      </c>
      <c r="O194" s="9"/>
    </row>
    <row r="195" customFormat="false" ht="15" hidden="false" customHeight="false" outlineLevel="0" collapsed="false">
      <c r="A195" s="9"/>
      <c r="B195" s="9"/>
      <c r="C195" s="18" t="str">
        <f aca="false">IF(B195="","",IFERROR(INDEX(LOOKAHEAD!$B$5:$B$204,MATCH(B195,LOOKAHEAD!$A$5:$A$204,0)),"ID no existe"))</f>
        <v/>
      </c>
      <c r="D195" s="27" t="str">
        <f aca="false">IF(B195="","",IFERROR(INDEX(LOOKAHEAD!$I$5:$I$204,MATCH(B195,LOOKAHEAD!$A$5:$A$204,0)),""))</f>
        <v/>
      </c>
      <c r="E195" s="9"/>
      <c r="F195" s="9"/>
      <c r="G195" s="9"/>
      <c r="H195" s="14"/>
      <c r="I195" s="27" t="str">
        <f aca="false">IF(OR(D195="",D195=0),"",D195-$D$2)</f>
        <v/>
      </c>
      <c r="J195" s="14"/>
      <c r="K195" s="14"/>
      <c r="L195" s="16" t="str">
        <f aca="false">IF(B195="","",IF(K195&lt;&gt;"","Liberado","Pendiente"))</f>
        <v/>
      </c>
      <c r="M195" s="16" t="str">
        <f aca="true">IF(B195="","",IF(L195="Liberado",IF(OR(I195="",K195&lt;=I195),"A tiempo","Liberada tarde"),IF(J195="","Sin compromiso",IF(TODAY()&gt;J195,"VENCIDA",IF(AND(I195&lt;&gt;"",J195&gt;I195),"En riesgo","En gestión")))))</f>
        <v/>
      </c>
      <c r="N195" s="15" t="str">
        <f aca="false">IF(OR(B195="",I195=""),"",IF(K195&lt;&gt;"",I195-K195,IF(J195&lt;&gt;"",I195-J195,"")))</f>
        <v/>
      </c>
      <c r="O195" s="9"/>
    </row>
    <row r="196" customFormat="false" ht="15" hidden="false" customHeight="false" outlineLevel="0" collapsed="false">
      <c r="A196" s="9"/>
      <c r="B196" s="9"/>
      <c r="C196" s="18" t="str">
        <f aca="false">IF(B196="","",IFERROR(INDEX(LOOKAHEAD!$B$5:$B$204,MATCH(B196,LOOKAHEAD!$A$5:$A$204,0)),"ID no existe"))</f>
        <v/>
      </c>
      <c r="D196" s="27" t="str">
        <f aca="false">IF(B196="","",IFERROR(INDEX(LOOKAHEAD!$I$5:$I$204,MATCH(B196,LOOKAHEAD!$A$5:$A$204,0)),""))</f>
        <v/>
      </c>
      <c r="E196" s="9"/>
      <c r="F196" s="9"/>
      <c r="G196" s="9"/>
      <c r="H196" s="14"/>
      <c r="I196" s="27" t="str">
        <f aca="false">IF(OR(D196="",D196=0),"",D196-$D$2)</f>
        <v/>
      </c>
      <c r="J196" s="14"/>
      <c r="K196" s="14"/>
      <c r="L196" s="16" t="str">
        <f aca="false">IF(B196="","",IF(K196&lt;&gt;"","Liberado","Pendiente"))</f>
        <v/>
      </c>
      <c r="M196" s="16" t="str">
        <f aca="true">IF(B196="","",IF(L196="Liberado",IF(OR(I196="",K196&lt;=I196),"A tiempo","Liberada tarde"),IF(J196="","Sin compromiso",IF(TODAY()&gt;J196,"VENCIDA",IF(AND(I196&lt;&gt;"",J196&gt;I196),"En riesgo","En gestión")))))</f>
        <v/>
      </c>
      <c r="N196" s="15" t="str">
        <f aca="false">IF(OR(B196="",I196=""),"",IF(K196&lt;&gt;"",I196-K196,IF(J196&lt;&gt;"",I196-J196,"")))</f>
        <v/>
      </c>
      <c r="O196" s="9"/>
    </row>
    <row r="197" customFormat="false" ht="15" hidden="false" customHeight="false" outlineLevel="0" collapsed="false">
      <c r="A197" s="9"/>
      <c r="B197" s="9"/>
      <c r="C197" s="18" t="str">
        <f aca="false">IF(B197="","",IFERROR(INDEX(LOOKAHEAD!$B$5:$B$204,MATCH(B197,LOOKAHEAD!$A$5:$A$204,0)),"ID no existe"))</f>
        <v/>
      </c>
      <c r="D197" s="27" t="str">
        <f aca="false">IF(B197="","",IFERROR(INDEX(LOOKAHEAD!$I$5:$I$204,MATCH(B197,LOOKAHEAD!$A$5:$A$204,0)),""))</f>
        <v/>
      </c>
      <c r="E197" s="9"/>
      <c r="F197" s="9"/>
      <c r="G197" s="9"/>
      <c r="H197" s="14"/>
      <c r="I197" s="27" t="str">
        <f aca="false">IF(OR(D197="",D197=0),"",D197-$D$2)</f>
        <v/>
      </c>
      <c r="J197" s="14"/>
      <c r="K197" s="14"/>
      <c r="L197" s="16" t="str">
        <f aca="false">IF(B197="","",IF(K197&lt;&gt;"","Liberado","Pendiente"))</f>
        <v/>
      </c>
      <c r="M197" s="16" t="str">
        <f aca="true">IF(B197="","",IF(L197="Liberado",IF(OR(I197="",K197&lt;=I197),"A tiempo","Liberada tarde"),IF(J197="","Sin compromiso",IF(TODAY()&gt;J197,"VENCIDA",IF(AND(I197&lt;&gt;"",J197&gt;I197),"En riesgo","En gestión")))))</f>
        <v/>
      </c>
      <c r="N197" s="15" t="str">
        <f aca="false">IF(OR(B197="",I197=""),"",IF(K197&lt;&gt;"",I197-K197,IF(J197&lt;&gt;"",I197-J197,"")))</f>
        <v/>
      </c>
      <c r="O197" s="9"/>
    </row>
    <row r="198" customFormat="false" ht="15" hidden="false" customHeight="false" outlineLevel="0" collapsed="false">
      <c r="A198" s="9"/>
      <c r="B198" s="9"/>
      <c r="C198" s="18" t="str">
        <f aca="false">IF(B198="","",IFERROR(INDEX(LOOKAHEAD!$B$5:$B$204,MATCH(B198,LOOKAHEAD!$A$5:$A$204,0)),"ID no existe"))</f>
        <v/>
      </c>
      <c r="D198" s="27" t="str">
        <f aca="false">IF(B198="","",IFERROR(INDEX(LOOKAHEAD!$I$5:$I$204,MATCH(B198,LOOKAHEAD!$A$5:$A$204,0)),""))</f>
        <v/>
      </c>
      <c r="E198" s="9"/>
      <c r="F198" s="9"/>
      <c r="G198" s="9"/>
      <c r="H198" s="14"/>
      <c r="I198" s="27" t="str">
        <f aca="false">IF(OR(D198="",D198=0),"",D198-$D$2)</f>
        <v/>
      </c>
      <c r="J198" s="14"/>
      <c r="K198" s="14"/>
      <c r="L198" s="16" t="str">
        <f aca="false">IF(B198="","",IF(K198&lt;&gt;"","Liberado","Pendiente"))</f>
        <v/>
      </c>
      <c r="M198" s="16" t="str">
        <f aca="true">IF(B198="","",IF(L198="Liberado",IF(OR(I198="",K198&lt;=I198),"A tiempo","Liberada tarde"),IF(J198="","Sin compromiso",IF(TODAY()&gt;J198,"VENCIDA",IF(AND(I198&lt;&gt;"",J198&gt;I198),"En riesgo","En gestión")))))</f>
        <v/>
      </c>
      <c r="N198" s="15" t="str">
        <f aca="false">IF(OR(B198="",I198=""),"",IF(K198&lt;&gt;"",I198-K198,IF(J198&lt;&gt;"",I198-J198,"")))</f>
        <v/>
      </c>
      <c r="O198" s="9"/>
    </row>
    <row r="199" customFormat="false" ht="15" hidden="false" customHeight="false" outlineLevel="0" collapsed="false">
      <c r="A199" s="9"/>
      <c r="B199" s="9"/>
      <c r="C199" s="18" t="str">
        <f aca="false">IF(B199="","",IFERROR(INDEX(LOOKAHEAD!$B$5:$B$204,MATCH(B199,LOOKAHEAD!$A$5:$A$204,0)),"ID no existe"))</f>
        <v/>
      </c>
      <c r="D199" s="27" t="str">
        <f aca="false">IF(B199="","",IFERROR(INDEX(LOOKAHEAD!$I$5:$I$204,MATCH(B199,LOOKAHEAD!$A$5:$A$204,0)),""))</f>
        <v/>
      </c>
      <c r="E199" s="9"/>
      <c r="F199" s="9"/>
      <c r="G199" s="9"/>
      <c r="H199" s="14"/>
      <c r="I199" s="27" t="str">
        <f aca="false">IF(OR(D199="",D199=0),"",D199-$D$2)</f>
        <v/>
      </c>
      <c r="J199" s="14"/>
      <c r="K199" s="14"/>
      <c r="L199" s="16" t="str">
        <f aca="false">IF(B199="","",IF(K199&lt;&gt;"","Liberado","Pendiente"))</f>
        <v/>
      </c>
      <c r="M199" s="16" t="str">
        <f aca="true">IF(B199="","",IF(L199="Liberado",IF(OR(I199="",K199&lt;=I199),"A tiempo","Liberada tarde"),IF(J199="","Sin compromiso",IF(TODAY()&gt;J199,"VENCIDA",IF(AND(I199&lt;&gt;"",J199&gt;I199),"En riesgo","En gestión")))))</f>
        <v/>
      </c>
      <c r="N199" s="15" t="str">
        <f aca="false">IF(OR(B199="",I199=""),"",IF(K199&lt;&gt;"",I199-K199,IF(J199&lt;&gt;"",I199-J199,"")))</f>
        <v/>
      </c>
      <c r="O199" s="9"/>
    </row>
    <row r="200" customFormat="false" ht="15" hidden="false" customHeight="false" outlineLevel="0" collapsed="false">
      <c r="A200" s="9"/>
      <c r="B200" s="9"/>
      <c r="C200" s="18" t="str">
        <f aca="false">IF(B200="","",IFERROR(INDEX(LOOKAHEAD!$B$5:$B$204,MATCH(B200,LOOKAHEAD!$A$5:$A$204,0)),"ID no existe"))</f>
        <v/>
      </c>
      <c r="D200" s="27" t="str">
        <f aca="false">IF(B200="","",IFERROR(INDEX(LOOKAHEAD!$I$5:$I$204,MATCH(B200,LOOKAHEAD!$A$5:$A$204,0)),""))</f>
        <v/>
      </c>
      <c r="E200" s="9"/>
      <c r="F200" s="9"/>
      <c r="G200" s="9"/>
      <c r="H200" s="14"/>
      <c r="I200" s="27" t="str">
        <f aca="false">IF(OR(D200="",D200=0),"",D200-$D$2)</f>
        <v/>
      </c>
      <c r="J200" s="14"/>
      <c r="K200" s="14"/>
      <c r="L200" s="16" t="str">
        <f aca="false">IF(B200="","",IF(K200&lt;&gt;"","Liberado","Pendiente"))</f>
        <v/>
      </c>
      <c r="M200" s="16" t="str">
        <f aca="true">IF(B200="","",IF(L200="Liberado",IF(OR(I200="",K200&lt;=I200),"A tiempo","Liberada tarde"),IF(J200="","Sin compromiso",IF(TODAY()&gt;J200,"VENCIDA",IF(AND(I200&lt;&gt;"",J200&gt;I200),"En riesgo","En gestión")))))</f>
        <v/>
      </c>
      <c r="N200" s="15" t="str">
        <f aca="false">IF(OR(B200="",I200=""),"",IF(K200&lt;&gt;"",I200-K200,IF(J200&lt;&gt;"",I200-J200,"")))</f>
        <v/>
      </c>
      <c r="O200" s="9"/>
    </row>
    <row r="201" customFormat="false" ht="15" hidden="false" customHeight="false" outlineLevel="0" collapsed="false">
      <c r="A201" s="9"/>
      <c r="B201" s="9"/>
      <c r="C201" s="18" t="str">
        <f aca="false">IF(B201="","",IFERROR(INDEX(LOOKAHEAD!$B$5:$B$204,MATCH(B201,LOOKAHEAD!$A$5:$A$204,0)),"ID no existe"))</f>
        <v/>
      </c>
      <c r="D201" s="27" t="str">
        <f aca="false">IF(B201="","",IFERROR(INDEX(LOOKAHEAD!$I$5:$I$204,MATCH(B201,LOOKAHEAD!$A$5:$A$204,0)),""))</f>
        <v/>
      </c>
      <c r="E201" s="9"/>
      <c r="F201" s="9"/>
      <c r="G201" s="9"/>
      <c r="H201" s="14"/>
      <c r="I201" s="27" t="str">
        <f aca="false">IF(OR(D201="",D201=0),"",D201-$D$2)</f>
        <v/>
      </c>
      <c r="J201" s="14"/>
      <c r="K201" s="14"/>
      <c r="L201" s="16" t="str">
        <f aca="false">IF(B201="","",IF(K201&lt;&gt;"","Liberado","Pendiente"))</f>
        <v/>
      </c>
      <c r="M201" s="16" t="str">
        <f aca="true">IF(B201="","",IF(L201="Liberado",IF(OR(I201="",K201&lt;=I201),"A tiempo","Liberada tarde"),IF(J201="","Sin compromiso",IF(TODAY()&gt;J201,"VENCIDA",IF(AND(I201&lt;&gt;"",J201&gt;I201),"En riesgo","En gestión")))))</f>
        <v/>
      </c>
      <c r="N201" s="15" t="str">
        <f aca="false">IF(OR(B201="",I201=""),"",IF(K201&lt;&gt;"",I201-K201,IF(J201&lt;&gt;"",I201-J201,"")))</f>
        <v/>
      </c>
      <c r="O201" s="9"/>
    </row>
    <row r="202" customFormat="false" ht="15" hidden="false" customHeight="false" outlineLevel="0" collapsed="false">
      <c r="A202" s="9"/>
      <c r="B202" s="9"/>
      <c r="C202" s="18" t="str">
        <f aca="false">IF(B202="","",IFERROR(INDEX(LOOKAHEAD!$B$5:$B$204,MATCH(B202,LOOKAHEAD!$A$5:$A$204,0)),"ID no existe"))</f>
        <v/>
      </c>
      <c r="D202" s="27" t="str">
        <f aca="false">IF(B202="","",IFERROR(INDEX(LOOKAHEAD!$I$5:$I$204,MATCH(B202,LOOKAHEAD!$A$5:$A$204,0)),""))</f>
        <v/>
      </c>
      <c r="E202" s="9"/>
      <c r="F202" s="9"/>
      <c r="G202" s="9"/>
      <c r="H202" s="14"/>
      <c r="I202" s="27" t="str">
        <f aca="false">IF(OR(D202="",D202=0),"",D202-$D$2)</f>
        <v/>
      </c>
      <c r="J202" s="14"/>
      <c r="K202" s="14"/>
      <c r="L202" s="16" t="str">
        <f aca="false">IF(B202="","",IF(K202&lt;&gt;"","Liberado","Pendiente"))</f>
        <v/>
      </c>
      <c r="M202" s="16" t="str">
        <f aca="true">IF(B202="","",IF(L202="Liberado",IF(OR(I202="",K202&lt;=I202),"A tiempo","Liberada tarde"),IF(J202="","Sin compromiso",IF(TODAY()&gt;J202,"VENCIDA",IF(AND(I202&lt;&gt;"",J202&gt;I202),"En riesgo","En gestión")))))</f>
        <v/>
      </c>
      <c r="N202" s="15" t="str">
        <f aca="false">IF(OR(B202="",I202=""),"",IF(K202&lt;&gt;"",I202-K202,IF(J202&lt;&gt;"",I202-J202,"")))</f>
        <v/>
      </c>
      <c r="O202" s="9"/>
    </row>
    <row r="203" customFormat="false" ht="15" hidden="false" customHeight="false" outlineLevel="0" collapsed="false">
      <c r="A203" s="9"/>
      <c r="B203" s="9"/>
      <c r="C203" s="18" t="str">
        <f aca="false">IF(B203="","",IFERROR(INDEX(LOOKAHEAD!$B$5:$B$204,MATCH(B203,LOOKAHEAD!$A$5:$A$204,0)),"ID no existe"))</f>
        <v/>
      </c>
      <c r="D203" s="27" t="str">
        <f aca="false">IF(B203="","",IFERROR(INDEX(LOOKAHEAD!$I$5:$I$204,MATCH(B203,LOOKAHEAD!$A$5:$A$204,0)),""))</f>
        <v/>
      </c>
      <c r="E203" s="9"/>
      <c r="F203" s="9"/>
      <c r="G203" s="9"/>
      <c r="H203" s="14"/>
      <c r="I203" s="27" t="str">
        <f aca="false">IF(OR(D203="",D203=0),"",D203-$D$2)</f>
        <v/>
      </c>
      <c r="J203" s="14"/>
      <c r="K203" s="14"/>
      <c r="L203" s="16" t="str">
        <f aca="false">IF(B203="","",IF(K203&lt;&gt;"","Liberado","Pendiente"))</f>
        <v/>
      </c>
      <c r="M203" s="16" t="str">
        <f aca="true">IF(B203="","",IF(L203="Liberado",IF(OR(I203="",K203&lt;=I203),"A tiempo","Liberada tarde"),IF(J203="","Sin compromiso",IF(TODAY()&gt;J203,"VENCIDA",IF(AND(I203&lt;&gt;"",J203&gt;I203),"En riesgo","En gestión")))))</f>
        <v/>
      </c>
      <c r="N203" s="15" t="str">
        <f aca="false">IF(OR(B203="",I203=""),"",IF(K203&lt;&gt;"",I203-K203,IF(J203&lt;&gt;"",I203-J203,"")))</f>
        <v/>
      </c>
      <c r="O203" s="9"/>
    </row>
    <row r="204" customFormat="false" ht="15" hidden="false" customHeight="false" outlineLevel="0" collapsed="false">
      <c r="A204" s="9"/>
      <c r="B204" s="9"/>
      <c r="C204" s="18" t="str">
        <f aca="false">IF(B204="","",IFERROR(INDEX(LOOKAHEAD!$B$5:$B$204,MATCH(B204,LOOKAHEAD!$A$5:$A$204,0)),"ID no existe"))</f>
        <v/>
      </c>
      <c r="D204" s="27" t="str">
        <f aca="false">IF(B204="","",IFERROR(INDEX(LOOKAHEAD!$I$5:$I$204,MATCH(B204,LOOKAHEAD!$A$5:$A$204,0)),""))</f>
        <v/>
      </c>
      <c r="E204" s="9"/>
      <c r="F204" s="9"/>
      <c r="G204" s="9"/>
      <c r="H204" s="14"/>
      <c r="I204" s="27" t="str">
        <f aca="false">IF(OR(D204="",D204=0),"",D204-$D$2)</f>
        <v/>
      </c>
      <c r="J204" s="14"/>
      <c r="K204" s="14"/>
      <c r="L204" s="16" t="str">
        <f aca="false">IF(B204="","",IF(K204&lt;&gt;"","Liberado","Pendiente"))</f>
        <v/>
      </c>
      <c r="M204" s="16" t="str">
        <f aca="true">IF(B204="","",IF(L204="Liberado",IF(OR(I204="",K204&lt;=I204),"A tiempo","Liberada tarde"),IF(J204="","Sin compromiso",IF(TODAY()&gt;J204,"VENCIDA",IF(AND(I204&lt;&gt;"",J204&gt;I204),"En riesgo","En gestión")))))</f>
        <v/>
      </c>
      <c r="N204" s="15" t="str">
        <f aca="false">IF(OR(B204="",I204=""),"",IF(K204&lt;&gt;"",I204-K204,IF(J204&lt;&gt;"",I204-J204,"")))</f>
        <v/>
      </c>
      <c r="O204" s="9"/>
    </row>
    <row r="205" customFormat="false" ht="15" hidden="false" customHeight="false" outlineLevel="0" collapsed="false">
      <c r="A205" s="9"/>
      <c r="B205" s="9"/>
      <c r="C205" s="18" t="str">
        <f aca="false">IF(B205="","",IFERROR(INDEX(LOOKAHEAD!$B$5:$B$204,MATCH(B205,LOOKAHEAD!$A$5:$A$204,0)),"ID no existe"))</f>
        <v/>
      </c>
      <c r="D205" s="27" t="str">
        <f aca="false">IF(B205="","",IFERROR(INDEX(LOOKAHEAD!$I$5:$I$204,MATCH(B205,LOOKAHEAD!$A$5:$A$204,0)),""))</f>
        <v/>
      </c>
      <c r="E205" s="9"/>
      <c r="F205" s="9"/>
      <c r="G205" s="9"/>
      <c r="H205" s="14"/>
      <c r="I205" s="27" t="str">
        <f aca="false">IF(OR(D205="",D205=0),"",D205-$D$2)</f>
        <v/>
      </c>
      <c r="J205" s="14"/>
      <c r="K205" s="14"/>
      <c r="L205" s="16" t="str">
        <f aca="false">IF(B205="","",IF(K205&lt;&gt;"","Liberado","Pendiente"))</f>
        <v/>
      </c>
      <c r="M205" s="16" t="str">
        <f aca="true">IF(B205="","",IF(L205="Liberado",IF(OR(I205="",K205&lt;=I205),"A tiempo","Liberada tarde"),IF(J205="","Sin compromiso",IF(TODAY()&gt;J205,"VENCIDA",IF(AND(I205&lt;&gt;"",J205&gt;I205),"En riesgo","En gestión")))))</f>
        <v/>
      </c>
      <c r="N205" s="15" t="str">
        <f aca="false">IF(OR(B205="",I205=""),"",IF(K205&lt;&gt;"",I205-K205,IF(J205&lt;&gt;"",I205-J205,"")))</f>
        <v/>
      </c>
      <c r="O205" s="9"/>
    </row>
    <row r="206" customFormat="false" ht="15" hidden="false" customHeight="false" outlineLevel="0" collapsed="false">
      <c r="A206" s="9"/>
      <c r="B206" s="9"/>
      <c r="C206" s="18" t="str">
        <f aca="false">IF(B206="","",IFERROR(INDEX(LOOKAHEAD!$B$5:$B$204,MATCH(B206,LOOKAHEAD!$A$5:$A$204,0)),"ID no existe"))</f>
        <v/>
      </c>
      <c r="D206" s="27" t="str">
        <f aca="false">IF(B206="","",IFERROR(INDEX(LOOKAHEAD!$I$5:$I$204,MATCH(B206,LOOKAHEAD!$A$5:$A$204,0)),""))</f>
        <v/>
      </c>
      <c r="E206" s="9"/>
      <c r="F206" s="9"/>
      <c r="G206" s="9"/>
      <c r="H206" s="14"/>
      <c r="I206" s="27" t="str">
        <f aca="false">IF(OR(D206="",D206=0),"",D206-$D$2)</f>
        <v/>
      </c>
      <c r="J206" s="14"/>
      <c r="K206" s="14"/>
      <c r="L206" s="16" t="str">
        <f aca="false">IF(B206="","",IF(K206&lt;&gt;"","Liberado","Pendiente"))</f>
        <v/>
      </c>
      <c r="M206" s="16" t="str">
        <f aca="true">IF(B206="","",IF(L206="Liberado",IF(OR(I206="",K206&lt;=I206),"A tiempo","Liberada tarde"),IF(J206="","Sin compromiso",IF(TODAY()&gt;J206,"VENCIDA",IF(AND(I206&lt;&gt;"",J206&gt;I206),"En riesgo","En gestión")))))</f>
        <v/>
      </c>
      <c r="N206" s="15" t="str">
        <f aca="false">IF(OR(B206="",I206=""),"",IF(K206&lt;&gt;"",I206-K206,IF(J206&lt;&gt;"",I206-J206,"")))</f>
        <v/>
      </c>
      <c r="O206" s="9"/>
    </row>
    <row r="207" customFormat="false" ht="15" hidden="false" customHeight="false" outlineLevel="0" collapsed="false">
      <c r="A207" s="9"/>
      <c r="B207" s="9"/>
      <c r="C207" s="18" t="str">
        <f aca="false">IF(B207="","",IFERROR(INDEX(LOOKAHEAD!$B$5:$B$204,MATCH(B207,LOOKAHEAD!$A$5:$A$204,0)),"ID no existe"))</f>
        <v/>
      </c>
      <c r="D207" s="27" t="str">
        <f aca="false">IF(B207="","",IFERROR(INDEX(LOOKAHEAD!$I$5:$I$204,MATCH(B207,LOOKAHEAD!$A$5:$A$204,0)),""))</f>
        <v/>
      </c>
      <c r="E207" s="9"/>
      <c r="F207" s="9"/>
      <c r="G207" s="9"/>
      <c r="H207" s="14"/>
      <c r="I207" s="27" t="str">
        <f aca="false">IF(OR(D207="",D207=0),"",D207-$D$2)</f>
        <v/>
      </c>
      <c r="J207" s="14"/>
      <c r="K207" s="14"/>
      <c r="L207" s="16" t="str">
        <f aca="false">IF(B207="","",IF(K207&lt;&gt;"","Liberado","Pendiente"))</f>
        <v/>
      </c>
      <c r="M207" s="16" t="str">
        <f aca="true">IF(B207="","",IF(L207="Liberado",IF(OR(I207="",K207&lt;=I207),"A tiempo","Liberada tarde"),IF(J207="","Sin compromiso",IF(TODAY()&gt;J207,"VENCIDA",IF(AND(I207&lt;&gt;"",J207&gt;I207),"En riesgo","En gestión")))))</f>
        <v/>
      </c>
      <c r="N207" s="15" t="str">
        <f aca="false">IF(OR(B207="",I207=""),"",IF(K207&lt;&gt;"",I207-K207,IF(J207&lt;&gt;"",I207-J207,"")))</f>
        <v/>
      </c>
      <c r="O207" s="9"/>
    </row>
    <row r="208" customFormat="false" ht="15" hidden="false" customHeight="false" outlineLevel="0" collapsed="false">
      <c r="A208" s="9"/>
      <c r="B208" s="9"/>
      <c r="C208" s="18" t="str">
        <f aca="false">IF(B208="","",IFERROR(INDEX(LOOKAHEAD!$B$5:$B$204,MATCH(B208,LOOKAHEAD!$A$5:$A$204,0)),"ID no existe"))</f>
        <v/>
      </c>
      <c r="D208" s="27" t="str">
        <f aca="false">IF(B208="","",IFERROR(INDEX(LOOKAHEAD!$I$5:$I$204,MATCH(B208,LOOKAHEAD!$A$5:$A$204,0)),""))</f>
        <v/>
      </c>
      <c r="E208" s="9"/>
      <c r="F208" s="9"/>
      <c r="G208" s="9"/>
      <c r="H208" s="14"/>
      <c r="I208" s="27" t="str">
        <f aca="false">IF(OR(D208="",D208=0),"",D208-$D$2)</f>
        <v/>
      </c>
      <c r="J208" s="14"/>
      <c r="K208" s="14"/>
      <c r="L208" s="16" t="str">
        <f aca="false">IF(B208="","",IF(K208&lt;&gt;"","Liberado","Pendiente"))</f>
        <v/>
      </c>
      <c r="M208" s="16" t="str">
        <f aca="true">IF(B208="","",IF(L208="Liberado",IF(OR(I208="",K208&lt;=I208),"A tiempo","Liberada tarde"),IF(J208="","Sin compromiso",IF(TODAY()&gt;J208,"VENCIDA",IF(AND(I208&lt;&gt;"",J208&gt;I208),"En riesgo","En gestión")))))</f>
        <v/>
      </c>
      <c r="N208" s="15" t="str">
        <f aca="false">IF(OR(B208="",I208=""),"",IF(K208&lt;&gt;"",I208-K208,IF(J208&lt;&gt;"",I208-J208,"")))</f>
        <v/>
      </c>
      <c r="O208" s="9"/>
    </row>
    <row r="209" customFormat="false" ht="15" hidden="false" customHeight="false" outlineLevel="0" collapsed="false">
      <c r="A209" s="9"/>
      <c r="B209" s="9"/>
      <c r="C209" s="18" t="str">
        <f aca="false">IF(B209="","",IFERROR(INDEX(LOOKAHEAD!$B$5:$B$204,MATCH(B209,LOOKAHEAD!$A$5:$A$204,0)),"ID no existe"))</f>
        <v/>
      </c>
      <c r="D209" s="27" t="str">
        <f aca="false">IF(B209="","",IFERROR(INDEX(LOOKAHEAD!$I$5:$I$204,MATCH(B209,LOOKAHEAD!$A$5:$A$204,0)),""))</f>
        <v/>
      </c>
      <c r="E209" s="9"/>
      <c r="F209" s="9"/>
      <c r="G209" s="9"/>
      <c r="H209" s="14"/>
      <c r="I209" s="27" t="str">
        <f aca="false">IF(OR(D209="",D209=0),"",D209-$D$2)</f>
        <v/>
      </c>
      <c r="J209" s="14"/>
      <c r="K209" s="14"/>
      <c r="L209" s="16" t="str">
        <f aca="false">IF(B209="","",IF(K209&lt;&gt;"","Liberado","Pendiente"))</f>
        <v/>
      </c>
      <c r="M209" s="16" t="str">
        <f aca="true">IF(B209="","",IF(L209="Liberado",IF(OR(I209="",K209&lt;=I209),"A tiempo","Liberada tarde"),IF(J209="","Sin compromiso",IF(TODAY()&gt;J209,"VENCIDA",IF(AND(I209&lt;&gt;"",J209&gt;I209),"En riesgo","En gestión")))))</f>
        <v/>
      </c>
      <c r="N209" s="15" t="str">
        <f aca="false">IF(OR(B209="",I209=""),"",IF(K209&lt;&gt;"",I209-K209,IF(J209&lt;&gt;"",I209-J209,"")))</f>
        <v/>
      </c>
      <c r="O209" s="9"/>
    </row>
    <row r="210" customFormat="false" ht="15" hidden="false" customHeight="false" outlineLevel="0" collapsed="false">
      <c r="A210" s="9"/>
      <c r="B210" s="9"/>
      <c r="C210" s="18" t="str">
        <f aca="false">IF(B210="","",IFERROR(INDEX(LOOKAHEAD!$B$5:$B$204,MATCH(B210,LOOKAHEAD!$A$5:$A$204,0)),"ID no existe"))</f>
        <v/>
      </c>
      <c r="D210" s="27" t="str">
        <f aca="false">IF(B210="","",IFERROR(INDEX(LOOKAHEAD!$I$5:$I$204,MATCH(B210,LOOKAHEAD!$A$5:$A$204,0)),""))</f>
        <v/>
      </c>
      <c r="E210" s="9"/>
      <c r="F210" s="9"/>
      <c r="G210" s="9"/>
      <c r="H210" s="14"/>
      <c r="I210" s="27" t="str">
        <f aca="false">IF(OR(D210="",D210=0),"",D210-$D$2)</f>
        <v/>
      </c>
      <c r="J210" s="14"/>
      <c r="K210" s="14"/>
      <c r="L210" s="16" t="str">
        <f aca="false">IF(B210="","",IF(K210&lt;&gt;"","Liberado","Pendiente"))</f>
        <v/>
      </c>
      <c r="M210" s="16" t="str">
        <f aca="true">IF(B210="","",IF(L210="Liberado",IF(OR(I210="",K210&lt;=I210),"A tiempo","Liberada tarde"),IF(J210="","Sin compromiso",IF(TODAY()&gt;J210,"VENCIDA",IF(AND(I210&lt;&gt;"",J210&gt;I210),"En riesgo","En gestión")))))</f>
        <v/>
      </c>
      <c r="N210" s="15" t="str">
        <f aca="false">IF(OR(B210="",I210=""),"",IF(K210&lt;&gt;"",I210-K210,IF(J210&lt;&gt;"",I210-J210,"")))</f>
        <v/>
      </c>
      <c r="O210" s="9"/>
    </row>
    <row r="211" customFormat="false" ht="15" hidden="false" customHeight="false" outlineLevel="0" collapsed="false">
      <c r="A211" s="9"/>
      <c r="B211" s="9"/>
      <c r="C211" s="18" t="str">
        <f aca="false">IF(B211="","",IFERROR(INDEX(LOOKAHEAD!$B$5:$B$204,MATCH(B211,LOOKAHEAD!$A$5:$A$204,0)),"ID no existe"))</f>
        <v/>
      </c>
      <c r="D211" s="27" t="str">
        <f aca="false">IF(B211="","",IFERROR(INDEX(LOOKAHEAD!$I$5:$I$204,MATCH(B211,LOOKAHEAD!$A$5:$A$204,0)),""))</f>
        <v/>
      </c>
      <c r="E211" s="9"/>
      <c r="F211" s="9"/>
      <c r="G211" s="9"/>
      <c r="H211" s="14"/>
      <c r="I211" s="27" t="str">
        <f aca="false">IF(OR(D211="",D211=0),"",D211-$D$2)</f>
        <v/>
      </c>
      <c r="J211" s="14"/>
      <c r="K211" s="14"/>
      <c r="L211" s="16" t="str">
        <f aca="false">IF(B211="","",IF(K211&lt;&gt;"","Liberado","Pendiente"))</f>
        <v/>
      </c>
      <c r="M211" s="16" t="str">
        <f aca="true">IF(B211="","",IF(L211="Liberado",IF(OR(I211="",K211&lt;=I211),"A tiempo","Liberada tarde"),IF(J211="","Sin compromiso",IF(TODAY()&gt;J211,"VENCIDA",IF(AND(I211&lt;&gt;"",J211&gt;I211),"En riesgo","En gestión")))))</f>
        <v/>
      </c>
      <c r="N211" s="15" t="str">
        <f aca="false">IF(OR(B211="",I211=""),"",IF(K211&lt;&gt;"",I211-K211,IF(J211&lt;&gt;"",I211-J211,"")))</f>
        <v/>
      </c>
      <c r="O211" s="9"/>
    </row>
    <row r="212" customFormat="false" ht="15" hidden="false" customHeight="false" outlineLevel="0" collapsed="false">
      <c r="A212" s="9"/>
      <c r="B212" s="9"/>
      <c r="C212" s="18" t="str">
        <f aca="false">IF(B212="","",IFERROR(INDEX(LOOKAHEAD!$B$5:$B$204,MATCH(B212,LOOKAHEAD!$A$5:$A$204,0)),"ID no existe"))</f>
        <v/>
      </c>
      <c r="D212" s="27" t="str">
        <f aca="false">IF(B212="","",IFERROR(INDEX(LOOKAHEAD!$I$5:$I$204,MATCH(B212,LOOKAHEAD!$A$5:$A$204,0)),""))</f>
        <v/>
      </c>
      <c r="E212" s="9"/>
      <c r="F212" s="9"/>
      <c r="G212" s="9"/>
      <c r="H212" s="14"/>
      <c r="I212" s="27" t="str">
        <f aca="false">IF(OR(D212="",D212=0),"",D212-$D$2)</f>
        <v/>
      </c>
      <c r="J212" s="14"/>
      <c r="K212" s="14"/>
      <c r="L212" s="16" t="str">
        <f aca="false">IF(B212="","",IF(K212&lt;&gt;"","Liberado","Pendiente"))</f>
        <v/>
      </c>
      <c r="M212" s="16" t="str">
        <f aca="true">IF(B212="","",IF(L212="Liberado",IF(OR(I212="",K212&lt;=I212),"A tiempo","Liberada tarde"),IF(J212="","Sin compromiso",IF(TODAY()&gt;J212,"VENCIDA",IF(AND(I212&lt;&gt;"",J212&gt;I212),"En riesgo","En gestión")))))</f>
        <v/>
      </c>
      <c r="N212" s="15" t="str">
        <f aca="false">IF(OR(B212="",I212=""),"",IF(K212&lt;&gt;"",I212-K212,IF(J212&lt;&gt;"",I212-J212,"")))</f>
        <v/>
      </c>
      <c r="O212" s="9"/>
    </row>
    <row r="213" customFormat="false" ht="15" hidden="false" customHeight="false" outlineLevel="0" collapsed="false">
      <c r="A213" s="9"/>
      <c r="B213" s="9"/>
      <c r="C213" s="18" t="str">
        <f aca="false">IF(B213="","",IFERROR(INDEX(LOOKAHEAD!$B$5:$B$204,MATCH(B213,LOOKAHEAD!$A$5:$A$204,0)),"ID no existe"))</f>
        <v/>
      </c>
      <c r="D213" s="27" t="str">
        <f aca="false">IF(B213="","",IFERROR(INDEX(LOOKAHEAD!$I$5:$I$204,MATCH(B213,LOOKAHEAD!$A$5:$A$204,0)),""))</f>
        <v/>
      </c>
      <c r="E213" s="9"/>
      <c r="F213" s="9"/>
      <c r="G213" s="9"/>
      <c r="H213" s="14"/>
      <c r="I213" s="27" t="str">
        <f aca="false">IF(OR(D213="",D213=0),"",D213-$D$2)</f>
        <v/>
      </c>
      <c r="J213" s="14"/>
      <c r="K213" s="14"/>
      <c r="L213" s="16" t="str">
        <f aca="false">IF(B213="","",IF(K213&lt;&gt;"","Liberado","Pendiente"))</f>
        <v/>
      </c>
      <c r="M213" s="16" t="str">
        <f aca="true">IF(B213="","",IF(L213="Liberado",IF(OR(I213="",K213&lt;=I213),"A tiempo","Liberada tarde"),IF(J213="","Sin compromiso",IF(TODAY()&gt;J213,"VENCIDA",IF(AND(I213&lt;&gt;"",J213&gt;I213),"En riesgo","En gestión")))))</f>
        <v/>
      </c>
      <c r="N213" s="15" t="str">
        <f aca="false">IF(OR(B213="",I213=""),"",IF(K213&lt;&gt;"",I213-K213,IF(J213&lt;&gt;"",I213-J213,"")))</f>
        <v/>
      </c>
      <c r="O213" s="9"/>
    </row>
    <row r="214" customFormat="false" ht="15" hidden="false" customHeight="false" outlineLevel="0" collapsed="false">
      <c r="A214" s="9"/>
      <c r="B214" s="9"/>
      <c r="C214" s="18" t="str">
        <f aca="false">IF(B214="","",IFERROR(INDEX(LOOKAHEAD!$B$5:$B$204,MATCH(B214,LOOKAHEAD!$A$5:$A$204,0)),"ID no existe"))</f>
        <v/>
      </c>
      <c r="D214" s="27" t="str">
        <f aca="false">IF(B214="","",IFERROR(INDEX(LOOKAHEAD!$I$5:$I$204,MATCH(B214,LOOKAHEAD!$A$5:$A$204,0)),""))</f>
        <v/>
      </c>
      <c r="E214" s="9"/>
      <c r="F214" s="9"/>
      <c r="G214" s="9"/>
      <c r="H214" s="14"/>
      <c r="I214" s="27" t="str">
        <f aca="false">IF(OR(D214="",D214=0),"",D214-$D$2)</f>
        <v/>
      </c>
      <c r="J214" s="14"/>
      <c r="K214" s="14"/>
      <c r="L214" s="16" t="str">
        <f aca="false">IF(B214="","",IF(K214&lt;&gt;"","Liberado","Pendiente"))</f>
        <v/>
      </c>
      <c r="M214" s="16" t="str">
        <f aca="true">IF(B214="","",IF(L214="Liberado",IF(OR(I214="",K214&lt;=I214),"A tiempo","Liberada tarde"),IF(J214="","Sin compromiso",IF(TODAY()&gt;J214,"VENCIDA",IF(AND(I214&lt;&gt;"",J214&gt;I214),"En riesgo","En gestión")))))</f>
        <v/>
      </c>
      <c r="N214" s="15" t="str">
        <f aca="false">IF(OR(B214="",I214=""),"",IF(K214&lt;&gt;"",I214-K214,IF(J214&lt;&gt;"",I214-J214,"")))</f>
        <v/>
      </c>
      <c r="O214" s="9"/>
    </row>
    <row r="215" customFormat="false" ht="15" hidden="false" customHeight="false" outlineLevel="0" collapsed="false">
      <c r="A215" s="9"/>
      <c r="B215" s="9"/>
      <c r="C215" s="18" t="str">
        <f aca="false">IF(B215="","",IFERROR(INDEX(LOOKAHEAD!$B$5:$B$204,MATCH(B215,LOOKAHEAD!$A$5:$A$204,0)),"ID no existe"))</f>
        <v/>
      </c>
      <c r="D215" s="27" t="str">
        <f aca="false">IF(B215="","",IFERROR(INDEX(LOOKAHEAD!$I$5:$I$204,MATCH(B215,LOOKAHEAD!$A$5:$A$204,0)),""))</f>
        <v/>
      </c>
      <c r="E215" s="9"/>
      <c r="F215" s="9"/>
      <c r="G215" s="9"/>
      <c r="H215" s="14"/>
      <c r="I215" s="27" t="str">
        <f aca="false">IF(OR(D215="",D215=0),"",D215-$D$2)</f>
        <v/>
      </c>
      <c r="J215" s="14"/>
      <c r="K215" s="14"/>
      <c r="L215" s="16" t="str">
        <f aca="false">IF(B215="","",IF(K215&lt;&gt;"","Liberado","Pendiente"))</f>
        <v/>
      </c>
      <c r="M215" s="16" t="str">
        <f aca="true">IF(B215="","",IF(L215="Liberado",IF(OR(I215="",K215&lt;=I215),"A tiempo","Liberada tarde"),IF(J215="","Sin compromiso",IF(TODAY()&gt;J215,"VENCIDA",IF(AND(I215&lt;&gt;"",J215&gt;I215),"En riesgo","En gestión")))))</f>
        <v/>
      </c>
      <c r="N215" s="15" t="str">
        <f aca="false">IF(OR(B215="",I215=""),"",IF(K215&lt;&gt;"",I215-K215,IF(J215&lt;&gt;"",I215-J215,"")))</f>
        <v/>
      </c>
      <c r="O215" s="9"/>
    </row>
    <row r="216" customFormat="false" ht="15" hidden="false" customHeight="false" outlineLevel="0" collapsed="false">
      <c r="A216" s="9"/>
      <c r="B216" s="9"/>
      <c r="C216" s="18" t="str">
        <f aca="false">IF(B216="","",IFERROR(INDEX(LOOKAHEAD!$B$5:$B$204,MATCH(B216,LOOKAHEAD!$A$5:$A$204,0)),"ID no existe"))</f>
        <v/>
      </c>
      <c r="D216" s="27" t="str">
        <f aca="false">IF(B216="","",IFERROR(INDEX(LOOKAHEAD!$I$5:$I$204,MATCH(B216,LOOKAHEAD!$A$5:$A$204,0)),""))</f>
        <v/>
      </c>
      <c r="E216" s="9"/>
      <c r="F216" s="9"/>
      <c r="G216" s="9"/>
      <c r="H216" s="14"/>
      <c r="I216" s="27" t="str">
        <f aca="false">IF(OR(D216="",D216=0),"",D216-$D$2)</f>
        <v/>
      </c>
      <c r="J216" s="14"/>
      <c r="K216" s="14"/>
      <c r="L216" s="16" t="str">
        <f aca="false">IF(B216="","",IF(K216&lt;&gt;"","Liberado","Pendiente"))</f>
        <v/>
      </c>
      <c r="M216" s="16" t="str">
        <f aca="true">IF(B216="","",IF(L216="Liberado",IF(OR(I216="",K216&lt;=I216),"A tiempo","Liberada tarde"),IF(J216="","Sin compromiso",IF(TODAY()&gt;J216,"VENCIDA",IF(AND(I216&lt;&gt;"",J216&gt;I216),"En riesgo","En gestión")))))</f>
        <v/>
      </c>
      <c r="N216" s="15" t="str">
        <f aca="false">IF(OR(B216="",I216=""),"",IF(K216&lt;&gt;"",I216-K216,IF(J216&lt;&gt;"",I216-J216,"")))</f>
        <v/>
      </c>
      <c r="O216" s="9"/>
    </row>
    <row r="217" customFormat="false" ht="15" hidden="false" customHeight="false" outlineLevel="0" collapsed="false">
      <c r="A217" s="9"/>
      <c r="B217" s="9"/>
      <c r="C217" s="18" t="str">
        <f aca="false">IF(B217="","",IFERROR(INDEX(LOOKAHEAD!$B$5:$B$204,MATCH(B217,LOOKAHEAD!$A$5:$A$204,0)),"ID no existe"))</f>
        <v/>
      </c>
      <c r="D217" s="27" t="str">
        <f aca="false">IF(B217="","",IFERROR(INDEX(LOOKAHEAD!$I$5:$I$204,MATCH(B217,LOOKAHEAD!$A$5:$A$204,0)),""))</f>
        <v/>
      </c>
      <c r="E217" s="9"/>
      <c r="F217" s="9"/>
      <c r="G217" s="9"/>
      <c r="H217" s="14"/>
      <c r="I217" s="27" t="str">
        <f aca="false">IF(OR(D217="",D217=0),"",D217-$D$2)</f>
        <v/>
      </c>
      <c r="J217" s="14"/>
      <c r="K217" s="14"/>
      <c r="L217" s="16" t="str">
        <f aca="false">IF(B217="","",IF(K217&lt;&gt;"","Liberado","Pendiente"))</f>
        <v/>
      </c>
      <c r="M217" s="16" t="str">
        <f aca="true">IF(B217="","",IF(L217="Liberado",IF(OR(I217="",K217&lt;=I217),"A tiempo","Liberada tarde"),IF(J217="","Sin compromiso",IF(TODAY()&gt;J217,"VENCIDA",IF(AND(I217&lt;&gt;"",J217&gt;I217),"En riesgo","En gestión")))))</f>
        <v/>
      </c>
      <c r="N217" s="15" t="str">
        <f aca="false">IF(OR(B217="",I217=""),"",IF(K217&lt;&gt;"",I217-K217,IF(J217&lt;&gt;"",I217-J217,"")))</f>
        <v/>
      </c>
      <c r="O217" s="9"/>
    </row>
    <row r="218" customFormat="false" ht="15" hidden="false" customHeight="false" outlineLevel="0" collapsed="false">
      <c r="A218" s="9"/>
      <c r="B218" s="9"/>
      <c r="C218" s="18" t="str">
        <f aca="false">IF(B218="","",IFERROR(INDEX(LOOKAHEAD!$B$5:$B$204,MATCH(B218,LOOKAHEAD!$A$5:$A$204,0)),"ID no existe"))</f>
        <v/>
      </c>
      <c r="D218" s="27" t="str">
        <f aca="false">IF(B218="","",IFERROR(INDEX(LOOKAHEAD!$I$5:$I$204,MATCH(B218,LOOKAHEAD!$A$5:$A$204,0)),""))</f>
        <v/>
      </c>
      <c r="E218" s="9"/>
      <c r="F218" s="9"/>
      <c r="G218" s="9"/>
      <c r="H218" s="14"/>
      <c r="I218" s="27" t="str">
        <f aca="false">IF(OR(D218="",D218=0),"",D218-$D$2)</f>
        <v/>
      </c>
      <c r="J218" s="14"/>
      <c r="K218" s="14"/>
      <c r="L218" s="16" t="str">
        <f aca="false">IF(B218="","",IF(K218&lt;&gt;"","Liberado","Pendiente"))</f>
        <v/>
      </c>
      <c r="M218" s="16" t="str">
        <f aca="true">IF(B218="","",IF(L218="Liberado",IF(OR(I218="",K218&lt;=I218),"A tiempo","Liberada tarde"),IF(J218="","Sin compromiso",IF(TODAY()&gt;J218,"VENCIDA",IF(AND(I218&lt;&gt;"",J218&gt;I218),"En riesgo","En gestión")))))</f>
        <v/>
      </c>
      <c r="N218" s="15" t="str">
        <f aca="false">IF(OR(B218="",I218=""),"",IF(K218&lt;&gt;"",I218-K218,IF(J218&lt;&gt;"",I218-J218,"")))</f>
        <v/>
      </c>
      <c r="O218" s="9"/>
    </row>
    <row r="219" customFormat="false" ht="15" hidden="false" customHeight="false" outlineLevel="0" collapsed="false">
      <c r="A219" s="9"/>
      <c r="B219" s="9"/>
      <c r="C219" s="18" t="str">
        <f aca="false">IF(B219="","",IFERROR(INDEX(LOOKAHEAD!$B$5:$B$204,MATCH(B219,LOOKAHEAD!$A$5:$A$204,0)),"ID no existe"))</f>
        <v/>
      </c>
      <c r="D219" s="27" t="str">
        <f aca="false">IF(B219="","",IFERROR(INDEX(LOOKAHEAD!$I$5:$I$204,MATCH(B219,LOOKAHEAD!$A$5:$A$204,0)),""))</f>
        <v/>
      </c>
      <c r="E219" s="9"/>
      <c r="F219" s="9"/>
      <c r="G219" s="9"/>
      <c r="H219" s="14"/>
      <c r="I219" s="27" t="str">
        <f aca="false">IF(OR(D219="",D219=0),"",D219-$D$2)</f>
        <v/>
      </c>
      <c r="J219" s="14"/>
      <c r="K219" s="14"/>
      <c r="L219" s="16" t="str">
        <f aca="false">IF(B219="","",IF(K219&lt;&gt;"","Liberado","Pendiente"))</f>
        <v/>
      </c>
      <c r="M219" s="16" t="str">
        <f aca="true">IF(B219="","",IF(L219="Liberado",IF(OR(I219="",K219&lt;=I219),"A tiempo","Liberada tarde"),IF(J219="","Sin compromiso",IF(TODAY()&gt;J219,"VENCIDA",IF(AND(I219&lt;&gt;"",J219&gt;I219),"En riesgo","En gestión")))))</f>
        <v/>
      </c>
      <c r="N219" s="15" t="str">
        <f aca="false">IF(OR(B219="",I219=""),"",IF(K219&lt;&gt;"",I219-K219,IF(J219&lt;&gt;"",I219-J219,"")))</f>
        <v/>
      </c>
      <c r="O219" s="9"/>
    </row>
    <row r="220" customFormat="false" ht="15" hidden="false" customHeight="false" outlineLevel="0" collapsed="false">
      <c r="A220" s="9"/>
      <c r="B220" s="9"/>
      <c r="C220" s="18" t="str">
        <f aca="false">IF(B220="","",IFERROR(INDEX(LOOKAHEAD!$B$5:$B$204,MATCH(B220,LOOKAHEAD!$A$5:$A$204,0)),"ID no existe"))</f>
        <v/>
      </c>
      <c r="D220" s="27" t="str">
        <f aca="false">IF(B220="","",IFERROR(INDEX(LOOKAHEAD!$I$5:$I$204,MATCH(B220,LOOKAHEAD!$A$5:$A$204,0)),""))</f>
        <v/>
      </c>
      <c r="E220" s="9"/>
      <c r="F220" s="9"/>
      <c r="G220" s="9"/>
      <c r="H220" s="14"/>
      <c r="I220" s="27" t="str">
        <f aca="false">IF(OR(D220="",D220=0),"",D220-$D$2)</f>
        <v/>
      </c>
      <c r="J220" s="14"/>
      <c r="K220" s="14"/>
      <c r="L220" s="16" t="str">
        <f aca="false">IF(B220="","",IF(K220&lt;&gt;"","Liberado","Pendiente"))</f>
        <v/>
      </c>
      <c r="M220" s="16" t="str">
        <f aca="true">IF(B220="","",IF(L220="Liberado",IF(OR(I220="",K220&lt;=I220),"A tiempo","Liberada tarde"),IF(J220="","Sin compromiso",IF(TODAY()&gt;J220,"VENCIDA",IF(AND(I220&lt;&gt;"",J220&gt;I220),"En riesgo","En gestión")))))</f>
        <v/>
      </c>
      <c r="N220" s="15" t="str">
        <f aca="false">IF(OR(B220="",I220=""),"",IF(K220&lt;&gt;"",I220-K220,IF(J220&lt;&gt;"",I220-J220,"")))</f>
        <v/>
      </c>
      <c r="O220" s="9"/>
    </row>
    <row r="221" customFormat="false" ht="15" hidden="false" customHeight="false" outlineLevel="0" collapsed="false">
      <c r="A221" s="9"/>
      <c r="B221" s="9"/>
      <c r="C221" s="18" t="str">
        <f aca="false">IF(B221="","",IFERROR(INDEX(LOOKAHEAD!$B$5:$B$204,MATCH(B221,LOOKAHEAD!$A$5:$A$204,0)),"ID no existe"))</f>
        <v/>
      </c>
      <c r="D221" s="27" t="str">
        <f aca="false">IF(B221="","",IFERROR(INDEX(LOOKAHEAD!$I$5:$I$204,MATCH(B221,LOOKAHEAD!$A$5:$A$204,0)),""))</f>
        <v/>
      </c>
      <c r="E221" s="9"/>
      <c r="F221" s="9"/>
      <c r="G221" s="9"/>
      <c r="H221" s="14"/>
      <c r="I221" s="27" t="str">
        <f aca="false">IF(OR(D221="",D221=0),"",D221-$D$2)</f>
        <v/>
      </c>
      <c r="J221" s="14"/>
      <c r="K221" s="14"/>
      <c r="L221" s="16" t="str">
        <f aca="false">IF(B221="","",IF(K221&lt;&gt;"","Liberado","Pendiente"))</f>
        <v/>
      </c>
      <c r="M221" s="16" t="str">
        <f aca="true">IF(B221="","",IF(L221="Liberado",IF(OR(I221="",K221&lt;=I221),"A tiempo","Liberada tarde"),IF(J221="","Sin compromiso",IF(TODAY()&gt;J221,"VENCIDA",IF(AND(I221&lt;&gt;"",J221&gt;I221),"En riesgo","En gestión")))))</f>
        <v/>
      </c>
      <c r="N221" s="15" t="str">
        <f aca="false">IF(OR(B221="",I221=""),"",IF(K221&lt;&gt;"",I221-K221,IF(J221&lt;&gt;"",I221-J221,"")))</f>
        <v/>
      </c>
      <c r="O221" s="9"/>
    </row>
    <row r="222" customFormat="false" ht="15" hidden="false" customHeight="false" outlineLevel="0" collapsed="false">
      <c r="A222" s="9"/>
      <c r="B222" s="9"/>
      <c r="C222" s="18" t="str">
        <f aca="false">IF(B222="","",IFERROR(INDEX(LOOKAHEAD!$B$5:$B$204,MATCH(B222,LOOKAHEAD!$A$5:$A$204,0)),"ID no existe"))</f>
        <v/>
      </c>
      <c r="D222" s="27" t="str">
        <f aca="false">IF(B222="","",IFERROR(INDEX(LOOKAHEAD!$I$5:$I$204,MATCH(B222,LOOKAHEAD!$A$5:$A$204,0)),""))</f>
        <v/>
      </c>
      <c r="E222" s="9"/>
      <c r="F222" s="9"/>
      <c r="G222" s="9"/>
      <c r="H222" s="14"/>
      <c r="I222" s="27" t="str">
        <f aca="false">IF(OR(D222="",D222=0),"",D222-$D$2)</f>
        <v/>
      </c>
      <c r="J222" s="14"/>
      <c r="K222" s="14"/>
      <c r="L222" s="16" t="str">
        <f aca="false">IF(B222="","",IF(K222&lt;&gt;"","Liberado","Pendiente"))</f>
        <v/>
      </c>
      <c r="M222" s="16" t="str">
        <f aca="true">IF(B222="","",IF(L222="Liberado",IF(OR(I222="",K222&lt;=I222),"A tiempo","Liberada tarde"),IF(J222="","Sin compromiso",IF(TODAY()&gt;J222,"VENCIDA",IF(AND(I222&lt;&gt;"",J222&gt;I222),"En riesgo","En gestión")))))</f>
        <v/>
      </c>
      <c r="N222" s="15" t="str">
        <f aca="false">IF(OR(B222="",I222=""),"",IF(K222&lt;&gt;"",I222-K222,IF(J222&lt;&gt;"",I222-J222,"")))</f>
        <v/>
      </c>
      <c r="O222" s="9"/>
    </row>
    <row r="223" customFormat="false" ht="15" hidden="false" customHeight="false" outlineLevel="0" collapsed="false">
      <c r="A223" s="9"/>
      <c r="B223" s="9"/>
      <c r="C223" s="18" t="str">
        <f aca="false">IF(B223="","",IFERROR(INDEX(LOOKAHEAD!$B$5:$B$204,MATCH(B223,LOOKAHEAD!$A$5:$A$204,0)),"ID no existe"))</f>
        <v/>
      </c>
      <c r="D223" s="27" t="str">
        <f aca="false">IF(B223="","",IFERROR(INDEX(LOOKAHEAD!$I$5:$I$204,MATCH(B223,LOOKAHEAD!$A$5:$A$204,0)),""))</f>
        <v/>
      </c>
      <c r="E223" s="9"/>
      <c r="F223" s="9"/>
      <c r="G223" s="9"/>
      <c r="H223" s="14"/>
      <c r="I223" s="27" t="str">
        <f aca="false">IF(OR(D223="",D223=0),"",D223-$D$2)</f>
        <v/>
      </c>
      <c r="J223" s="14"/>
      <c r="K223" s="14"/>
      <c r="L223" s="16" t="str">
        <f aca="false">IF(B223="","",IF(K223&lt;&gt;"","Liberado","Pendiente"))</f>
        <v/>
      </c>
      <c r="M223" s="16" t="str">
        <f aca="true">IF(B223="","",IF(L223="Liberado",IF(OR(I223="",K223&lt;=I223),"A tiempo","Liberada tarde"),IF(J223="","Sin compromiso",IF(TODAY()&gt;J223,"VENCIDA",IF(AND(I223&lt;&gt;"",J223&gt;I223),"En riesgo","En gestión")))))</f>
        <v/>
      </c>
      <c r="N223" s="15" t="str">
        <f aca="false">IF(OR(B223="",I223=""),"",IF(K223&lt;&gt;"",I223-K223,IF(J223&lt;&gt;"",I223-J223,"")))</f>
        <v/>
      </c>
      <c r="O223" s="9"/>
    </row>
    <row r="224" customFormat="false" ht="15" hidden="false" customHeight="false" outlineLevel="0" collapsed="false">
      <c r="A224" s="9"/>
      <c r="B224" s="9"/>
      <c r="C224" s="18" t="str">
        <f aca="false">IF(B224="","",IFERROR(INDEX(LOOKAHEAD!$B$5:$B$204,MATCH(B224,LOOKAHEAD!$A$5:$A$204,0)),"ID no existe"))</f>
        <v/>
      </c>
      <c r="D224" s="27" t="str">
        <f aca="false">IF(B224="","",IFERROR(INDEX(LOOKAHEAD!$I$5:$I$204,MATCH(B224,LOOKAHEAD!$A$5:$A$204,0)),""))</f>
        <v/>
      </c>
      <c r="E224" s="9"/>
      <c r="F224" s="9"/>
      <c r="G224" s="9"/>
      <c r="H224" s="14"/>
      <c r="I224" s="27" t="str">
        <f aca="false">IF(OR(D224="",D224=0),"",D224-$D$2)</f>
        <v/>
      </c>
      <c r="J224" s="14"/>
      <c r="K224" s="14"/>
      <c r="L224" s="16" t="str">
        <f aca="false">IF(B224="","",IF(K224&lt;&gt;"","Liberado","Pendiente"))</f>
        <v/>
      </c>
      <c r="M224" s="16" t="str">
        <f aca="true">IF(B224="","",IF(L224="Liberado",IF(OR(I224="",K224&lt;=I224),"A tiempo","Liberada tarde"),IF(J224="","Sin compromiso",IF(TODAY()&gt;J224,"VENCIDA",IF(AND(I224&lt;&gt;"",J224&gt;I224),"En riesgo","En gestión")))))</f>
        <v/>
      </c>
      <c r="N224" s="15" t="str">
        <f aca="false">IF(OR(B224="",I224=""),"",IF(K224&lt;&gt;"",I224-K224,IF(J224&lt;&gt;"",I224-J224,"")))</f>
        <v/>
      </c>
      <c r="O224" s="9"/>
    </row>
    <row r="225" customFormat="false" ht="15" hidden="false" customHeight="false" outlineLevel="0" collapsed="false">
      <c r="A225" s="9"/>
      <c r="B225" s="9"/>
      <c r="C225" s="18" t="str">
        <f aca="false">IF(B225="","",IFERROR(INDEX(LOOKAHEAD!$B$5:$B$204,MATCH(B225,LOOKAHEAD!$A$5:$A$204,0)),"ID no existe"))</f>
        <v/>
      </c>
      <c r="D225" s="27" t="str">
        <f aca="false">IF(B225="","",IFERROR(INDEX(LOOKAHEAD!$I$5:$I$204,MATCH(B225,LOOKAHEAD!$A$5:$A$204,0)),""))</f>
        <v/>
      </c>
      <c r="E225" s="9"/>
      <c r="F225" s="9"/>
      <c r="G225" s="9"/>
      <c r="H225" s="14"/>
      <c r="I225" s="27" t="str">
        <f aca="false">IF(OR(D225="",D225=0),"",D225-$D$2)</f>
        <v/>
      </c>
      <c r="J225" s="14"/>
      <c r="K225" s="14"/>
      <c r="L225" s="16" t="str">
        <f aca="false">IF(B225="","",IF(K225&lt;&gt;"","Liberado","Pendiente"))</f>
        <v/>
      </c>
      <c r="M225" s="16" t="str">
        <f aca="true">IF(B225="","",IF(L225="Liberado",IF(OR(I225="",K225&lt;=I225),"A tiempo","Liberada tarde"),IF(J225="","Sin compromiso",IF(TODAY()&gt;J225,"VENCIDA",IF(AND(I225&lt;&gt;"",J225&gt;I225),"En riesgo","En gestión")))))</f>
        <v/>
      </c>
      <c r="N225" s="15" t="str">
        <f aca="false">IF(OR(B225="",I225=""),"",IF(K225&lt;&gt;"",I225-K225,IF(J225&lt;&gt;"",I225-J225,"")))</f>
        <v/>
      </c>
      <c r="O225" s="9"/>
    </row>
    <row r="226" customFormat="false" ht="15" hidden="false" customHeight="false" outlineLevel="0" collapsed="false">
      <c r="A226" s="9"/>
      <c r="B226" s="9"/>
      <c r="C226" s="18" t="str">
        <f aca="false">IF(B226="","",IFERROR(INDEX(LOOKAHEAD!$B$5:$B$204,MATCH(B226,LOOKAHEAD!$A$5:$A$204,0)),"ID no existe"))</f>
        <v/>
      </c>
      <c r="D226" s="27" t="str">
        <f aca="false">IF(B226="","",IFERROR(INDEX(LOOKAHEAD!$I$5:$I$204,MATCH(B226,LOOKAHEAD!$A$5:$A$204,0)),""))</f>
        <v/>
      </c>
      <c r="E226" s="9"/>
      <c r="F226" s="9"/>
      <c r="G226" s="9"/>
      <c r="H226" s="14"/>
      <c r="I226" s="27" t="str">
        <f aca="false">IF(OR(D226="",D226=0),"",D226-$D$2)</f>
        <v/>
      </c>
      <c r="J226" s="14"/>
      <c r="K226" s="14"/>
      <c r="L226" s="16" t="str">
        <f aca="false">IF(B226="","",IF(K226&lt;&gt;"","Liberado","Pendiente"))</f>
        <v/>
      </c>
      <c r="M226" s="16" t="str">
        <f aca="true">IF(B226="","",IF(L226="Liberado",IF(OR(I226="",K226&lt;=I226),"A tiempo","Liberada tarde"),IF(J226="","Sin compromiso",IF(TODAY()&gt;J226,"VENCIDA",IF(AND(I226&lt;&gt;"",J226&gt;I226),"En riesgo","En gestión")))))</f>
        <v/>
      </c>
      <c r="N226" s="15" t="str">
        <f aca="false">IF(OR(B226="",I226=""),"",IF(K226&lt;&gt;"",I226-K226,IF(J226&lt;&gt;"",I226-J226,"")))</f>
        <v/>
      </c>
      <c r="O226" s="9"/>
    </row>
    <row r="227" customFormat="false" ht="15" hidden="false" customHeight="false" outlineLevel="0" collapsed="false">
      <c r="A227" s="9"/>
      <c r="B227" s="9"/>
      <c r="C227" s="18" t="str">
        <f aca="false">IF(B227="","",IFERROR(INDEX(LOOKAHEAD!$B$5:$B$204,MATCH(B227,LOOKAHEAD!$A$5:$A$204,0)),"ID no existe"))</f>
        <v/>
      </c>
      <c r="D227" s="27" t="str">
        <f aca="false">IF(B227="","",IFERROR(INDEX(LOOKAHEAD!$I$5:$I$204,MATCH(B227,LOOKAHEAD!$A$5:$A$204,0)),""))</f>
        <v/>
      </c>
      <c r="E227" s="9"/>
      <c r="F227" s="9"/>
      <c r="G227" s="9"/>
      <c r="H227" s="14"/>
      <c r="I227" s="27" t="str">
        <f aca="false">IF(OR(D227="",D227=0),"",D227-$D$2)</f>
        <v/>
      </c>
      <c r="J227" s="14"/>
      <c r="K227" s="14"/>
      <c r="L227" s="16" t="str">
        <f aca="false">IF(B227="","",IF(K227&lt;&gt;"","Liberado","Pendiente"))</f>
        <v/>
      </c>
      <c r="M227" s="16" t="str">
        <f aca="true">IF(B227="","",IF(L227="Liberado",IF(OR(I227="",K227&lt;=I227),"A tiempo","Liberada tarde"),IF(J227="","Sin compromiso",IF(TODAY()&gt;J227,"VENCIDA",IF(AND(I227&lt;&gt;"",J227&gt;I227),"En riesgo","En gestión")))))</f>
        <v/>
      </c>
      <c r="N227" s="15" t="str">
        <f aca="false">IF(OR(B227="",I227=""),"",IF(K227&lt;&gt;"",I227-K227,IF(J227&lt;&gt;"",I227-J227,"")))</f>
        <v/>
      </c>
      <c r="O227" s="9"/>
    </row>
    <row r="228" customFormat="false" ht="15" hidden="false" customHeight="false" outlineLevel="0" collapsed="false">
      <c r="A228" s="9"/>
      <c r="B228" s="9"/>
      <c r="C228" s="18" t="str">
        <f aca="false">IF(B228="","",IFERROR(INDEX(LOOKAHEAD!$B$5:$B$204,MATCH(B228,LOOKAHEAD!$A$5:$A$204,0)),"ID no existe"))</f>
        <v/>
      </c>
      <c r="D228" s="27" t="str">
        <f aca="false">IF(B228="","",IFERROR(INDEX(LOOKAHEAD!$I$5:$I$204,MATCH(B228,LOOKAHEAD!$A$5:$A$204,0)),""))</f>
        <v/>
      </c>
      <c r="E228" s="9"/>
      <c r="F228" s="9"/>
      <c r="G228" s="9"/>
      <c r="H228" s="14"/>
      <c r="I228" s="27" t="str">
        <f aca="false">IF(OR(D228="",D228=0),"",D228-$D$2)</f>
        <v/>
      </c>
      <c r="J228" s="14"/>
      <c r="K228" s="14"/>
      <c r="L228" s="16" t="str">
        <f aca="false">IF(B228="","",IF(K228&lt;&gt;"","Liberado","Pendiente"))</f>
        <v/>
      </c>
      <c r="M228" s="16" t="str">
        <f aca="true">IF(B228="","",IF(L228="Liberado",IF(OR(I228="",K228&lt;=I228),"A tiempo","Liberada tarde"),IF(J228="","Sin compromiso",IF(TODAY()&gt;J228,"VENCIDA",IF(AND(I228&lt;&gt;"",J228&gt;I228),"En riesgo","En gestión")))))</f>
        <v/>
      </c>
      <c r="N228" s="15" t="str">
        <f aca="false">IF(OR(B228="",I228=""),"",IF(K228&lt;&gt;"",I228-K228,IF(J228&lt;&gt;"",I228-J228,"")))</f>
        <v/>
      </c>
      <c r="O228" s="9"/>
    </row>
    <row r="229" customFormat="false" ht="15" hidden="false" customHeight="false" outlineLevel="0" collapsed="false">
      <c r="A229" s="9"/>
      <c r="B229" s="9"/>
      <c r="C229" s="18" t="str">
        <f aca="false">IF(B229="","",IFERROR(INDEX(LOOKAHEAD!$B$5:$B$204,MATCH(B229,LOOKAHEAD!$A$5:$A$204,0)),"ID no existe"))</f>
        <v/>
      </c>
      <c r="D229" s="27" t="str">
        <f aca="false">IF(B229="","",IFERROR(INDEX(LOOKAHEAD!$I$5:$I$204,MATCH(B229,LOOKAHEAD!$A$5:$A$204,0)),""))</f>
        <v/>
      </c>
      <c r="E229" s="9"/>
      <c r="F229" s="9"/>
      <c r="G229" s="9"/>
      <c r="H229" s="14"/>
      <c r="I229" s="27" t="str">
        <f aca="false">IF(OR(D229="",D229=0),"",D229-$D$2)</f>
        <v/>
      </c>
      <c r="J229" s="14"/>
      <c r="K229" s="14"/>
      <c r="L229" s="16" t="str">
        <f aca="false">IF(B229="","",IF(K229&lt;&gt;"","Liberado","Pendiente"))</f>
        <v/>
      </c>
      <c r="M229" s="16" t="str">
        <f aca="true">IF(B229="","",IF(L229="Liberado",IF(OR(I229="",K229&lt;=I229),"A tiempo","Liberada tarde"),IF(J229="","Sin compromiso",IF(TODAY()&gt;J229,"VENCIDA",IF(AND(I229&lt;&gt;"",J229&gt;I229),"En riesgo","En gestión")))))</f>
        <v/>
      </c>
      <c r="N229" s="15" t="str">
        <f aca="false">IF(OR(B229="",I229=""),"",IF(K229&lt;&gt;"",I229-K229,IF(J229&lt;&gt;"",I229-J229,"")))</f>
        <v/>
      </c>
      <c r="O229" s="9"/>
    </row>
    <row r="230" customFormat="false" ht="15" hidden="false" customHeight="false" outlineLevel="0" collapsed="false">
      <c r="A230" s="9"/>
      <c r="B230" s="9"/>
      <c r="C230" s="18" t="str">
        <f aca="false">IF(B230="","",IFERROR(INDEX(LOOKAHEAD!$B$5:$B$204,MATCH(B230,LOOKAHEAD!$A$5:$A$204,0)),"ID no existe"))</f>
        <v/>
      </c>
      <c r="D230" s="27" t="str">
        <f aca="false">IF(B230="","",IFERROR(INDEX(LOOKAHEAD!$I$5:$I$204,MATCH(B230,LOOKAHEAD!$A$5:$A$204,0)),""))</f>
        <v/>
      </c>
      <c r="E230" s="9"/>
      <c r="F230" s="9"/>
      <c r="G230" s="9"/>
      <c r="H230" s="14"/>
      <c r="I230" s="27" t="str">
        <f aca="false">IF(OR(D230="",D230=0),"",D230-$D$2)</f>
        <v/>
      </c>
      <c r="J230" s="14"/>
      <c r="K230" s="14"/>
      <c r="L230" s="16" t="str">
        <f aca="false">IF(B230="","",IF(K230&lt;&gt;"","Liberado","Pendiente"))</f>
        <v/>
      </c>
      <c r="M230" s="16" t="str">
        <f aca="true">IF(B230="","",IF(L230="Liberado",IF(OR(I230="",K230&lt;=I230),"A tiempo","Liberada tarde"),IF(J230="","Sin compromiso",IF(TODAY()&gt;J230,"VENCIDA",IF(AND(I230&lt;&gt;"",J230&gt;I230),"En riesgo","En gestión")))))</f>
        <v/>
      </c>
      <c r="N230" s="15" t="str">
        <f aca="false">IF(OR(B230="",I230=""),"",IF(K230&lt;&gt;"",I230-K230,IF(J230&lt;&gt;"",I230-J230,"")))</f>
        <v/>
      </c>
      <c r="O230" s="9"/>
    </row>
    <row r="231" customFormat="false" ht="15" hidden="false" customHeight="false" outlineLevel="0" collapsed="false">
      <c r="A231" s="9"/>
      <c r="B231" s="9"/>
      <c r="C231" s="18" t="str">
        <f aca="false">IF(B231="","",IFERROR(INDEX(LOOKAHEAD!$B$5:$B$204,MATCH(B231,LOOKAHEAD!$A$5:$A$204,0)),"ID no existe"))</f>
        <v/>
      </c>
      <c r="D231" s="27" t="str">
        <f aca="false">IF(B231="","",IFERROR(INDEX(LOOKAHEAD!$I$5:$I$204,MATCH(B231,LOOKAHEAD!$A$5:$A$204,0)),""))</f>
        <v/>
      </c>
      <c r="E231" s="9"/>
      <c r="F231" s="9"/>
      <c r="G231" s="9"/>
      <c r="H231" s="14"/>
      <c r="I231" s="27" t="str">
        <f aca="false">IF(OR(D231="",D231=0),"",D231-$D$2)</f>
        <v/>
      </c>
      <c r="J231" s="14"/>
      <c r="K231" s="14"/>
      <c r="L231" s="16" t="str">
        <f aca="false">IF(B231="","",IF(K231&lt;&gt;"","Liberado","Pendiente"))</f>
        <v/>
      </c>
      <c r="M231" s="16" t="str">
        <f aca="true">IF(B231="","",IF(L231="Liberado",IF(OR(I231="",K231&lt;=I231),"A tiempo","Liberada tarde"),IF(J231="","Sin compromiso",IF(TODAY()&gt;J231,"VENCIDA",IF(AND(I231&lt;&gt;"",J231&gt;I231),"En riesgo","En gestión")))))</f>
        <v/>
      </c>
      <c r="N231" s="15" t="str">
        <f aca="false">IF(OR(B231="",I231=""),"",IF(K231&lt;&gt;"",I231-K231,IF(J231&lt;&gt;"",I231-J231,"")))</f>
        <v/>
      </c>
      <c r="O231" s="9"/>
    </row>
    <row r="232" customFormat="false" ht="15" hidden="false" customHeight="false" outlineLevel="0" collapsed="false">
      <c r="A232" s="9"/>
      <c r="B232" s="9"/>
      <c r="C232" s="18" t="str">
        <f aca="false">IF(B232="","",IFERROR(INDEX(LOOKAHEAD!$B$5:$B$204,MATCH(B232,LOOKAHEAD!$A$5:$A$204,0)),"ID no existe"))</f>
        <v/>
      </c>
      <c r="D232" s="27" t="str">
        <f aca="false">IF(B232="","",IFERROR(INDEX(LOOKAHEAD!$I$5:$I$204,MATCH(B232,LOOKAHEAD!$A$5:$A$204,0)),""))</f>
        <v/>
      </c>
      <c r="E232" s="9"/>
      <c r="F232" s="9"/>
      <c r="G232" s="9"/>
      <c r="H232" s="14"/>
      <c r="I232" s="27" t="str">
        <f aca="false">IF(OR(D232="",D232=0),"",D232-$D$2)</f>
        <v/>
      </c>
      <c r="J232" s="14"/>
      <c r="K232" s="14"/>
      <c r="L232" s="16" t="str">
        <f aca="false">IF(B232="","",IF(K232&lt;&gt;"","Liberado","Pendiente"))</f>
        <v/>
      </c>
      <c r="M232" s="16" t="str">
        <f aca="true">IF(B232="","",IF(L232="Liberado",IF(OR(I232="",K232&lt;=I232),"A tiempo","Liberada tarde"),IF(J232="","Sin compromiso",IF(TODAY()&gt;J232,"VENCIDA",IF(AND(I232&lt;&gt;"",J232&gt;I232),"En riesgo","En gestión")))))</f>
        <v/>
      </c>
      <c r="N232" s="15" t="str">
        <f aca="false">IF(OR(B232="",I232=""),"",IF(K232&lt;&gt;"",I232-K232,IF(J232&lt;&gt;"",I232-J232,"")))</f>
        <v/>
      </c>
      <c r="O232" s="9"/>
    </row>
    <row r="233" customFormat="false" ht="15" hidden="false" customHeight="false" outlineLevel="0" collapsed="false">
      <c r="A233" s="9"/>
      <c r="B233" s="9"/>
      <c r="C233" s="18" t="str">
        <f aca="false">IF(B233="","",IFERROR(INDEX(LOOKAHEAD!$B$5:$B$204,MATCH(B233,LOOKAHEAD!$A$5:$A$204,0)),"ID no existe"))</f>
        <v/>
      </c>
      <c r="D233" s="27" t="str">
        <f aca="false">IF(B233="","",IFERROR(INDEX(LOOKAHEAD!$I$5:$I$204,MATCH(B233,LOOKAHEAD!$A$5:$A$204,0)),""))</f>
        <v/>
      </c>
      <c r="E233" s="9"/>
      <c r="F233" s="9"/>
      <c r="G233" s="9"/>
      <c r="H233" s="14"/>
      <c r="I233" s="27" t="str">
        <f aca="false">IF(OR(D233="",D233=0),"",D233-$D$2)</f>
        <v/>
      </c>
      <c r="J233" s="14"/>
      <c r="K233" s="14"/>
      <c r="L233" s="16" t="str">
        <f aca="false">IF(B233="","",IF(K233&lt;&gt;"","Liberado","Pendiente"))</f>
        <v/>
      </c>
      <c r="M233" s="16" t="str">
        <f aca="true">IF(B233="","",IF(L233="Liberado",IF(OR(I233="",K233&lt;=I233),"A tiempo","Liberada tarde"),IF(J233="","Sin compromiso",IF(TODAY()&gt;J233,"VENCIDA",IF(AND(I233&lt;&gt;"",J233&gt;I233),"En riesgo","En gestión")))))</f>
        <v/>
      </c>
      <c r="N233" s="15" t="str">
        <f aca="false">IF(OR(B233="",I233=""),"",IF(K233&lt;&gt;"",I233-K233,IF(J233&lt;&gt;"",I233-J233,"")))</f>
        <v/>
      </c>
      <c r="O233" s="9"/>
    </row>
    <row r="234" customFormat="false" ht="15" hidden="false" customHeight="false" outlineLevel="0" collapsed="false">
      <c r="A234" s="9"/>
      <c r="B234" s="9"/>
      <c r="C234" s="18" t="str">
        <f aca="false">IF(B234="","",IFERROR(INDEX(LOOKAHEAD!$B$5:$B$204,MATCH(B234,LOOKAHEAD!$A$5:$A$204,0)),"ID no existe"))</f>
        <v/>
      </c>
      <c r="D234" s="27" t="str">
        <f aca="false">IF(B234="","",IFERROR(INDEX(LOOKAHEAD!$I$5:$I$204,MATCH(B234,LOOKAHEAD!$A$5:$A$204,0)),""))</f>
        <v/>
      </c>
      <c r="E234" s="9"/>
      <c r="F234" s="9"/>
      <c r="G234" s="9"/>
      <c r="H234" s="14"/>
      <c r="I234" s="27" t="str">
        <f aca="false">IF(OR(D234="",D234=0),"",D234-$D$2)</f>
        <v/>
      </c>
      <c r="J234" s="14"/>
      <c r="K234" s="14"/>
      <c r="L234" s="16" t="str">
        <f aca="false">IF(B234="","",IF(K234&lt;&gt;"","Liberado","Pendiente"))</f>
        <v/>
      </c>
      <c r="M234" s="16" t="str">
        <f aca="true">IF(B234="","",IF(L234="Liberado",IF(OR(I234="",K234&lt;=I234),"A tiempo","Liberada tarde"),IF(J234="","Sin compromiso",IF(TODAY()&gt;J234,"VENCIDA",IF(AND(I234&lt;&gt;"",J234&gt;I234),"En riesgo","En gestión")))))</f>
        <v/>
      </c>
      <c r="N234" s="15" t="str">
        <f aca="false">IF(OR(B234="",I234=""),"",IF(K234&lt;&gt;"",I234-K234,IF(J234&lt;&gt;"",I234-J234,"")))</f>
        <v/>
      </c>
      <c r="O234" s="9"/>
    </row>
    <row r="235" customFormat="false" ht="15" hidden="false" customHeight="false" outlineLevel="0" collapsed="false">
      <c r="A235" s="9"/>
      <c r="B235" s="9"/>
      <c r="C235" s="18" t="str">
        <f aca="false">IF(B235="","",IFERROR(INDEX(LOOKAHEAD!$B$5:$B$204,MATCH(B235,LOOKAHEAD!$A$5:$A$204,0)),"ID no existe"))</f>
        <v/>
      </c>
      <c r="D235" s="27" t="str">
        <f aca="false">IF(B235="","",IFERROR(INDEX(LOOKAHEAD!$I$5:$I$204,MATCH(B235,LOOKAHEAD!$A$5:$A$204,0)),""))</f>
        <v/>
      </c>
      <c r="E235" s="9"/>
      <c r="F235" s="9"/>
      <c r="G235" s="9"/>
      <c r="H235" s="14"/>
      <c r="I235" s="27" t="str">
        <f aca="false">IF(OR(D235="",D235=0),"",D235-$D$2)</f>
        <v/>
      </c>
      <c r="J235" s="14"/>
      <c r="K235" s="14"/>
      <c r="L235" s="16" t="str">
        <f aca="false">IF(B235="","",IF(K235&lt;&gt;"","Liberado","Pendiente"))</f>
        <v/>
      </c>
      <c r="M235" s="16" t="str">
        <f aca="true">IF(B235="","",IF(L235="Liberado",IF(OR(I235="",K235&lt;=I235),"A tiempo","Liberada tarde"),IF(J235="","Sin compromiso",IF(TODAY()&gt;J235,"VENCIDA",IF(AND(I235&lt;&gt;"",J235&gt;I235),"En riesgo","En gestión")))))</f>
        <v/>
      </c>
      <c r="N235" s="15" t="str">
        <f aca="false">IF(OR(B235="",I235=""),"",IF(K235&lt;&gt;"",I235-K235,IF(J235&lt;&gt;"",I235-J235,"")))</f>
        <v/>
      </c>
      <c r="O235" s="9"/>
    </row>
    <row r="236" customFormat="false" ht="15" hidden="false" customHeight="false" outlineLevel="0" collapsed="false">
      <c r="A236" s="9"/>
      <c r="B236" s="9"/>
      <c r="C236" s="18" t="str">
        <f aca="false">IF(B236="","",IFERROR(INDEX(LOOKAHEAD!$B$5:$B$204,MATCH(B236,LOOKAHEAD!$A$5:$A$204,0)),"ID no existe"))</f>
        <v/>
      </c>
      <c r="D236" s="27" t="str">
        <f aca="false">IF(B236="","",IFERROR(INDEX(LOOKAHEAD!$I$5:$I$204,MATCH(B236,LOOKAHEAD!$A$5:$A$204,0)),""))</f>
        <v/>
      </c>
      <c r="E236" s="9"/>
      <c r="F236" s="9"/>
      <c r="G236" s="9"/>
      <c r="H236" s="14"/>
      <c r="I236" s="27" t="str">
        <f aca="false">IF(OR(D236="",D236=0),"",D236-$D$2)</f>
        <v/>
      </c>
      <c r="J236" s="14"/>
      <c r="K236" s="14"/>
      <c r="L236" s="16" t="str">
        <f aca="false">IF(B236="","",IF(K236&lt;&gt;"","Liberado","Pendiente"))</f>
        <v/>
      </c>
      <c r="M236" s="16" t="str">
        <f aca="true">IF(B236="","",IF(L236="Liberado",IF(OR(I236="",K236&lt;=I236),"A tiempo","Liberada tarde"),IF(J236="","Sin compromiso",IF(TODAY()&gt;J236,"VENCIDA",IF(AND(I236&lt;&gt;"",J236&gt;I236),"En riesgo","En gestión")))))</f>
        <v/>
      </c>
      <c r="N236" s="15" t="str">
        <f aca="false">IF(OR(B236="",I236=""),"",IF(K236&lt;&gt;"",I236-K236,IF(J236&lt;&gt;"",I236-J236,"")))</f>
        <v/>
      </c>
      <c r="O236" s="9"/>
    </row>
    <row r="237" customFormat="false" ht="15" hidden="false" customHeight="false" outlineLevel="0" collapsed="false">
      <c r="A237" s="9"/>
      <c r="B237" s="9"/>
      <c r="C237" s="18" t="str">
        <f aca="false">IF(B237="","",IFERROR(INDEX(LOOKAHEAD!$B$5:$B$204,MATCH(B237,LOOKAHEAD!$A$5:$A$204,0)),"ID no existe"))</f>
        <v/>
      </c>
      <c r="D237" s="27" t="str">
        <f aca="false">IF(B237="","",IFERROR(INDEX(LOOKAHEAD!$I$5:$I$204,MATCH(B237,LOOKAHEAD!$A$5:$A$204,0)),""))</f>
        <v/>
      </c>
      <c r="E237" s="9"/>
      <c r="F237" s="9"/>
      <c r="G237" s="9"/>
      <c r="H237" s="14"/>
      <c r="I237" s="27" t="str">
        <f aca="false">IF(OR(D237="",D237=0),"",D237-$D$2)</f>
        <v/>
      </c>
      <c r="J237" s="14"/>
      <c r="K237" s="14"/>
      <c r="L237" s="16" t="str">
        <f aca="false">IF(B237="","",IF(K237&lt;&gt;"","Liberado","Pendiente"))</f>
        <v/>
      </c>
      <c r="M237" s="16" t="str">
        <f aca="true">IF(B237="","",IF(L237="Liberado",IF(OR(I237="",K237&lt;=I237),"A tiempo","Liberada tarde"),IF(J237="","Sin compromiso",IF(TODAY()&gt;J237,"VENCIDA",IF(AND(I237&lt;&gt;"",J237&gt;I237),"En riesgo","En gestión")))))</f>
        <v/>
      </c>
      <c r="N237" s="15" t="str">
        <f aca="false">IF(OR(B237="",I237=""),"",IF(K237&lt;&gt;"",I237-K237,IF(J237&lt;&gt;"",I237-J237,"")))</f>
        <v/>
      </c>
      <c r="O237" s="9"/>
    </row>
    <row r="238" customFormat="false" ht="15" hidden="false" customHeight="false" outlineLevel="0" collapsed="false">
      <c r="A238" s="9"/>
      <c r="B238" s="9"/>
      <c r="C238" s="18" t="str">
        <f aca="false">IF(B238="","",IFERROR(INDEX(LOOKAHEAD!$B$5:$B$204,MATCH(B238,LOOKAHEAD!$A$5:$A$204,0)),"ID no existe"))</f>
        <v/>
      </c>
      <c r="D238" s="27" t="str">
        <f aca="false">IF(B238="","",IFERROR(INDEX(LOOKAHEAD!$I$5:$I$204,MATCH(B238,LOOKAHEAD!$A$5:$A$204,0)),""))</f>
        <v/>
      </c>
      <c r="E238" s="9"/>
      <c r="F238" s="9"/>
      <c r="G238" s="9"/>
      <c r="H238" s="14"/>
      <c r="I238" s="27" t="str">
        <f aca="false">IF(OR(D238="",D238=0),"",D238-$D$2)</f>
        <v/>
      </c>
      <c r="J238" s="14"/>
      <c r="K238" s="14"/>
      <c r="L238" s="16" t="str">
        <f aca="false">IF(B238="","",IF(K238&lt;&gt;"","Liberado","Pendiente"))</f>
        <v/>
      </c>
      <c r="M238" s="16" t="str">
        <f aca="true">IF(B238="","",IF(L238="Liberado",IF(OR(I238="",K238&lt;=I238),"A tiempo","Liberada tarde"),IF(J238="","Sin compromiso",IF(TODAY()&gt;J238,"VENCIDA",IF(AND(I238&lt;&gt;"",J238&gt;I238),"En riesgo","En gestión")))))</f>
        <v/>
      </c>
      <c r="N238" s="15" t="str">
        <f aca="false">IF(OR(B238="",I238=""),"",IF(K238&lt;&gt;"",I238-K238,IF(J238&lt;&gt;"",I238-J238,"")))</f>
        <v/>
      </c>
      <c r="O238" s="9"/>
    </row>
    <row r="239" customFormat="false" ht="15" hidden="false" customHeight="false" outlineLevel="0" collapsed="false">
      <c r="A239" s="9"/>
      <c r="B239" s="9"/>
      <c r="C239" s="18" t="str">
        <f aca="false">IF(B239="","",IFERROR(INDEX(LOOKAHEAD!$B$5:$B$204,MATCH(B239,LOOKAHEAD!$A$5:$A$204,0)),"ID no existe"))</f>
        <v/>
      </c>
      <c r="D239" s="27" t="str">
        <f aca="false">IF(B239="","",IFERROR(INDEX(LOOKAHEAD!$I$5:$I$204,MATCH(B239,LOOKAHEAD!$A$5:$A$204,0)),""))</f>
        <v/>
      </c>
      <c r="E239" s="9"/>
      <c r="F239" s="9"/>
      <c r="G239" s="9"/>
      <c r="H239" s="14"/>
      <c r="I239" s="27" t="str">
        <f aca="false">IF(OR(D239="",D239=0),"",D239-$D$2)</f>
        <v/>
      </c>
      <c r="J239" s="14"/>
      <c r="K239" s="14"/>
      <c r="L239" s="16" t="str">
        <f aca="false">IF(B239="","",IF(K239&lt;&gt;"","Liberado","Pendiente"))</f>
        <v/>
      </c>
      <c r="M239" s="16" t="str">
        <f aca="true">IF(B239="","",IF(L239="Liberado",IF(OR(I239="",K239&lt;=I239),"A tiempo","Liberada tarde"),IF(J239="","Sin compromiso",IF(TODAY()&gt;J239,"VENCIDA",IF(AND(I239&lt;&gt;"",J239&gt;I239),"En riesgo","En gestión")))))</f>
        <v/>
      </c>
      <c r="N239" s="15" t="str">
        <f aca="false">IF(OR(B239="",I239=""),"",IF(K239&lt;&gt;"",I239-K239,IF(J239&lt;&gt;"",I239-J239,"")))</f>
        <v/>
      </c>
      <c r="O239" s="9"/>
    </row>
    <row r="240" customFormat="false" ht="15" hidden="false" customHeight="false" outlineLevel="0" collapsed="false">
      <c r="A240" s="9"/>
      <c r="B240" s="9"/>
      <c r="C240" s="18" t="str">
        <f aca="false">IF(B240="","",IFERROR(INDEX(LOOKAHEAD!$B$5:$B$204,MATCH(B240,LOOKAHEAD!$A$5:$A$204,0)),"ID no existe"))</f>
        <v/>
      </c>
      <c r="D240" s="27" t="str">
        <f aca="false">IF(B240="","",IFERROR(INDEX(LOOKAHEAD!$I$5:$I$204,MATCH(B240,LOOKAHEAD!$A$5:$A$204,0)),""))</f>
        <v/>
      </c>
      <c r="E240" s="9"/>
      <c r="F240" s="9"/>
      <c r="G240" s="9"/>
      <c r="H240" s="14"/>
      <c r="I240" s="27" t="str">
        <f aca="false">IF(OR(D240="",D240=0),"",D240-$D$2)</f>
        <v/>
      </c>
      <c r="J240" s="14"/>
      <c r="K240" s="14"/>
      <c r="L240" s="16" t="str">
        <f aca="false">IF(B240="","",IF(K240&lt;&gt;"","Liberado","Pendiente"))</f>
        <v/>
      </c>
      <c r="M240" s="16" t="str">
        <f aca="true">IF(B240="","",IF(L240="Liberado",IF(OR(I240="",K240&lt;=I240),"A tiempo","Liberada tarde"),IF(J240="","Sin compromiso",IF(TODAY()&gt;J240,"VENCIDA",IF(AND(I240&lt;&gt;"",J240&gt;I240),"En riesgo","En gestión")))))</f>
        <v/>
      </c>
      <c r="N240" s="15" t="str">
        <f aca="false">IF(OR(B240="",I240=""),"",IF(K240&lt;&gt;"",I240-K240,IF(J240&lt;&gt;"",I240-J240,"")))</f>
        <v/>
      </c>
      <c r="O240" s="9"/>
    </row>
    <row r="241" customFormat="false" ht="15" hidden="false" customHeight="false" outlineLevel="0" collapsed="false">
      <c r="A241" s="9"/>
      <c r="B241" s="9"/>
      <c r="C241" s="18" t="str">
        <f aca="false">IF(B241="","",IFERROR(INDEX(LOOKAHEAD!$B$5:$B$204,MATCH(B241,LOOKAHEAD!$A$5:$A$204,0)),"ID no existe"))</f>
        <v/>
      </c>
      <c r="D241" s="27" t="str">
        <f aca="false">IF(B241="","",IFERROR(INDEX(LOOKAHEAD!$I$5:$I$204,MATCH(B241,LOOKAHEAD!$A$5:$A$204,0)),""))</f>
        <v/>
      </c>
      <c r="E241" s="9"/>
      <c r="F241" s="9"/>
      <c r="G241" s="9"/>
      <c r="H241" s="14"/>
      <c r="I241" s="27" t="str">
        <f aca="false">IF(OR(D241="",D241=0),"",D241-$D$2)</f>
        <v/>
      </c>
      <c r="J241" s="14"/>
      <c r="K241" s="14"/>
      <c r="L241" s="16" t="str">
        <f aca="false">IF(B241="","",IF(K241&lt;&gt;"","Liberado","Pendiente"))</f>
        <v/>
      </c>
      <c r="M241" s="16" t="str">
        <f aca="true">IF(B241="","",IF(L241="Liberado",IF(OR(I241="",K241&lt;=I241),"A tiempo","Liberada tarde"),IF(J241="","Sin compromiso",IF(TODAY()&gt;J241,"VENCIDA",IF(AND(I241&lt;&gt;"",J241&gt;I241),"En riesgo","En gestión")))))</f>
        <v/>
      </c>
      <c r="N241" s="15" t="str">
        <f aca="false">IF(OR(B241="",I241=""),"",IF(K241&lt;&gt;"",I241-K241,IF(J241&lt;&gt;"",I241-J241,"")))</f>
        <v/>
      </c>
      <c r="O241" s="9"/>
    </row>
    <row r="242" customFormat="false" ht="15" hidden="false" customHeight="false" outlineLevel="0" collapsed="false">
      <c r="A242" s="9"/>
      <c r="B242" s="9"/>
      <c r="C242" s="18" t="str">
        <f aca="false">IF(B242="","",IFERROR(INDEX(LOOKAHEAD!$B$5:$B$204,MATCH(B242,LOOKAHEAD!$A$5:$A$204,0)),"ID no existe"))</f>
        <v/>
      </c>
      <c r="D242" s="27" t="str">
        <f aca="false">IF(B242="","",IFERROR(INDEX(LOOKAHEAD!$I$5:$I$204,MATCH(B242,LOOKAHEAD!$A$5:$A$204,0)),""))</f>
        <v/>
      </c>
      <c r="E242" s="9"/>
      <c r="F242" s="9"/>
      <c r="G242" s="9"/>
      <c r="H242" s="14"/>
      <c r="I242" s="27" t="str">
        <f aca="false">IF(OR(D242="",D242=0),"",D242-$D$2)</f>
        <v/>
      </c>
      <c r="J242" s="14"/>
      <c r="K242" s="14"/>
      <c r="L242" s="16" t="str">
        <f aca="false">IF(B242="","",IF(K242&lt;&gt;"","Liberado","Pendiente"))</f>
        <v/>
      </c>
      <c r="M242" s="16" t="str">
        <f aca="true">IF(B242="","",IF(L242="Liberado",IF(OR(I242="",K242&lt;=I242),"A tiempo","Liberada tarde"),IF(J242="","Sin compromiso",IF(TODAY()&gt;J242,"VENCIDA",IF(AND(I242&lt;&gt;"",J242&gt;I242),"En riesgo","En gestión")))))</f>
        <v/>
      </c>
      <c r="N242" s="15" t="str">
        <f aca="false">IF(OR(B242="",I242=""),"",IF(K242&lt;&gt;"",I242-K242,IF(J242&lt;&gt;"",I242-J242,"")))</f>
        <v/>
      </c>
      <c r="O242" s="9"/>
    </row>
    <row r="243" customFormat="false" ht="15" hidden="false" customHeight="false" outlineLevel="0" collapsed="false">
      <c r="A243" s="9"/>
      <c r="B243" s="9"/>
      <c r="C243" s="18" t="str">
        <f aca="false">IF(B243="","",IFERROR(INDEX(LOOKAHEAD!$B$5:$B$204,MATCH(B243,LOOKAHEAD!$A$5:$A$204,0)),"ID no existe"))</f>
        <v/>
      </c>
      <c r="D243" s="27" t="str">
        <f aca="false">IF(B243="","",IFERROR(INDEX(LOOKAHEAD!$I$5:$I$204,MATCH(B243,LOOKAHEAD!$A$5:$A$204,0)),""))</f>
        <v/>
      </c>
      <c r="E243" s="9"/>
      <c r="F243" s="9"/>
      <c r="G243" s="9"/>
      <c r="H243" s="14"/>
      <c r="I243" s="27" t="str">
        <f aca="false">IF(OR(D243="",D243=0),"",D243-$D$2)</f>
        <v/>
      </c>
      <c r="J243" s="14"/>
      <c r="K243" s="14"/>
      <c r="L243" s="16" t="str">
        <f aca="false">IF(B243="","",IF(K243&lt;&gt;"","Liberado","Pendiente"))</f>
        <v/>
      </c>
      <c r="M243" s="16" t="str">
        <f aca="true">IF(B243="","",IF(L243="Liberado",IF(OR(I243="",K243&lt;=I243),"A tiempo","Liberada tarde"),IF(J243="","Sin compromiso",IF(TODAY()&gt;J243,"VENCIDA",IF(AND(I243&lt;&gt;"",J243&gt;I243),"En riesgo","En gestión")))))</f>
        <v/>
      </c>
      <c r="N243" s="15" t="str">
        <f aca="false">IF(OR(B243="",I243=""),"",IF(K243&lt;&gt;"",I243-K243,IF(J243&lt;&gt;"",I243-J243,"")))</f>
        <v/>
      </c>
      <c r="O243" s="9"/>
    </row>
    <row r="244" customFormat="false" ht="15" hidden="false" customHeight="false" outlineLevel="0" collapsed="false">
      <c r="A244" s="9"/>
      <c r="B244" s="9"/>
      <c r="C244" s="18" t="str">
        <f aca="false">IF(B244="","",IFERROR(INDEX(LOOKAHEAD!$B$5:$B$204,MATCH(B244,LOOKAHEAD!$A$5:$A$204,0)),"ID no existe"))</f>
        <v/>
      </c>
      <c r="D244" s="27" t="str">
        <f aca="false">IF(B244="","",IFERROR(INDEX(LOOKAHEAD!$I$5:$I$204,MATCH(B244,LOOKAHEAD!$A$5:$A$204,0)),""))</f>
        <v/>
      </c>
      <c r="E244" s="9"/>
      <c r="F244" s="9"/>
      <c r="G244" s="9"/>
      <c r="H244" s="14"/>
      <c r="I244" s="27" t="str">
        <f aca="false">IF(OR(D244="",D244=0),"",D244-$D$2)</f>
        <v/>
      </c>
      <c r="J244" s="14"/>
      <c r="K244" s="14"/>
      <c r="L244" s="16" t="str">
        <f aca="false">IF(B244="","",IF(K244&lt;&gt;"","Liberado","Pendiente"))</f>
        <v/>
      </c>
      <c r="M244" s="16" t="str">
        <f aca="true">IF(B244="","",IF(L244="Liberado",IF(OR(I244="",K244&lt;=I244),"A tiempo","Liberada tarde"),IF(J244="","Sin compromiso",IF(TODAY()&gt;J244,"VENCIDA",IF(AND(I244&lt;&gt;"",J244&gt;I244),"En riesgo","En gestión")))))</f>
        <v/>
      </c>
      <c r="N244" s="15" t="str">
        <f aca="false">IF(OR(B244="",I244=""),"",IF(K244&lt;&gt;"",I244-K244,IF(J244&lt;&gt;"",I244-J244,"")))</f>
        <v/>
      </c>
      <c r="O244" s="9"/>
    </row>
    <row r="245" customFormat="false" ht="15" hidden="false" customHeight="false" outlineLevel="0" collapsed="false">
      <c r="A245" s="9"/>
      <c r="B245" s="9"/>
      <c r="C245" s="18" t="str">
        <f aca="false">IF(B245="","",IFERROR(INDEX(LOOKAHEAD!$B$5:$B$204,MATCH(B245,LOOKAHEAD!$A$5:$A$204,0)),"ID no existe"))</f>
        <v/>
      </c>
      <c r="D245" s="27" t="str">
        <f aca="false">IF(B245="","",IFERROR(INDEX(LOOKAHEAD!$I$5:$I$204,MATCH(B245,LOOKAHEAD!$A$5:$A$204,0)),""))</f>
        <v/>
      </c>
      <c r="E245" s="9"/>
      <c r="F245" s="9"/>
      <c r="G245" s="9"/>
      <c r="H245" s="14"/>
      <c r="I245" s="27" t="str">
        <f aca="false">IF(OR(D245="",D245=0),"",D245-$D$2)</f>
        <v/>
      </c>
      <c r="J245" s="14"/>
      <c r="K245" s="14"/>
      <c r="L245" s="16" t="str">
        <f aca="false">IF(B245="","",IF(K245&lt;&gt;"","Liberado","Pendiente"))</f>
        <v/>
      </c>
      <c r="M245" s="16" t="str">
        <f aca="true">IF(B245="","",IF(L245="Liberado",IF(OR(I245="",K245&lt;=I245),"A tiempo","Liberada tarde"),IF(J245="","Sin compromiso",IF(TODAY()&gt;J245,"VENCIDA",IF(AND(I245&lt;&gt;"",J245&gt;I245),"En riesgo","En gestión")))))</f>
        <v/>
      </c>
      <c r="N245" s="15" t="str">
        <f aca="false">IF(OR(B245="",I245=""),"",IF(K245&lt;&gt;"",I245-K245,IF(J245&lt;&gt;"",I245-J245,"")))</f>
        <v/>
      </c>
      <c r="O245" s="9"/>
    </row>
    <row r="246" customFormat="false" ht="15" hidden="false" customHeight="false" outlineLevel="0" collapsed="false">
      <c r="A246" s="9"/>
      <c r="B246" s="9"/>
      <c r="C246" s="18" t="str">
        <f aca="false">IF(B246="","",IFERROR(INDEX(LOOKAHEAD!$B$5:$B$204,MATCH(B246,LOOKAHEAD!$A$5:$A$204,0)),"ID no existe"))</f>
        <v/>
      </c>
      <c r="D246" s="27" t="str">
        <f aca="false">IF(B246="","",IFERROR(INDEX(LOOKAHEAD!$I$5:$I$204,MATCH(B246,LOOKAHEAD!$A$5:$A$204,0)),""))</f>
        <v/>
      </c>
      <c r="E246" s="9"/>
      <c r="F246" s="9"/>
      <c r="G246" s="9"/>
      <c r="H246" s="14"/>
      <c r="I246" s="27" t="str">
        <f aca="false">IF(OR(D246="",D246=0),"",D246-$D$2)</f>
        <v/>
      </c>
      <c r="J246" s="14"/>
      <c r="K246" s="14"/>
      <c r="L246" s="16" t="str">
        <f aca="false">IF(B246="","",IF(K246&lt;&gt;"","Liberado","Pendiente"))</f>
        <v/>
      </c>
      <c r="M246" s="16" t="str">
        <f aca="true">IF(B246="","",IF(L246="Liberado",IF(OR(I246="",K246&lt;=I246),"A tiempo","Liberada tarde"),IF(J246="","Sin compromiso",IF(TODAY()&gt;J246,"VENCIDA",IF(AND(I246&lt;&gt;"",J246&gt;I246),"En riesgo","En gestión")))))</f>
        <v/>
      </c>
      <c r="N246" s="15" t="str">
        <f aca="false">IF(OR(B246="",I246=""),"",IF(K246&lt;&gt;"",I246-K246,IF(J246&lt;&gt;"",I246-J246,"")))</f>
        <v/>
      </c>
      <c r="O246" s="9"/>
    </row>
    <row r="247" customFormat="false" ht="15" hidden="false" customHeight="false" outlineLevel="0" collapsed="false">
      <c r="A247" s="9"/>
      <c r="B247" s="9"/>
      <c r="C247" s="18" t="str">
        <f aca="false">IF(B247="","",IFERROR(INDEX(LOOKAHEAD!$B$5:$B$204,MATCH(B247,LOOKAHEAD!$A$5:$A$204,0)),"ID no existe"))</f>
        <v/>
      </c>
      <c r="D247" s="27" t="str">
        <f aca="false">IF(B247="","",IFERROR(INDEX(LOOKAHEAD!$I$5:$I$204,MATCH(B247,LOOKAHEAD!$A$5:$A$204,0)),""))</f>
        <v/>
      </c>
      <c r="E247" s="9"/>
      <c r="F247" s="9"/>
      <c r="G247" s="9"/>
      <c r="H247" s="14"/>
      <c r="I247" s="27" t="str">
        <f aca="false">IF(OR(D247="",D247=0),"",D247-$D$2)</f>
        <v/>
      </c>
      <c r="J247" s="14"/>
      <c r="K247" s="14"/>
      <c r="L247" s="16" t="str">
        <f aca="false">IF(B247="","",IF(K247&lt;&gt;"","Liberado","Pendiente"))</f>
        <v/>
      </c>
      <c r="M247" s="16" t="str">
        <f aca="true">IF(B247="","",IF(L247="Liberado",IF(OR(I247="",K247&lt;=I247),"A tiempo","Liberada tarde"),IF(J247="","Sin compromiso",IF(TODAY()&gt;J247,"VENCIDA",IF(AND(I247&lt;&gt;"",J247&gt;I247),"En riesgo","En gestión")))))</f>
        <v/>
      </c>
      <c r="N247" s="15" t="str">
        <f aca="false">IF(OR(B247="",I247=""),"",IF(K247&lt;&gt;"",I247-K247,IF(J247&lt;&gt;"",I247-J247,"")))</f>
        <v/>
      </c>
      <c r="O247" s="9"/>
    </row>
    <row r="248" customFormat="false" ht="15" hidden="false" customHeight="false" outlineLevel="0" collapsed="false">
      <c r="A248" s="9"/>
      <c r="B248" s="9"/>
      <c r="C248" s="18" t="str">
        <f aca="false">IF(B248="","",IFERROR(INDEX(LOOKAHEAD!$B$5:$B$204,MATCH(B248,LOOKAHEAD!$A$5:$A$204,0)),"ID no existe"))</f>
        <v/>
      </c>
      <c r="D248" s="27" t="str">
        <f aca="false">IF(B248="","",IFERROR(INDEX(LOOKAHEAD!$I$5:$I$204,MATCH(B248,LOOKAHEAD!$A$5:$A$204,0)),""))</f>
        <v/>
      </c>
      <c r="E248" s="9"/>
      <c r="F248" s="9"/>
      <c r="G248" s="9"/>
      <c r="H248" s="14"/>
      <c r="I248" s="27" t="str">
        <f aca="false">IF(OR(D248="",D248=0),"",D248-$D$2)</f>
        <v/>
      </c>
      <c r="J248" s="14"/>
      <c r="K248" s="14"/>
      <c r="L248" s="16" t="str">
        <f aca="false">IF(B248="","",IF(K248&lt;&gt;"","Liberado","Pendiente"))</f>
        <v/>
      </c>
      <c r="M248" s="16" t="str">
        <f aca="true">IF(B248="","",IF(L248="Liberado",IF(OR(I248="",K248&lt;=I248),"A tiempo","Liberada tarde"),IF(J248="","Sin compromiso",IF(TODAY()&gt;J248,"VENCIDA",IF(AND(I248&lt;&gt;"",J248&gt;I248),"En riesgo","En gestión")))))</f>
        <v/>
      </c>
      <c r="N248" s="15" t="str">
        <f aca="false">IF(OR(B248="",I248=""),"",IF(K248&lt;&gt;"",I248-K248,IF(J248&lt;&gt;"",I248-J248,"")))</f>
        <v/>
      </c>
      <c r="O248" s="9"/>
    </row>
    <row r="249" customFormat="false" ht="15" hidden="false" customHeight="false" outlineLevel="0" collapsed="false">
      <c r="A249" s="9"/>
      <c r="B249" s="9"/>
      <c r="C249" s="18" t="str">
        <f aca="false">IF(B249="","",IFERROR(INDEX(LOOKAHEAD!$B$5:$B$204,MATCH(B249,LOOKAHEAD!$A$5:$A$204,0)),"ID no existe"))</f>
        <v/>
      </c>
      <c r="D249" s="27" t="str">
        <f aca="false">IF(B249="","",IFERROR(INDEX(LOOKAHEAD!$I$5:$I$204,MATCH(B249,LOOKAHEAD!$A$5:$A$204,0)),""))</f>
        <v/>
      </c>
      <c r="E249" s="9"/>
      <c r="F249" s="9"/>
      <c r="G249" s="9"/>
      <c r="H249" s="14"/>
      <c r="I249" s="27" t="str">
        <f aca="false">IF(OR(D249="",D249=0),"",D249-$D$2)</f>
        <v/>
      </c>
      <c r="J249" s="14"/>
      <c r="K249" s="14"/>
      <c r="L249" s="16" t="str">
        <f aca="false">IF(B249="","",IF(K249&lt;&gt;"","Liberado","Pendiente"))</f>
        <v/>
      </c>
      <c r="M249" s="16" t="str">
        <f aca="true">IF(B249="","",IF(L249="Liberado",IF(OR(I249="",K249&lt;=I249),"A tiempo","Liberada tarde"),IF(J249="","Sin compromiso",IF(TODAY()&gt;J249,"VENCIDA",IF(AND(I249&lt;&gt;"",J249&gt;I249),"En riesgo","En gestión")))))</f>
        <v/>
      </c>
      <c r="N249" s="15" t="str">
        <f aca="false">IF(OR(B249="",I249=""),"",IF(K249&lt;&gt;"",I249-K249,IF(J249&lt;&gt;"",I249-J249,"")))</f>
        <v/>
      </c>
      <c r="O249" s="9"/>
    </row>
    <row r="250" customFormat="false" ht="15" hidden="false" customHeight="false" outlineLevel="0" collapsed="false">
      <c r="A250" s="9"/>
      <c r="B250" s="9"/>
      <c r="C250" s="18" t="str">
        <f aca="false">IF(B250="","",IFERROR(INDEX(LOOKAHEAD!$B$5:$B$204,MATCH(B250,LOOKAHEAD!$A$5:$A$204,0)),"ID no existe"))</f>
        <v/>
      </c>
      <c r="D250" s="27" t="str">
        <f aca="false">IF(B250="","",IFERROR(INDEX(LOOKAHEAD!$I$5:$I$204,MATCH(B250,LOOKAHEAD!$A$5:$A$204,0)),""))</f>
        <v/>
      </c>
      <c r="E250" s="9"/>
      <c r="F250" s="9"/>
      <c r="G250" s="9"/>
      <c r="H250" s="14"/>
      <c r="I250" s="27" t="str">
        <f aca="false">IF(OR(D250="",D250=0),"",D250-$D$2)</f>
        <v/>
      </c>
      <c r="J250" s="14"/>
      <c r="K250" s="14"/>
      <c r="L250" s="16" t="str">
        <f aca="false">IF(B250="","",IF(K250&lt;&gt;"","Liberado","Pendiente"))</f>
        <v/>
      </c>
      <c r="M250" s="16" t="str">
        <f aca="true">IF(B250="","",IF(L250="Liberado",IF(OR(I250="",K250&lt;=I250),"A tiempo","Liberada tarde"),IF(J250="","Sin compromiso",IF(TODAY()&gt;J250,"VENCIDA",IF(AND(I250&lt;&gt;"",J250&gt;I250),"En riesgo","En gestión")))))</f>
        <v/>
      </c>
      <c r="N250" s="15" t="str">
        <f aca="false">IF(OR(B250="",I250=""),"",IF(K250&lt;&gt;"",I250-K250,IF(J250&lt;&gt;"",I250-J250,"")))</f>
        <v/>
      </c>
      <c r="O250" s="9"/>
    </row>
    <row r="251" customFormat="false" ht="15" hidden="false" customHeight="false" outlineLevel="0" collapsed="false">
      <c r="A251" s="9"/>
      <c r="B251" s="9"/>
      <c r="C251" s="18" t="str">
        <f aca="false">IF(B251="","",IFERROR(INDEX(LOOKAHEAD!$B$5:$B$204,MATCH(B251,LOOKAHEAD!$A$5:$A$204,0)),"ID no existe"))</f>
        <v/>
      </c>
      <c r="D251" s="27" t="str">
        <f aca="false">IF(B251="","",IFERROR(INDEX(LOOKAHEAD!$I$5:$I$204,MATCH(B251,LOOKAHEAD!$A$5:$A$204,0)),""))</f>
        <v/>
      </c>
      <c r="E251" s="9"/>
      <c r="F251" s="9"/>
      <c r="G251" s="9"/>
      <c r="H251" s="14"/>
      <c r="I251" s="27" t="str">
        <f aca="false">IF(OR(D251="",D251=0),"",D251-$D$2)</f>
        <v/>
      </c>
      <c r="J251" s="14"/>
      <c r="K251" s="14"/>
      <c r="L251" s="16" t="str">
        <f aca="false">IF(B251="","",IF(K251&lt;&gt;"","Liberado","Pendiente"))</f>
        <v/>
      </c>
      <c r="M251" s="16" t="str">
        <f aca="true">IF(B251="","",IF(L251="Liberado",IF(OR(I251="",K251&lt;=I251),"A tiempo","Liberada tarde"),IF(J251="","Sin compromiso",IF(TODAY()&gt;J251,"VENCIDA",IF(AND(I251&lt;&gt;"",J251&gt;I251),"En riesgo","En gestión")))))</f>
        <v/>
      </c>
      <c r="N251" s="15" t="str">
        <f aca="false">IF(OR(B251="",I251=""),"",IF(K251&lt;&gt;"",I251-K251,IF(J251&lt;&gt;"",I251-J251,"")))</f>
        <v/>
      </c>
      <c r="O251" s="9"/>
    </row>
    <row r="252" customFormat="false" ht="15" hidden="false" customHeight="false" outlineLevel="0" collapsed="false">
      <c r="A252" s="9"/>
      <c r="B252" s="9"/>
      <c r="C252" s="18" t="str">
        <f aca="false">IF(B252="","",IFERROR(INDEX(LOOKAHEAD!$B$5:$B$204,MATCH(B252,LOOKAHEAD!$A$5:$A$204,0)),"ID no existe"))</f>
        <v/>
      </c>
      <c r="D252" s="27" t="str">
        <f aca="false">IF(B252="","",IFERROR(INDEX(LOOKAHEAD!$I$5:$I$204,MATCH(B252,LOOKAHEAD!$A$5:$A$204,0)),""))</f>
        <v/>
      </c>
      <c r="E252" s="9"/>
      <c r="F252" s="9"/>
      <c r="G252" s="9"/>
      <c r="H252" s="14"/>
      <c r="I252" s="27" t="str">
        <f aca="false">IF(OR(D252="",D252=0),"",D252-$D$2)</f>
        <v/>
      </c>
      <c r="J252" s="14"/>
      <c r="K252" s="14"/>
      <c r="L252" s="16" t="str">
        <f aca="false">IF(B252="","",IF(K252&lt;&gt;"","Liberado","Pendiente"))</f>
        <v/>
      </c>
      <c r="M252" s="16" t="str">
        <f aca="true">IF(B252="","",IF(L252="Liberado",IF(OR(I252="",K252&lt;=I252),"A tiempo","Liberada tarde"),IF(J252="","Sin compromiso",IF(TODAY()&gt;J252,"VENCIDA",IF(AND(I252&lt;&gt;"",J252&gt;I252),"En riesgo","En gestión")))))</f>
        <v/>
      </c>
      <c r="N252" s="15" t="str">
        <f aca="false">IF(OR(B252="",I252=""),"",IF(K252&lt;&gt;"",I252-K252,IF(J252&lt;&gt;"",I252-J252,"")))</f>
        <v/>
      </c>
      <c r="O252" s="9"/>
    </row>
    <row r="253" customFormat="false" ht="15" hidden="false" customHeight="false" outlineLevel="0" collapsed="false">
      <c r="A253" s="9"/>
      <c r="B253" s="9"/>
      <c r="C253" s="18" t="str">
        <f aca="false">IF(B253="","",IFERROR(INDEX(LOOKAHEAD!$B$5:$B$204,MATCH(B253,LOOKAHEAD!$A$5:$A$204,0)),"ID no existe"))</f>
        <v/>
      </c>
      <c r="D253" s="27" t="str">
        <f aca="false">IF(B253="","",IFERROR(INDEX(LOOKAHEAD!$I$5:$I$204,MATCH(B253,LOOKAHEAD!$A$5:$A$204,0)),""))</f>
        <v/>
      </c>
      <c r="E253" s="9"/>
      <c r="F253" s="9"/>
      <c r="G253" s="9"/>
      <c r="H253" s="14"/>
      <c r="I253" s="27" t="str">
        <f aca="false">IF(OR(D253="",D253=0),"",D253-$D$2)</f>
        <v/>
      </c>
      <c r="J253" s="14"/>
      <c r="K253" s="14"/>
      <c r="L253" s="16" t="str">
        <f aca="false">IF(B253="","",IF(K253&lt;&gt;"","Liberado","Pendiente"))</f>
        <v/>
      </c>
      <c r="M253" s="16" t="str">
        <f aca="true">IF(B253="","",IF(L253="Liberado",IF(OR(I253="",K253&lt;=I253),"A tiempo","Liberada tarde"),IF(J253="","Sin compromiso",IF(TODAY()&gt;J253,"VENCIDA",IF(AND(I253&lt;&gt;"",J253&gt;I253),"En riesgo","En gestión")))))</f>
        <v/>
      </c>
      <c r="N253" s="15" t="str">
        <f aca="false">IF(OR(B253="",I253=""),"",IF(K253&lt;&gt;"",I253-K253,IF(J253&lt;&gt;"",I253-J253,"")))</f>
        <v/>
      </c>
      <c r="O253" s="9"/>
    </row>
    <row r="254" customFormat="false" ht="15" hidden="false" customHeight="false" outlineLevel="0" collapsed="false">
      <c r="A254" s="9"/>
      <c r="B254" s="9"/>
      <c r="C254" s="18" t="str">
        <f aca="false">IF(B254="","",IFERROR(INDEX(LOOKAHEAD!$B$5:$B$204,MATCH(B254,LOOKAHEAD!$A$5:$A$204,0)),"ID no existe"))</f>
        <v/>
      </c>
      <c r="D254" s="27" t="str">
        <f aca="false">IF(B254="","",IFERROR(INDEX(LOOKAHEAD!$I$5:$I$204,MATCH(B254,LOOKAHEAD!$A$5:$A$204,0)),""))</f>
        <v/>
      </c>
      <c r="E254" s="9"/>
      <c r="F254" s="9"/>
      <c r="G254" s="9"/>
      <c r="H254" s="14"/>
      <c r="I254" s="27" t="str">
        <f aca="false">IF(OR(D254="",D254=0),"",D254-$D$2)</f>
        <v/>
      </c>
      <c r="J254" s="14"/>
      <c r="K254" s="14"/>
      <c r="L254" s="16" t="str">
        <f aca="false">IF(B254="","",IF(K254&lt;&gt;"","Liberado","Pendiente"))</f>
        <v/>
      </c>
      <c r="M254" s="16" t="str">
        <f aca="true">IF(B254="","",IF(L254="Liberado",IF(OR(I254="",K254&lt;=I254),"A tiempo","Liberada tarde"),IF(J254="","Sin compromiso",IF(TODAY()&gt;J254,"VENCIDA",IF(AND(I254&lt;&gt;"",J254&gt;I254),"En riesgo","En gestión")))))</f>
        <v/>
      </c>
      <c r="N254" s="15" t="str">
        <f aca="false">IF(OR(B254="",I254=""),"",IF(K254&lt;&gt;"",I254-K254,IF(J254&lt;&gt;"",I254-J254,"")))</f>
        <v/>
      </c>
      <c r="O254" s="9"/>
    </row>
    <row r="255" customFormat="false" ht="15" hidden="false" customHeight="false" outlineLevel="0" collapsed="false">
      <c r="A255" s="9"/>
      <c r="B255" s="9"/>
      <c r="C255" s="18" t="str">
        <f aca="false">IF(B255="","",IFERROR(INDEX(LOOKAHEAD!$B$5:$B$204,MATCH(B255,LOOKAHEAD!$A$5:$A$204,0)),"ID no existe"))</f>
        <v/>
      </c>
      <c r="D255" s="27" t="str">
        <f aca="false">IF(B255="","",IFERROR(INDEX(LOOKAHEAD!$I$5:$I$204,MATCH(B255,LOOKAHEAD!$A$5:$A$204,0)),""))</f>
        <v/>
      </c>
      <c r="E255" s="9"/>
      <c r="F255" s="9"/>
      <c r="G255" s="9"/>
      <c r="H255" s="14"/>
      <c r="I255" s="27" t="str">
        <f aca="false">IF(OR(D255="",D255=0),"",D255-$D$2)</f>
        <v/>
      </c>
      <c r="J255" s="14"/>
      <c r="K255" s="14"/>
      <c r="L255" s="16" t="str">
        <f aca="false">IF(B255="","",IF(K255&lt;&gt;"","Liberado","Pendiente"))</f>
        <v/>
      </c>
      <c r="M255" s="16" t="str">
        <f aca="true">IF(B255="","",IF(L255="Liberado",IF(OR(I255="",K255&lt;=I255),"A tiempo","Liberada tarde"),IF(J255="","Sin compromiso",IF(TODAY()&gt;J255,"VENCIDA",IF(AND(I255&lt;&gt;"",J255&gt;I255),"En riesgo","En gestión")))))</f>
        <v/>
      </c>
      <c r="N255" s="15" t="str">
        <f aca="false">IF(OR(B255="",I255=""),"",IF(K255&lt;&gt;"",I255-K255,IF(J255&lt;&gt;"",I255-J255,"")))</f>
        <v/>
      </c>
      <c r="O255" s="9"/>
    </row>
    <row r="256" customFormat="false" ht="15" hidden="false" customHeight="false" outlineLevel="0" collapsed="false">
      <c r="A256" s="9"/>
      <c r="B256" s="9"/>
      <c r="C256" s="18" t="str">
        <f aca="false">IF(B256="","",IFERROR(INDEX(LOOKAHEAD!$B$5:$B$204,MATCH(B256,LOOKAHEAD!$A$5:$A$204,0)),"ID no existe"))</f>
        <v/>
      </c>
      <c r="D256" s="27" t="str">
        <f aca="false">IF(B256="","",IFERROR(INDEX(LOOKAHEAD!$I$5:$I$204,MATCH(B256,LOOKAHEAD!$A$5:$A$204,0)),""))</f>
        <v/>
      </c>
      <c r="E256" s="9"/>
      <c r="F256" s="9"/>
      <c r="G256" s="9"/>
      <c r="H256" s="14"/>
      <c r="I256" s="27" t="str">
        <f aca="false">IF(OR(D256="",D256=0),"",D256-$D$2)</f>
        <v/>
      </c>
      <c r="J256" s="14"/>
      <c r="K256" s="14"/>
      <c r="L256" s="16" t="str">
        <f aca="false">IF(B256="","",IF(K256&lt;&gt;"","Liberado","Pendiente"))</f>
        <v/>
      </c>
      <c r="M256" s="16" t="str">
        <f aca="true">IF(B256="","",IF(L256="Liberado",IF(OR(I256="",K256&lt;=I256),"A tiempo","Liberada tarde"),IF(J256="","Sin compromiso",IF(TODAY()&gt;J256,"VENCIDA",IF(AND(I256&lt;&gt;"",J256&gt;I256),"En riesgo","En gestión")))))</f>
        <v/>
      </c>
      <c r="N256" s="15" t="str">
        <f aca="false">IF(OR(B256="",I256=""),"",IF(K256&lt;&gt;"",I256-K256,IF(J256&lt;&gt;"",I256-J256,"")))</f>
        <v/>
      </c>
      <c r="O256" s="9"/>
    </row>
    <row r="257" customFormat="false" ht="15" hidden="false" customHeight="false" outlineLevel="0" collapsed="false">
      <c r="A257" s="9"/>
      <c r="B257" s="9"/>
      <c r="C257" s="18" t="str">
        <f aca="false">IF(B257="","",IFERROR(INDEX(LOOKAHEAD!$B$5:$B$204,MATCH(B257,LOOKAHEAD!$A$5:$A$204,0)),"ID no existe"))</f>
        <v/>
      </c>
      <c r="D257" s="27" t="str">
        <f aca="false">IF(B257="","",IFERROR(INDEX(LOOKAHEAD!$I$5:$I$204,MATCH(B257,LOOKAHEAD!$A$5:$A$204,0)),""))</f>
        <v/>
      </c>
      <c r="E257" s="9"/>
      <c r="F257" s="9"/>
      <c r="G257" s="9"/>
      <c r="H257" s="14"/>
      <c r="I257" s="27" t="str">
        <f aca="false">IF(OR(D257="",D257=0),"",D257-$D$2)</f>
        <v/>
      </c>
      <c r="J257" s="14"/>
      <c r="K257" s="14"/>
      <c r="L257" s="16" t="str">
        <f aca="false">IF(B257="","",IF(K257&lt;&gt;"","Liberado","Pendiente"))</f>
        <v/>
      </c>
      <c r="M257" s="16" t="str">
        <f aca="true">IF(B257="","",IF(L257="Liberado",IF(OR(I257="",K257&lt;=I257),"A tiempo","Liberada tarde"),IF(J257="","Sin compromiso",IF(TODAY()&gt;J257,"VENCIDA",IF(AND(I257&lt;&gt;"",J257&gt;I257),"En riesgo","En gestión")))))</f>
        <v/>
      </c>
      <c r="N257" s="15" t="str">
        <f aca="false">IF(OR(B257="",I257=""),"",IF(K257&lt;&gt;"",I257-K257,IF(J257&lt;&gt;"",I257-J257,"")))</f>
        <v/>
      </c>
      <c r="O257" s="9"/>
    </row>
    <row r="258" customFormat="false" ht="15" hidden="false" customHeight="false" outlineLevel="0" collapsed="false">
      <c r="A258" s="9"/>
      <c r="B258" s="9"/>
      <c r="C258" s="18" t="str">
        <f aca="false">IF(B258="","",IFERROR(INDEX(LOOKAHEAD!$B$5:$B$204,MATCH(B258,LOOKAHEAD!$A$5:$A$204,0)),"ID no existe"))</f>
        <v/>
      </c>
      <c r="D258" s="27" t="str">
        <f aca="false">IF(B258="","",IFERROR(INDEX(LOOKAHEAD!$I$5:$I$204,MATCH(B258,LOOKAHEAD!$A$5:$A$204,0)),""))</f>
        <v/>
      </c>
      <c r="E258" s="9"/>
      <c r="F258" s="9"/>
      <c r="G258" s="9"/>
      <c r="H258" s="14"/>
      <c r="I258" s="27" t="str">
        <f aca="false">IF(OR(D258="",D258=0),"",D258-$D$2)</f>
        <v/>
      </c>
      <c r="J258" s="14"/>
      <c r="K258" s="14"/>
      <c r="L258" s="16" t="str">
        <f aca="false">IF(B258="","",IF(K258&lt;&gt;"","Liberado","Pendiente"))</f>
        <v/>
      </c>
      <c r="M258" s="16" t="str">
        <f aca="true">IF(B258="","",IF(L258="Liberado",IF(OR(I258="",K258&lt;=I258),"A tiempo","Liberada tarde"),IF(J258="","Sin compromiso",IF(TODAY()&gt;J258,"VENCIDA",IF(AND(I258&lt;&gt;"",J258&gt;I258),"En riesgo","En gestión")))))</f>
        <v/>
      </c>
      <c r="N258" s="15" t="str">
        <f aca="false">IF(OR(B258="",I258=""),"",IF(K258&lt;&gt;"",I258-K258,IF(J258&lt;&gt;"",I258-J258,"")))</f>
        <v/>
      </c>
      <c r="O258" s="9"/>
    </row>
    <row r="259" customFormat="false" ht="15" hidden="false" customHeight="false" outlineLevel="0" collapsed="false">
      <c r="A259" s="9"/>
      <c r="B259" s="9"/>
      <c r="C259" s="18" t="str">
        <f aca="false">IF(B259="","",IFERROR(INDEX(LOOKAHEAD!$B$5:$B$204,MATCH(B259,LOOKAHEAD!$A$5:$A$204,0)),"ID no existe"))</f>
        <v/>
      </c>
      <c r="D259" s="27" t="str">
        <f aca="false">IF(B259="","",IFERROR(INDEX(LOOKAHEAD!$I$5:$I$204,MATCH(B259,LOOKAHEAD!$A$5:$A$204,0)),""))</f>
        <v/>
      </c>
      <c r="E259" s="9"/>
      <c r="F259" s="9"/>
      <c r="G259" s="9"/>
      <c r="H259" s="14"/>
      <c r="I259" s="27" t="str">
        <f aca="false">IF(OR(D259="",D259=0),"",D259-$D$2)</f>
        <v/>
      </c>
      <c r="J259" s="14"/>
      <c r="K259" s="14"/>
      <c r="L259" s="16" t="str">
        <f aca="false">IF(B259="","",IF(K259&lt;&gt;"","Liberado","Pendiente"))</f>
        <v/>
      </c>
      <c r="M259" s="16" t="str">
        <f aca="true">IF(B259="","",IF(L259="Liberado",IF(OR(I259="",K259&lt;=I259),"A tiempo","Liberada tarde"),IF(J259="","Sin compromiso",IF(TODAY()&gt;J259,"VENCIDA",IF(AND(I259&lt;&gt;"",J259&gt;I259),"En riesgo","En gestión")))))</f>
        <v/>
      </c>
      <c r="N259" s="15" t="str">
        <f aca="false">IF(OR(B259="",I259=""),"",IF(K259&lt;&gt;"",I259-K259,IF(J259&lt;&gt;"",I259-J259,"")))</f>
        <v/>
      </c>
      <c r="O259" s="9"/>
    </row>
    <row r="260" customFormat="false" ht="15" hidden="false" customHeight="false" outlineLevel="0" collapsed="false">
      <c r="A260" s="9"/>
      <c r="B260" s="9"/>
      <c r="C260" s="18" t="str">
        <f aca="false">IF(B260="","",IFERROR(INDEX(LOOKAHEAD!$B$5:$B$204,MATCH(B260,LOOKAHEAD!$A$5:$A$204,0)),"ID no existe"))</f>
        <v/>
      </c>
      <c r="D260" s="27" t="str">
        <f aca="false">IF(B260="","",IFERROR(INDEX(LOOKAHEAD!$I$5:$I$204,MATCH(B260,LOOKAHEAD!$A$5:$A$204,0)),""))</f>
        <v/>
      </c>
      <c r="E260" s="9"/>
      <c r="F260" s="9"/>
      <c r="G260" s="9"/>
      <c r="H260" s="14"/>
      <c r="I260" s="27" t="str">
        <f aca="false">IF(OR(D260="",D260=0),"",D260-$D$2)</f>
        <v/>
      </c>
      <c r="J260" s="14"/>
      <c r="K260" s="14"/>
      <c r="L260" s="16" t="str">
        <f aca="false">IF(B260="","",IF(K260&lt;&gt;"","Liberado","Pendiente"))</f>
        <v/>
      </c>
      <c r="M260" s="16" t="str">
        <f aca="true">IF(B260="","",IF(L260="Liberado",IF(OR(I260="",K260&lt;=I260),"A tiempo","Liberada tarde"),IF(J260="","Sin compromiso",IF(TODAY()&gt;J260,"VENCIDA",IF(AND(I260&lt;&gt;"",J260&gt;I260),"En riesgo","En gestión")))))</f>
        <v/>
      </c>
      <c r="N260" s="15" t="str">
        <f aca="false">IF(OR(B260="",I260=""),"",IF(K260&lt;&gt;"",I260-K260,IF(J260&lt;&gt;"",I260-J260,"")))</f>
        <v/>
      </c>
      <c r="O260" s="9"/>
    </row>
    <row r="261" customFormat="false" ht="15" hidden="false" customHeight="false" outlineLevel="0" collapsed="false">
      <c r="A261" s="9"/>
      <c r="B261" s="9"/>
      <c r="C261" s="18" t="str">
        <f aca="false">IF(B261="","",IFERROR(INDEX(LOOKAHEAD!$B$5:$B$204,MATCH(B261,LOOKAHEAD!$A$5:$A$204,0)),"ID no existe"))</f>
        <v/>
      </c>
      <c r="D261" s="27" t="str">
        <f aca="false">IF(B261="","",IFERROR(INDEX(LOOKAHEAD!$I$5:$I$204,MATCH(B261,LOOKAHEAD!$A$5:$A$204,0)),""))</f>
        <v/>
      </c>
      <c r="E261" s="9"/>
      <c r="F261" s="9"/>
      <c r="G261" s="9"/>
      <c r="H261" s="14"/>
      <c r="I261" s="27" t="str">
        <f aca="false">IF(OR(D261="",D261=0),"",D261-$D$2)</f>
        <v/>
      </c>
      <c r="J261" s="14"/>
      <c r="K261" s="14"/>
      <c r="L261" s="16" t="str">
        <f aca="false">IF(B261="","",IF(K261&lt;&gt;"","Liberado","Pendiente"))</f>
        <v/>
      </c>
      <c r="M261" s="16" t="str">
        <f aca="true">IF(B261="","",IF(L261="Liberado",IF(OR(I261="",K261&lt;=I261),"A tiempo","Liberada tarde"),IF(J261="","Sin compromiso",IF(TODAY()&gt;J261,"VENCIDA",IF(AND(I261&lt;&gt;"",J261&gt;I261),"En riesgo","En gestión")))))</f>
        <v/>
      </c>
      <c r="N261" s="15" t="str">
        <f aca="false">IF(OR(B261="",I261=""),"",IF(K261&lt;&gt;"",I261-K261,IF(J261&lt;&gt;"",I261-J261,"")))</f>
        <v/>
      </c>
      <c r="O261" s="9"/>
    </row>
    <row r="262" customFormat="false" ht="15" hidden="false" customHeight="false" outlineLevel="0" collapsed="false">
      <c r="A262" s="9"/>
      <c r="B262" s="9"/>
      <c r="C262" s="18" t="str">
        <f aca="false">IF(B262="","",IFERROR(INDEX(LOOKAHEAD!$B$5:$B$204,MATCH(B262,LOOKAHEAD!$A$5:$A$204,0)),"ID no existe"))</f>
        <v/>
      </c>
      <c r="D262" s="27" t="str">
        <f aca="false">IF(B262="","",IFERROR(INDEX(LOOKAHEAD!$I$5:$I$204,MATCH(B262,LOOKAHEAD!$A$5:$A$204,0)),""))</f>
        <v/>
      </c>
      <c r="E262" s="9"/>
      <c r="F262" s="9"/>
      <c r="G262" s="9"/>
      <c r="H262" s="14"/>
      <c r="I262" s="27" t="str">
        <f aca="false">IF(OR(D262="",D262=0),"",D262-$D$2)</f>
        <v/>
      </c>
      <c r="J262" s="14"/>
      <c r="K262" s="14"/>
      <c r="L262" s="16" t="str">
        <f aca="false">IF(B262="","",IF(K262&lt;&gt;"","Liberado","Pendiente"))</f>
        <v/>
      </c>
      <c r="M262" s="16" t="str">
        <f aca="true">IF(B262="","",IF(L262="Liberado",IF(OR(I262="",K262&lt;=I262),"A tiempo","Liberada tarde"),IF(J262="","Sin compromiso",IF(TODAY()&gt;J262,"VENCIDA",IF(AND(I262&lt;&gt;"",J262&gt;I262),"En riesgo","En gestión")))))</f>
        <v/>
      </c>
      <c r="N262" s="15" t="str">
        <f aca="false">IF(OR(B262="",I262=""),"",IF(K262&lt;&gt;"",I262-K262,IF(J262&lt;&gt;"",I262-J262,"")))</f>
        <v/>
      </c>
      <c r="O262" s="9"/>
    </row>
    <row r="263" customFormat="false" ht="15" hidden="false" customHeight="false" outlineLevel="0" collapsed="false">
      <c r="A263" s="9"/>
      <c r="B263" s="9"/>
      <c r="C263" s="18" t="str">
        <f aca="false">IF(B263="","",IFERROR(INDEX(LOOKAHEAD!$B$5:$B$204,MATCH(B263,LOOKAHEAD!$A$5:$A$204,0)),"ID no existe"))</f>
        <v/>
      </c>
      <c r="D263" s="27" t="str">
        <f aca="false">IF(B263="","",IFERROR(INDEX(LOOKAHEAD!$I$5:$I$204,MATCH(B263,LOOKAHEAD!$A$5:$A$204,0)),""))</f>
        <v/>
      </c>
      <c r="E263" s="9"/>
      <c r="F263" s="9"/>
      <c r="G263" s="9"/>
      <c r="H263" s="14"/>
      <c r="I263" s="27" t="str">
        <f aca="false">IF(OR(D263="",D263=0),"",D263-$D$2)</f>
        <v/>
      </c>
      <c r="J263" s="14"/>
      <c r="K263" s="14"/>
      <c r="L263" s="16" t="str">
        <f aca="false">IF(B263="","",IF(K263&lt;&gt;"","Liberado","Pendiente"))</f>
        <v/>
      </c>
      <c r="M263" s="16" t="str">
        <f aca="true">IF(B263="","",IF(L263="Liberado",IF(OR(I263="",K263&lt;=I263),"A tiempo","Liberada tarde"),IF(J263="","Sin compromiso",IF(TODAY()&gt;J263,"VENCIDA",IF(AND(I263&lt;&gt;"",J263&gt;I263),"En riesgo","En gestión")))))</f>
        <v/>
      </c>
      <c r="N263" s="15" t="str">
        <f aca="false">IF(OR(B263="",I263=""),"",IF(K263&lt;&gt;"",I263-K263,IF(J263&lt;&gt;"",I263-J263,"")))</f>
        <v/>
      </c>
      <c r="O263" s="9"/>
    </row>
    <row r="264" customFormat="false" ht="15" hidden="false" customHeight="false" outlineLevel="0" collapsed="false">
      <c r="A264" s="9"/>
      <c r="B264" s="9"/>
      <c r="C264" s="18" t="str">
        <f aca="false">IF(B264="","",IFERROR(INDEX(LOOKAHEAD!$B$5:$B$204,MATCH(B264,LOOKAHEAD!$A$5:$A$204,0)),"ID no existe"))</f>
        <v/>
      </c>
      <c r="D264" s="27" t="str">
        <f aca="false">IF(B264="","",IFERROR(INDEX(LOOKAHEAD!$I$5:$I$204,MATCH(B264,LOOKAHEAD!$A$5:$A$204,0)),""))</f>
        <v/>
      </c>
      <c r="E264" s="9"/>
      <c r="F264" s="9"/>
      <c r="G264" s="9"/>
      <c r="H264" s="14"/>
      <c r="I264" s="27" t="str">
        <f aca="false">IF(OR(D264="",D264=0),"",D264-$D$2)</f>
        <v/>
      </c>
      <c r="J264" s="14"/>
      <c r="K264" s="14"/>
      <c r="L264" s="16" t="str">
        <f aca="false">IF(B264="","",IF(K264&lt;&gt;"","Liberado","Pendiente"))</f>
        <v/>
      </c>
      <c r="M264" s="16" t="str">
        <f aca="true">IF(B264="","",IF(L264="Liberado",IF(OR(I264="",K264&lt;=I264),"A tiempo","Liberada tarde"),IF(J264="","Sin compromiso",IF(TODAY()&gt;J264,"VENCIDA",IF(AND(I264&lt;&gt;"",J264&gt;I264),"En riesgo","En gestión")))))</f>
        <v/>
      </c>
      <c r="N264" s="15" t="str">
        <f aca="false">IF(OR(B264="",I264=""),"",IF(K264&lt;&gt;"",I264-K264,IF(J264&lt;&gt;"",I264-J264,"")))</f>
        <v/>
      </c>
      <c r="O264" s="9"/>
    </row>
    <row r="265" customFormat="false" ht="15" hidden="false" customHeight="false" outlineLevel="0" collapsed="false">
      <c r="A265" s="9"/>
      <c r="B265" s="9"/>
      <c r="C265" s="18" t="str">
        <f aca="false">IF(B265="","",IFERROR(INDEX(LOOKAHEAD!$B$5:$B$204,MATCH(B265,LOOKAHEAD!$A$5:$A$204,0)),"ID no existe"))</f>
        <v/>
      </c>
      <c r="D265" s="27" t="str">
        <f aca="false">IF(B265="","",IFERROR(INDEX(LOOKAHEAD!$I$5:$I$204,MATCH(B265,LOOKAHEAD!$A$5:$A$204,0)),""))</f>
        <v/>
      </c>
      <c r="E265" s="9"/>
      <c r="F265" s="9"/>
      <c r="G265" s="9"/>
      <c r="H265" s="14"/>
      <c r="I265" s="27" t="str">
        <f aca="false">IF(OR(D265="",D265=0),"",D265-$D$2)</f>
        <v/>
      </c>
      <c r="J265" s="14"/>
      <c r="K265" s="14"/>
      <c r="L265" s="16" t="str">
        <f aca="false">IF(B265="","",IF(K265&lt;&gt;"","Liberado","Pendiente"))</f>
        <v/>
      </c>
      <c r="M265" s="16" t="str">
        <f aca="true">IF(B265="","",IF(L265="Liberado",IF(OR(I265="",K265&lt;=I265),"A tiempo","Liberada tarde"),IF(J265="","Sin compromiso",IF(TODAY()&gt;J265,"VENCIDA",IF(AND(I265&lt;&gt;"",J265&gt;I265),"En riesgo","En gestión")))))</f>
        <v/>
      </c>
      <c r="N265" s="15" t="str">
        <f aca="false">IF(OR(B265="",I265=""),"",IF(K265&lt;&gt;"",I265-K265,IF(J265&lt;&gt;"",I265-J265,"")))</f>
        <v/>
      </c>
      <c r="O265" s="9"/>
    </row>
    <row r="266" customFormat="false" ht="15" hidden="false" customHeight="false" outlineLevel="0" collapsed="false">
      <c r="A266" s="9"/>
      <c r="B266" s="9"/>
      <c r="C266" s="18" t="str">
        <f aca="false">IF(B266="","",IFERROR(INDEX(LOOKAHEAD!$B$5:$B$204,MATCH(B266,LOOKAHEAD!$A$5:$A$204,0)),"ID no existe"))</f>
        <v/>
      </c>
      <c r="D266" s="27" t="str">
        <f aca="false">IF(B266="","",IFERROR(INDEX(LOOKAHEAD!$I$5:$I$204,MATCH(B266,LOOKAHEAD!$A$5:$A$204,0)),""))</f>
        <v/>
      </c>
      <c r="E266" s="9"/>
      <c r="F266" s="9"/>
      <c r="G266" s="9"/>
      <c r="H266" s="14"/>
      <c r="I266" s="27" t="str">
        <f aca="false">IF(OR(D266="",D266=0),"",D266-$D$2)</f>
        <v/>
      </c>
      <c r="J266" s="14"/>
      <c r="K266" s="14"/>
      <c r="L266" s="16" t="str">
        <f aca="false">IF(B266="","",IF(K266&lt;&gt;"","Liberado","Pendiente"))</f>
        <v/>
      </c>
      <c r="M266" s="16" t="str">
        <f aca="true">IF(B266="","",IF(L266="Liberado",IF(OR(I266="",K266&lt;=I266),"A tiempo","Liberada tarde"),IF(J266="","Sin compromiso",IF(TODAY()&gt;J266,"VENCIDA",IF(AND(I266&lt;&gt;"",J266&gt;I266),"En riesgo","En gestión")))))</f>
        <v/>
      </c>
      <c r="N266" s="15" t="str">
        <f aca="false">IF(OR(B266="",I266=""),"",IF(K266&lt;&gt;"",I266-K266,IF(J266&lt;&gt;"",I266-J266,"")))</f>
        <v/>
      </c>
      <c r="O266" s="9"/>
    </row>
    <row r="267" customFormat="false" ht="15" hidden="false" customHeight="false" outlineLevel="0" collapsed="false">
      <c r="A267" s="9"/>
      <c r="B267" s="9"/>
      <c r="C267" s="18" t="str">
        <f aca="false">IF(B267="","",IFERROR(INDEX(LOOKAHEAD!$B$5:$B$204,MATCH(B267,LOOKAHEAD!$A$5:$A$204,0)),"ID no existe"))</f>
        <v/>
      </c>
      <c r="D267" s="27" t="str">
        <f aca="false">IF(B267="","",IFERROR(INDEX(LOOKAHEAD!$I$5:$I$204,MATCH(B267,LOOKAHEAD!$A$5:$A$204,0)),""))</f>
        <v/>
      </c>
      <c r="E267" s="9"/>
      <c r="F267" s="9"/>
      <c r="G267" s="9"/>
      <c r="H267" s="14"/>
      <c r="I267" s="27" t="str">
        <f aca="false">IF(OR(D267="",D267=0),"",D267-$D$2)</f>
        <v/>
      </c>
      <c r="J267" s="14"/>
      <c r="K267" s="14"/>
      <c r="L267" s="16" t="str">
        <f aca="false">IF(B267="","",IF(K267&lt;&gt;"","Liberado","Pendiente"))</f>
        <v/>
      </c>
      <c r="M267" s="16" t="str">
        <f aca="true">IF(B267="","",IF(L267="Liberado",IF(OR(I267="",K267&lt;=I267),"A tiempo","Liberada tarde"),IF(J267="","Sin compromiso",IF(TODAY()&gt;J267,"VENCIDA",IF(AND(I267&lt;&gt;"",J267&gt;I267),"En riesgo","En gestión")))))</f>
        <v/>
      </c>
      <c r="N267" s="15" t="str">
        <f aca="false">IF(OR(B267="",I267=""),"",IF(K267&lt;&gt;"",I267-K267,IF(J267&lt;&gt;"",I267-J267,"")))</f>
        <v/>
      </c>
      <c r="O267" s="9"/>
    </row>
    <row r="268" customFormat="false" ht="15" hidden="false" customHeight="false" outlineLevel="0" collapsed="false">
      <c r="A268" s="9"/>
      <c r="B268" s="9"/>
      <c r="C268" s="18" t="str">
        <f aca="false">IF(B268="","",IFERROR(INDEX(LOOKAHEAD!$B$5:$B$204,MATCH(B268,LOOKAHEAD!$A$5:$A$204,0)),"ID no existe"))</f>
        <v/>
      </c>
      <c r="D268" s="27" t="str">
        <f aca="false">IF(B268="","",IFERROR(INDEX(LOOKAHEAD!$I$5:$I$204,MATCH(B268,LOOKAHEAD!$A$5:$A$204,0)),""))</f>
        <v/>
      </c>
      <c r="E268" s="9"/>
      <c r="F268" s="9"/>
      <c r="G268" s="9"/>
      <c r="H268" s="14"/>
      <c r="I268" s="27" t="str">
        <f aca="false">IF(OR(D268="",D268=0),"",D268-$D$2)</f>
        <v/>
      </c>
      <c r="J268" s="14"/>
      <c r="K268" s="14"/>
      <c r="L268" s="16" t="str">
        <f aca="false">IF(B268="","",IF(K268&lt;&gt;"","Liberado","Pendiente"))</f>
        <v/>
      </c>
      <c r="M268" s="16" t="str">
        <f aca="true">IF(B268="","",IF(L268="Liberado",IF(OR(I268="",K268&lt;=I268),"A tiempo","Liberada tarde"),IF(J268="","Sin compromiso",IF(TODAY()&gt;J268,"VENCIDA",IF(AND(I268&lt;&gt;"",J268&gt;I268),"En riesgo","En gestión")))))</f>
        <v/>
      </c>
      <c r="N268" s="15" t="str">
        <f aca="false">IF(OR(B268="",I268=""),"",IF(K268&lt;&gt;"",I268-K268,IF(J268&lt;&gt;"",I268-J268,"")))</f>
        <v/>
      </c>
      <c r="O268" s="9"/>
    </row>
    <row r="269" customFormat="false" ht="15" hidden="false" customHeight="false" outlineLevel="0" collapsed="false">
      <c r="A269" s="9"/>
      <c r="B269" s="9"/>
      <c r="C269" s="18" t="str">
        <f aca="false">IF(B269="","",IFERROR(INDEX(LOOKAHEAD!$B$5:$B$204,MATCH(B269,LOOKAHEAD!$A$5:$A$204,0)),"ID no existe"))</f>
        <v/>
      </c>
      <c r="D269" s="27" t="str">
        <f aca="false">IF(B269="","",IFERROR(INDEX(LOOKAHEAD!$I$5:$I$204,MATCH(B269,LOOKAHEAD!$A$5:$A$204,0)),""))</f>
        <v/>
      </c>
      <c r="E269" s="9"/>
      <c r="F269" s="9"/>
      <c r="G269" s="9"/>
      <c r="H269" s="14"/>
      <c r="I269" s="27" t="str">
        <f aca="false">IF(OR(D269="",D269=0),"",D269-$D$2)</f>
        <v/>
      </c>
      <c r="J269" s="14"/>
      <c r="K269" s="14"/>
      <c r="L269" s="16" t="str">
        <f aca="false">IF(B269="","",IF(K269&lt;&gt;"","Liberado","Pendiente"))</f>
        <v/>
      </c>
      <c r="M269" s="16" t="str">
        <f aca="true">IF(B269="","",IF(L269="Liberado",IF(OR(I269="",K269&lt;=I269),"A tiempo","Liberada tarde"),IF(J269="","Sin compromiso",IF(TODAY()&gt;J269,"VENCIDA",IF(AND(I269&lt;&gt;"",J269&gt;I269),"En riesgo","En gestión")))))</f>
        <v/>
      </c>
      <c r="N269" s="15" t="str">
        <f aca="false">IF(OR(B269="",I269=""),"",IF(K269&lt;&gt;"",I269-K269,IF(J269&lt;&gt;"",I269-J269,"")))</f>
        <v/>
      </c>
      <c r="O269" s="9"/>
    </row>
    <row r="270" customFormat="false" ht="15" hidden="false" customHeight="false" outlineLevel="0" collapsed="false">
      <c r="A270" s="9"/>
      <c r="B270" s="9"/>
      <c r="C270" s="18" t="str">
        <f aca="false">IF(B270="","",IFERROR(INDEX(LOOKAHEAD!$B$5:$B$204,MATCH(B270,LOOKAHEAD!$A$5:$A$204,0)),"ID no existe"))</f>
        <v/>
      </c>
      <c r="D270" s="27" t="str">
        <f aca="false">IF(B270="","",IFERROR(INDEX(LOOKAHEAD!$I$5:$I$204,MATCH(B270,LOOKAHEAD!$A$5:$A$204,0)),""))</f>
        <v/>
      </c>
      <c r="E270" s="9"/>
      <c r="F270" s="9"/>
      <c r="G270" s="9"/>
      <c r="H270" s="14"/>
      <c r="I270" s="27" t="str">
        <f aca="false">IF(OR(D270="",D270=0),"",D270-$D$2)</f>
        <v/>
      </c>
      <c r="J270" s="14"/>
      <c r="K270" s="14"/>
      <c r="L270" s="16" t="str">
        <f aca="false">IF(B270="","",IF(K270&lt;&gt;"","Liberado","Pendiente"))</f>
        <v/>
      </c>
      <c r="M270" s="16" t="str">
        <f aca="true">IF(B270="","",IF(L270="Liberado",IF(OR(I270="",K270&lt;=I270),"A tiempo","Liberada tarde"),IF(J270="","Sin compromiso",IF(TODAY()&gt;J270,"VENCIDA",IF(AND(I270&lt;&gt;"",J270&gt;I270),"En riesgo","En gestión")))))</f>
        <v/>
      </c>
      <c r="N270" s="15" t="str">
        <f aca="false">IF(OR(B270="",I270=""),"",IF(K270&lt;&gt;"",I270-K270,IF(J270&lt;&gt;"",I270-J270,"")))</f>
        <v/>
      </c>
      <c r="O270" s="9"/>
    </row>
    <row r="271" customFormat="false" ht="15" hidden="false" customHeight="false" outlineLevel="0" collapsed="false">
      <c r="A271" s="9"/>
      <c r="B271" s="9"/>
      <c r="C271" s="18" t="str">
        <f aca="false">IF(B271="","",IFERROR(INDEX(LOOKAHEAD!$B$5:$B$204,MATCH(B271,LOOKAHEAD!$A$5:$A$204,0)),"ID no existe"))</f>
        <v/>
      </c>
      <c r="D271" s="27" t="str">
        <f aca="false">IF(B271="","",IFERROR(INDEX(LOOKAHEAD!$I$5:$I$204,MATCH(B271,LOOKAHEAD!$A$5:$A$204,0)),""))</f>
        <v/>
      </c>
      <c r="E271" s="9"/>
      <c r="F271" s="9"/>
      <c r="G271" s="9"/>
      <c r="H271" s="14"/>
      <c r="I271" s="27" t="str">
        <f aca="false">IF(OR(D271="",D271=0),"",D271-$D$2)</f>
        <v/>
      </c>
      <c r="J271" s="14"/>
      <c r="K271" s="14"/>
      <c r="L271" s="16" t="str">
        <f aca="false">IF(B271="","",IF(K271&lt;&gt;"","Liberado","Pendiente"))</f>
        <v/>
      </c>
      <c r="M271" s="16" t="str">
        <f aca="true">IF(B271="","",IF(L271="Liberado",IF(OR(I271="",K271&lt;=I271),"A tiempo","Liberada tarde"),IF(J271="","Sin compromiso",IF(TODAY()&gt;J271,"VENCIDA",IF(AND(I271&lt;&gt;"",J271&gt;I271),"En riesgo","En gestión")))))</f>
        <v/>
      </c>
      <c r="N271" s="15" t="str">
        <f aca="false">IF(OR(B271="",I271=""),"",IF(K271&lt;&gt;"",I271-K271,IF(J271&lt;&gt;"",I271-J271,"")))</f>
        <v/>
      </c>
      <c r="O271" s="9"/>
    </row>
    <row r="272" customFormat="false" ht="15" hidden="false" customHeight="false" outlineLevel="0" collapsed="false">
      <c r="A272" s="9"/>
      <c r="B272" s="9"/>
      <c r="C272" s="18" t="str">
        <f aca="false">IF(B272="","",IFERROR(INDEX(LOOKAHEAD!$B$5:$B$204,MATCH(B272,LOOKAHEAD!$A$5:$A$204,0)),"ID no existe"))</f>
        <v/>
      </c>
      <c r="D272" s="27" t="str">
        <f aca="false">IF(B272="","",IFERROR(INDEX(LOOKAHEAD!$I$5:$I$204,MATCH(B272,LOOKAHEAD!$A$5:$A$204,0)),""))</f>
        <v/>
      </c>
      <c r="E272" s="9"/>
      <c r="F272" s="9"/>
      <c r="G272" s="9"/>
      <c r="H272" s="14"/>
      <c r="I272" s="27" t="str">
        <f aca="false">IF(OR(D272="",D272=0),"",D272-$D$2)</f>
        <v/>
      </c>
      <c r="J272" s="14"/>
      <c r="K272" s="14"/>
      <c r="L272" s="16" t="str">
        <f aca="false">IF(B272="","",IF(K272&lt;&gt;"","Liberado","Pendiente"))</f>
        <v/>
      </c>
      <c r="M272" s="16" t="str">
        <f aca="true">IF(B272="","",IF(L272="Liberado",IF(OR(I272="",K272&lt;=I272),"A tiempo","Liberada tarde"),IF(J272="","Sin compromiso",IF(TODAY()&gt;J272,"VENCIDA",IF(AND(I272&lt;&gt;"",J272&gt;I272),"En riesgo","En gestión")))))</f>
        <v/>
      </c>
      <c r="N272" s="15" t="str">
        <f aca="false">IF(OR(B272="",I272=""),"",IF(K272&lt;&gt;"",I272-K272,IF(J272&lt;&gt;"",I272-J272,"")))</f>
        <v/>
      </c>
      <c r="O272" s="9"/>
    </row>
    <row r="273" customFormat="false" ht="15" hidden="false" customHeight="false" outlineLevel="0" collapsed="false">
      <c r="A273" s="9"/>
      <c r="B273" s="9"/>
      <c r="C273" s="18" t="str">
        <f aca="false">IF(B273="","",IFERROR(INDEX(LOOKAHEAD!$B$5:$B$204,MATCH(B273,LOOKAHEAD!$A$5:$A$204,0)),"ID no existe"))</f>
        <v/>
      </c>
      <c r="D273" s="27" t="str">
        <f aca="false">IF(B273="","",IFERROR(INDEX(LOOKAHEAD!$I$5:$I$204,MATCH(B273,LOOKAHEAD!$A$5:$A$204,0)),""))</f>
        <v/>
      </c>
      <c r="E273" s="9"/>
      <c r="F273" s="9"/>
      <c r="G273" s="9"/>
      <c r="H273" s="14"/>
      <c r="I273" s="27" t="str">
        <f aca="false">IF(OR(D273="",D273=0),"",D273-$D$2)</f>
        <v/>
      </c>
      <c r="J273" s="14"/>
      <c r="K273" s="14"/>
      <c r="L273" s="16" t="str">
        <f aca="false">IF(B273="","",IF(K273&lt;&gt;"","Liberado","Pendiente"))</f>
        <v/>
      </c>
      <c r="M273" s="16" t="str">
        <f aca="true">IF(B273="","",IF(L273="Liberado",IF(OR(I273="",K273&lt;=I273),"A tiempo","Liberada tarde"),IF(J273="","Sin compromiso",IF(TODAY()&gt;J273,"VENCIDA",IF(AND(I273&lt;&gt;"",J273&gt;I273),"En riesgo","En gestión")))))</f>
        <v/>
      </c>
      <c r="N273" s="15" t="str">
        <f aca="false">IF(OR(B273="",I273=""),"",IF(K273&lt;&gt;"",I273-K273,IF(J273&lt;&gt;"",I273-J273,"")))</f>
        <v/>
      </c>
      <c r="O273" s="9"/>
    </row>
    <row r="274" customFormat="false" ht="15" hidden="false" customHeight="false" outlineLevel="0" collapsed="false">
      <c r="A274" s="9"/>
      <c r="B274" s="9"/>
      <c r="C274" s="18" t="str">
        <f aca="false">IF(B274="","",IFERROR(INDEX(LOOKAHEAD!$B$5:$B$204,MATCH(B274,LOOKAHEAD!$A$5:$A$204,0)),"ID no existe"))</f>
        <v/>
      </c>
      <c r="D274" s="27" t="str">
        <f aca="false">IF(B274="","",IFERROR(INDEX(LOOKAHEAD!$I$5:$I$204,MATCH(B274,LOOKAHEAD!$A$5:$A$204,0)),""))</f>
        <v/>
      </c>
      <c r="E274" s="9"/>
      <c r="F274" s="9"/>
      <c r="G274" s="9"/>
      <c r="H274" s="14"/>
      <c r="I274" s="27" t="str">
        <f aca="false">IF(OR(D274="",D274=0),"",D274-$D$2)</f>
        <v/>
      </c>
      <c r="J274" s="14"/>
      <c r="K274" s="14"/>
      <c r="L274" s="16" t="str">
        <f aca="false">IF(B274="","",IF(K274&lt;&gt;"","Liberado","Pendiente"))</f>
        <v/>
      </c>
      <c r="M274" s="16" t="str">
        <f aca="true">IF(B274="","",IF(L274="Liberado",IF(OR(I274="",K274&lt;=I274),"A tiempo","Liberada tarde"),IF(J274="","Sin compromiso",IF(TODAY()&gt;J274,"VENCIDA",IF(AND(I274&lt;&gt;"",J274&gt;I274),"En riesgo","En gestión")))))</f>
        <v/>
      </c>
      <c r="N274" s="15" t="str">
        <f aca="false">IF(OR(B274="",I274=""),"",IF(K274&lt;&gt;"",I274-K274,IF(J274&lt;&gt;"",I274-J274,"")))</f>
        <v/>
      </c>
      <c r="O274" s="9"/>
    </row>
    <row r="275" customFormat="false" ht="15" hidden="false" customHeight="false" outlineLevel="0" collapsed="false">
      <c r="A275" s="9"/>
      <c r="B275" s="9"/>
      <c r="C275" s="18" t="str">
        <f aca="false">IF(B275="","",IFERROR(INDEX(LOOKAHEAD!$B$5:$B$204,MATCH(B275,LOOKAHEAD!$A$5:$A$204,0)),"ID no existe"))</f>
        <v/>
      </c>
      <c r="D275" s="27" t="str">
        <f aca="false">IF(B275="","",IFERROR(INDEX(LOOKAHEAD!$I$5:$I$204,MATCH(B275,LOOKAHEAD!$A$5:$A$204,0)),""))</f>
        <v/>
      </c>
      <c r="E275" s="9"/>
      <c r="F275" s="9"/>
      <c r="G275" s="9"/>
      <c r="H275" s="14"/>
      <c r="I275" s="27" t="str">
        <f aca="false">IF(OR(D275="",D275=0),"",D275-$D$2)</f>
        <v/>
      </c>
      <c r="J275" s="14"/>
      <c r="K275" s="14"/>
      <c r="L275" s="16" t="str">
        <f aca="false">IF(B275="","",IF(K275&lt;&gt;"","Liberado","Pendiente"))</f>
        <v/>
      </c>
      <c r="M275" s="16" t="str">
        <f aca="true">IF(B275="","",IF(L275="Liberado",IF(OR(I275="",K275&lt;=I275),"A tiempo","Liberada tarde"),IF(J275="","Sin compromiso",IF(TODAY()&gt;J275,"VENCIDA",IF(AND(I275&lt;&gt;"",J275&gt;I275),"En riesgo","En gestión")))))</f>
        <v/>
      </c>
      <c r="N275" s="15" t="str">
        <f aca="false">IF(OR(B275="",I275=""),"",IF(K275&lt;&gt;"",I275-K275,IF(J275&lt;&gt;"",I275-J275,"")))</f>
        <v/>
      </c>
      <c r="O275" s="9"/>
    </row>
    <row r="276" customFormat="false" ht="15" hidden="false" customHeight="false" outlineLevel="0" collapsed="false">
      <c r="A276" s="9"/>
      <c r="B276" s="9"/>
      <c r="C276" s="18" t="str">
        <f aca="false">IF(B276="","",IFERROR(INDEX(LOOKAHEAD!$B$5:$B$204,MATCH(B276,LOOKAHEAD!$A$5:$A$204,0)),"ID no existe"))</f>
        <v/>
      </c>
      <c r="D276" s="27" t="str">
        <f aca="false">IF(B276="","",IFERROR(INDEX(LOOKAHEAD!$I$5:$I$204,MATCH(B276,LOOKAHEAD!$A$5:$A$204,0)),""))</f>
        <v/>
      </c>
      <c r="E276" s="9"/>
      <c r="F276" s="9"/>
      <c r="G276" s="9"/>
      <c r="H276" s="14"/>
      <c r="I276" s="27" t="str">
        <f aca="false">IF(OR(D276="",D276=0),"",D276-$D$2)</f>
        <v/>
      </c>
      <c r="J276" s="14"/>
      <c r="K276" s="14"/>
      <c r="L276" s="16" t="str">
        <f aca="false">IF(B276="","",IF(K276&lt;&gt;"","Liberado","Pendiente"))</f>
        <v/>
      </c>
      <c r="M276" s="16" t="str">
        <f aca="true">IF(B276="","",IF(L276="Liberado",IF(OR(I276="",K276&lt;=I276),"A tiempo","Liberada tarde"),IF(J276="","Sin compromiso",IF(TODAY()&gt;J276,"VENCIDA",IF(AND(I276&lt;&gt;"",J276&gt;I276),"En riesgo","En gestión")))))</f>
        <v/>
      </c>
      <c r="N276" s="15" t="str">
        <f aca="false">IF(OR(B276="",I276=""),"",IF(K276&lt;&gt;"",I276-K276,IF(J276&lt;&gt;"",I276-J276,"")))</f>
        <v/>
      </c>
      <c r="O276" s="9"/>
    </row>
    <row r="277" customFormat="false" ht="15" hidden="false" customHeight="false" outlineLevel="0" collapsed="false">
      <c r="A277" s="9"/>
      <c r="B277" s="9"/>
      <c r="C277" s="18" t="str">
        <f aca="false">IF(B277="","",IFERROR(INDEX(LOOKAHEAD!$B$5:$B$204,MATCH(B277,LOOKAHEAD!$A$5:$A$204,0)),"ID no existe"))</f>
        <v/>
      </c>
      <c r="D277" s="27" t="str">
        <f aca="false">IF(B277="","",IFERROR(INDEX(LOOKAHEAD!$I$5:$I$204,MATCH(B277,LOOKAHEAD!$A$5:$A$204,0)),""))</f>
        <v/>
      </c>
      <c r="E277" s="9"/>
      <c r="F277" s="9"/>
      <c r="G277" s="9"/>
      <c r="H277" s="14"/>
      <c r="I277" s="27" t="str">
        <f aca="false">IF(OR(D277="",D277=0),"",D277-$D$2)</f>
        <v/>
      </c>
      <c r="J277" s="14"/>
      <c r="K277" s="14"/>
      <c r="L277" s="16" t="str">
        <f aca="false">IF(B277="","",IF(K277&lt;&gt;"","Liberado","Pendiente"))</f>
        <v/>
      </c>
      <c r="M277" s="16" t="str">
        <f aca="true">IF(B277="","",IF(L277="Liberado",IF(OR(I277="",K277&lt;=I277),"A tiempo","Liberada tarde"),IF(J277="","Sin compromiso",IF(TODAY()&gt;J277,"VENCIDA",IF(AND(I277&lt;&gt;"",J277&gt;I277),"En riesgo","En gestión")))))</f>
        <v/>
      </c>
      <c r="N277" s="15" t="str">
        <f aca="false">IF(OR(B277="",I277=""),"",IF(K277&lt;&gt;"",I277-K277,IF(J277&lt;&gt;"",I277-J277,"")))</f>
        <v/>
      </c>
      <c r="O277" s="9"/>
    </row>
    <row r="278" customFormat="false" ht="15" hidden="false" customHeight="false" outlineLevel="0" collapsed="false">
      <c r="A278" s="9"/>
      <c r="B278" s="9"/>
      <c r="C278" s="18" t="str">
        <f aca="false">IF(B278="","",IFERROR(INDEX(LOOKAHEAD!$B$5:$B$204,MATCH(B278,LOOKAHEAD!$A$5:$A$204,0)),"ID no existe"))</f>
        <v/>
      </c>
      <c r="D278" s="27" t="str">
        <f aca="false">IF(B278="","",IFERROR(INDEX(LOOKAHEAD!$I$5:$I$204,MATCH(B278,LOOKAHEAD!$A$5:$A$204,0)),""))</f>
        <v/>
      </c>
      <c r="E278" s="9"/>
      <c r="F278" s="9"/>
      <c r="G278" s="9"/>
      <c r="H278" s="14"/>
      <c r="I278" s="27" t="str">
        <f aca="false">IF(OR(D278="",D278=0),"",D278-$D$2)</f>
        <v/>
      </c>
      <c r="J278" s="14"/>
      <c r="K278" s="14"/>
      <c r="L278" s="16" t="str">
        <f aca="false">IF(B278="","",IF(K278&lt;&gt;"","Liberado","Pendiente"))</f>
        <v/>
      </c>
      <c r="M278" s="16" t="str">
        <f aca="true">IF(B278="","",IF(L278="Liberado",IF(OR(I278="",K278&lt;=I278),"A tiempo","Liberada tarde"),IF(J278="","Sin compromiso",IF(TODAY()&gt;J278,"VENCIDA",IF(AND(I278&lt;&gt;"",J278&gt;I278),"En riesgo","En gestión")))))</f>
        <v/>
      </c>
      <c r="N278" s="15" t="str">
        <f aca="false">IF(OR(B278="",I278=""),"",IF(K278&lt;&gt;"",I278-K278,IF(J278&lt;&gt;"",I278-J278,"")))</f>
        <v/>
      </c>
      <c r="O278" s="9"/>
    </row>
    <row r="279" customFormat="false" ht="15" hidden="false" customHeight="false" outlineLevel="0" collapsed="false">
      <c r="A279" s="9"/>
      <c r="B279" s="9"/>
      <c r="C279" s="18" t="str">
        <f aca="false">IF(B279="","",IFERROR(INDEX(LOOKAHEAD!$B$5:$B$204,MATCH(B279,LOOKAHEAD!$A$5:$A$204,0)),"ID no existe"))</f>
        <v/>
      </c>
      <c r="D279" s="27" t="str">
        <f aca="false">IF(B279="","",IFERROR(INDEX(LOOKAHEAD!$I$5:$I$204,MATCH(B279,LOOKAHEAD!$A$5:$A$204,0)),""))</f>
        <v/>
      </c>
      <c r="E279" s="9"/>
      <c r="F279" s="9"/>
      <c r="G279" s="9"/>
      <c r="H279" s="14"/>
      <c r="I279" s="27" t="str">
        <f aca="false">IF(OR(D279="",D279=0),"",D279-$D$2)</f>
        <v/>
      </c>
      <c r="J279" s="14"/>
      <c r="K279" s="14"/>
      <c r="L279" s="16" t="str">
        <f aca="false">IF(B279="","",IF(K279&lt;&gt;"","Liberado","Pendiente"))</f>
        <v/>
      </c>
      <c r="M279" s="16" t="str">
        <f aca="true">IF(B279="","",IF(L279="Liberado",IF(OR(I279="",K279&lt;=I279),"A tiempo","Liberada tarde"),IF(J279="","Sin compromiso",IF(TODAY()&gt;J279,"VENCIDA",IF(AND(I279&lt;&gt;"",J279&gt;I279),"En riesgo","En gestión")))))</f>
        <v/>
      </c>
      <c r="N279" s="15" t="str">
        <f aca="false">IF(OR(B279="",I279=""),"",IF(K279&lt;&gt;"",I279-K279,IF(J279&lt;&gt;"",I279-J279,"")))</f>
        <v/>
      </c>
      <c r="O279" s="9"/>
    </row>
    <row r="280" customFormat="false" ht="15" hidden="false" customHeight="false" outlineLevel="0" collapsed="false">
      <c r="A280" s="9"/>
      <c r="B280" s="9"/>
      <c r="C280" s="18" t="str">
        <f aca="false">IF(B280="","",IFERROR(INDEX(LOOKAHEAD!$B$5:$B$204,MATCH(B280,LOOKAHEAD!$A$5:$A$204,0)),"ID no existe"))</f>
        <v/>
      </c>
      <c r="D280" s="27" t="str">
        <f aca="false">IF(B280="","",IFERROR(INDEX(LOOKAHEAD!$I$5:$I$204,MATCH(B280,LOOKAHEAD!$A$5:$A$204,0)),""))</f>
        <v/>
      </c>
      <c r="E280" s="9"/>
      <c r="F280" s="9"/>
      <c r="G280" s="9"/>
      <c r="H280" s="14"/>
      <c r="I280" s="27" t="str">
        <f aca="false">IF(OR(D280="",D280=0),"",D280-$D$2)</f>
        <v/>
      </c>
      <c r="J280" s="14"/>
      <c r="K280" s="14"/>
      <c r="L280" s="16" t="str">
        <f aca="false">IF(B280="","",IF(K280&lt;&gt;"","Liberado","Pendiente"))</f>
        <v/>
      </c>
      <c r="M280" s="16" t="str">
        <f aca="true">IF(B280="","",IF(L280="Liberado",IF(OR(I280="",K280&lt;=I280),"A tiempo","Liberada tarde"),IF(J280="","Sin compromiso",IF(TODAY()&gt;J280,"VENCIDA",IF(AND(I280&lt;&gt;"",J280&gt;I280),"En riesgo","En gestión")))))</f>
        <v/>
      </c>
      <c r="N280" s="15" t="str">
        <f aca="false">IF(OR(B280="",I280=""),"",IF(K280&lt;&gt;"",I280-K280,IF(J280&lt;&gt;"",I280-J280,"")))</f>
        <v/>
      </c>
      <c r="O280" s="9"/>
    </row>
    <row r="281" customFormat="false" ht="15" hidden="false" customHeight="false" outlineLevel="0" collapsed="false">
      <c r="A281" s="9"/>
      <c r="B281" s="9"/>
      <c r="C281" s="18" t="str">
        <f aca="false">IF(B281="","",IFERROR(INDEX(LOOKAHEAD!$B$5:$B$204,MATCH(B281,LOOKAHEAD!$A$5:$A$204,0)),"ID no existe"))</f>
        <v/>
      </c>
      <c r="D281" s="27" t="str">
        <f aca="false">IF(B281="","",IFERROR(INDEX(LOOKAHEAD!$I$5:$I$204,MATCH(B281,LOOKAHEAD!$A$5:$A$204,0)),""))</f>
        <v/>
      </c>
      <c r="E281" s="9"/>
      <c r="F281" s="9"/>
      <c r="G281" s="9"/>
      <c r="H281" s="14"/>
      <c r="I281" s="27" t="str">
        <f aca="false">IF(OR(D281="",D281=0),"",D281-$D$2)</f>
        <v/>
      </c>
      <c r="J281" s="14"/>
      <c r="K281" s="14"/>
      <c r="L281" s="16" t="str">
        <f aca="false">IF(B281="","",IF(K281&lt;&gt;"","Liberado","Pendiente"))</f>
        <v/>
      </c>
      <c r="M281" s="16" t="str">
        <f aca="true">IF(B281="","",IF(L281="Liberado",IF(OR(I281="",K281&lt;=I281),"A tiempo","Liberada tarde"),IF(J281="","Sin compromiso",IF(TODAY()&gt;J281,"VENCIDA",IF(AND(I281&lt;&gt;"",J281&gt;I281),"En riesgo","En gestión")))))</f>
        <v/>
      </c>
      <c r="N281" s="15" t="str">
        <f aca="false">IF(OR(B281="",I281=""),"",IF(K281&lt;&gt;"",I281-K281,IF(J281&lt;&gt;"",I281-J281,"")))</f>
        <v/>
      </c>
      <c r="O281" s="9"/>
    </row>
    <row r="282" customFormat="false" ht="15" hidden="false" customHeight="false" outlineLevel="0" collapsed="false">
      <c r="A282" s="9"/>
      <c r="B282" s="9"/>
      <c r="C282" s="18" t="str">
        <f aca="false">IF(B282="","",IFERROR(INDEX(LOOKAHEAD!$B$5:$B$204,MATCH(B282,LOOKAHEAD!$A$5:$A$204,0)),"ID no existe"))</f>
        <v/>
      </c>
      <c r="D282" s="27" t="str">
        <f aca="false">IF(B282="","",IFERROR(INDEX(LOOKAHEAD!$I$5:$I$204,MATCH(B282,LOOKAHEAD!$A$5:$A$204,0)),""))</f>
        <v/>
      </c>
      <c r="E282" s="9"/>
      <c r="F282" s="9"/>
      <c r="G282" s="9"/>
      <c r="H282" s="14"/>
      <c r="I282" s="27" t="str">
        <f aca="false">IF(OR(D282="",D282=0),"",D282-$D$2)</f>
        <v/>
      </c>
      <c r="J282" s="14"/>
      <c r="K282" s="14"/>
      <c r="L282" s="16" t="str">
        <f aca="false">IF(B282="","",IF(K282&lt;&gt;"","Liberado","Pendiente"))</f>
        <v/>
      </c>
      <c r="M282" s="16" t="str">
        <f aca="true">IF(B282="","",IF(L282="Liberado",IF(OR(I282="",K282&lt;=I282),"A tiempo","Liberada tarde"),IF(J282="","Sin compromiso",IF(TODAY()&gt;J282,"VENCIDA",IF(AND(I282&lt;&gt;"",J282&gt;I282),"En riesgo","En gestión")))))</f>
        <v/>
      </c>
      <c r="N282" s="15" t="str">
        <f aca="false">IF(OR(B282="",I282=""),"",IF(K282&lt;&gt;"",I282-K282,IF(J282&lt;&gt;"",I282-J282,"")))</f>
        <v/>
      </c>
      <c r="O282" s="9"/>
    </row>
    <row r="283" customFormat="false" ht="15" hidden="false" customHeight="false" outlineLevel="0" collapsed="false">
      <c r="A283" s="9"/>
      <c r="B283" s="9"/>
      <c r="C283" s="18" t="str">
        <f aca="false">IF(B283="","",IFERROR(INDEX(LOOKAHEAD!$B$5:$B$204,MATCH(B283,LOOKAHEAD!$A$5:$A$204,0)),"ID no existe"))</f>
        <v/>
      </c>
      <c r="D283" s="27" t="str">
        <f aca="false">IF(B283="","",IFERROR(INDEX(LOOKAHEAD!$I$5:$I$204,MATCH(B283,LOOKAHEAD!$A$5:$A$204,0)),""))</f>
        <v/>
      </c>
      <c r="E283" s="9"/>
      <c r="F283" s="9"/>
      <c r="G283" s="9"/>
      <c r="H283" s="14"/>
      <c r="I283" s="27" t="str">
        <f aca="false">IF(OR(D283="",D283=0),"",D283-$D$2)</f>
        <v/>
      </c>
      <c r="J283" s="14"/>
      <c r="K283" s="14"/>
      <c r="L283" s="16" t="str">
        <f aca="false">IF(B283="","",IF(K283&lt;&gt;"","Liberado","Pendiente"))</f>
        <v/>
      </c>
      <c r="M283" s="16" t="str">
        <f aca="true">IF(B283="","",IF(L283="Liberado",IF(OR(I283="",K283&lt;=I283),"A tiempo","Liberada tarde"),IF(J283="","Sin compromiso",IF(TODAY()&gt;J283,"VENCIDA",IF(AND(I283&lt;&gt;"",J283&gt;I283),"En riesgo","En gestión")))))</f>
        <v/>
      </c>
      <c r="N283" s="15" t="str">
        <f aca="false">IF(OR(B283="",I283=""),"",IF(K283&lt;&gt;"",I283-K283,IF(J283&lt;&gt;"",I283-J283,"")))</f>
        <v/>
      </c>
      <c r="O283" s="9"/>
    </row>
    <row r="284" customFormat="false" ht="15" hidden="false" customHeight="false" outlineLevel="0" collapsed="false">
      <c r="A284" s="9"/>
      <c r="B284" s="9"/>
      <c r="C284" s="18" t="str">
        <f aca="false">IF(B284="","",IFERROR(INDEX(LOOKAHEAD!$B$5:$B$204,MATCH(B284,LOOKAHEAD!$A$5:$A$204,0)),"ID no existe"))</f>
        <v/>
      </c>
      <c r="D284" s="27" t="str">
        <f aca="false">IF(B284="","",IFERROR(INDEX(LOOKAHEAD!$I$5:$I$204,MATCH(B284,LOOKAHEAD!$A$5:$A$204,0)),""))</f>
        <v/>
      </c>
      <c r="E284" s="9"/>
      <c r="F284" s="9"/>
      <c r="G284" s="9"/>
      <c r="H284" s="14"/>
      <c r="I284" s="27" t="str">
        <f aca="false">IF(OR(D284="",D284=0),"",D284-$D$2)</f>
        <v/>
      </c>
      <c r="J284" s="14"/>
      <c r="K284" s="14"/>
      <c r="L284" s="16" t="str">
        <f aca="false">IF(B284="","",IF(K284&lt;&gt;"","Liberado","Pendiente"))</f>
        <v/>
      </c>
      <c r="M284" s="16" t="str">
        <f aca="true">IF(B284="","",IF(L284="Liberado",IF(OR(I284="",K284&lt;=I284),"A tiempo","Liberada tarde"),IF(J284="","Sin compromiso",IF(TODAY()&gt;J284,"VENCIDA",IF(AND(I284&lt;&gt;"",J284&gt;I284),"En riesgo","En gestión")))))</f>
        <v/>
      </c>
      <c r="N284" s="15" t="str">
        <f aca="false">IF(OR(B284="",I284=""),"",IF(K284&lt;&gt;"",I284-K284,IF(J284&lt;&gt;"",I284-J284,"")))</f>
        <v/>
      </c>
      <c r="O284" s="9"/>
    </row>
    <row r="285" customFormat="false" ht="15" hidden="false" customHeight="false" outlineLevel="0" collapsed="false">
      <c r="A285" s="9"/>
      <c r="B285" s="9"/>
      <c r="C285" s="18" t="str">
        <f aca="false">IF(B285="","",IFERROR(INDEX(LOOKAHEAD!$B$5:$B$204,MATCH(B285,LOOKAHEAD!$A$5:$A$204,0)),"ID no existe"))</f>
        <v/>
      </c>
      <c r="D285" s="27" t="str">
        <f aca="false">IF(B285="","",IFERROR(INDEX(LOOKAHEAD!$I$5:$I$204,MATCH(B285,LOOKAHEAD!$A$5:$A$204,0)),""))</f>
        <v/>
      </c>
      <c r="E285" s="9"/>
      <c r="F285" s="9"/>
      <c r="G285" s="9"/>
      <c r="H285" s="14"/>
      <c r="I285" s="27" t="str">
        <f aca="false">IF(OR(D285="",D285=0),"",D285-$D$2)</f>
        <v/>
      </c>
      <c r="J285" s="14"/>
      <c r="K285" s="14"/>
      <c r="L285" s="16" t="str">
        <f aca="false">IF(B285="","",IF(K285&lt;&gt;"","Liberado","Pendiente"))</f>
        <v/>
      </c>
      <c r="M285" s="16" t="str">
        <f aca="true">IF(B285="","",IF(L285="Liberado",IF(OR(I285="",K285&lt;=I285),"A tiempo","Liberada tarde"),IF(J285="","Sin compromiso",IF(TODAY()&gt;J285,"VENCIDA",IF(AND(I285&lt;&gt;"",J285&gt;I285),"En riesgo","En gestión")))))</f>
        <v/>
      </c>
      <c r="N285" s="15" t="str">
        <f aca="false">IF(OR(B285="",I285=""),"",IF(K285&lt;&gt;"",I285-K285,IF(J285&lt;&gt;"",I285-J285,"")))</f>
        <v/>
      </c>
      <c r="O285" s="9"/>
    </row>
    <row r="286" customFormat="false" ht="15" hidden="false" customHeight="false" outlineLevel="0" collapsed="false">
      <c r="A286" s="9"/>
      <c r="B286" s="9"/>
      <c r="C286" s="18" t="str">
        <f aca="false">IF(B286="","",IFERROR(INDEX(LOOKAHEAD!$B$5:$B$204,MATCH(B286,LOOKAHEAD!$A$5:$A$204,0)),"ID no existe"))</f>
        <v/>
      </c>
      <c r="D286" s="27" t="str">
        <f aca="false">IF(B286="","",IFERROR(INDEX(LOOKAHEAD!$I$5:$I$204,MATCH(B286,LOOKAHEAD!$A$5:$A$204,0)),""))</f>
        <v/>
      </c>
      <c r="E286" s="9"/>
      <c r="F286" s="9"/>
      <c r="G286" s="9"/>
      <c r="H286" s="14"/>
      <c r="I286" s="27" t="str">
        <f aca="false">IF(OR(D286="",D286=0),"",D286-$D$2)</f>
        <v/>
      </c>
      <c r="J286" s="14"/>
      <c r="K286" s="14"/>
      <c r="L286" s="16" t="str">
        <f aca="false">IF(B286="","",IF(K286&lt;&gt;"","Liberado","Pendiente"))</f>
        <v/>
      </c>
      <c r="M286" s="16" t="str">
        <f aca="true">IF(B286="","",IF(L286="Liberado",IF(OR(I286="",K286&lt;=I286),"A tiempo","Liberada tarde"),IF(J286="","Sin compromiso",IF(TODAY()&gt;J286,"VENCIDA",IF(AND(I286&lt;&gt;"",J286&gt;I286),"En riesgo","En gestión")))))</f>
        <v/>
      </c>
      <c r="N286" s="15" t="str">
        <f aca="false">IF(OR(B286="",I286=""),"",IF(K286&lt;&gt;"",I286-K286,IF(J286&lt;&gt;"",I286-J286,"")))</f>
        <v/>
      </c>
      <c r="O286" s="9"/>
    </row>
    <row r="287" customFormat="false" ht="15" hidden="false" customHeight="false" outlineLevel="0" collapsed="false">
      <c r="A287" s="9"/>
      <c r="B287" s="9"/>
      <c r="C287" s="18" t="str">
        <f aca="false">IF(B287="","",IFERROR(INDEX(LOOKAHEAD!$B$5:$B$204,MATCH(B287,LOOKAHEAD!$A$5:$A$204,0)),"ID no existe"))</f>
        <v/>
      </c>
      <c r="D287" s="27" t="str">
        <f aca="false">IF(B287="","",IFERROR(INDEX(LOOKAHEAD!$I$5:$I$204,MATCH(B287,LOOKAHEAD!$A$5:$A$204,0)),""))</f>
        <v/>
      </c>
      <c r="E287" s="9"/>
      <c r="F287" s="9"/>
      <c r="G287" s="9"/>
      <c r="H287" s="14"/>
      <c r="I287" s="27" t="str">
        <f aca="false">IF(OR(D287="",D287=0),"",D287-$D$2)</f>
        <v/>
      </c>
      <c r="J287" s="14"/>
      <c r="K287" s="14"/>
      <c r="L287" s="16" t="str">
        <f aca="false">IF(B287="","",IF(K287&lt;&gt;"","Liberado","Pendiente"))</f>
        <v/>
      </c>
      <c r="M287" s="16" t="str">
        <f aca="true">IF(B287="","",IF(L287="Liberado",IF(OR(I287="",K287&lt;=I287),"A tiempo","Liberada tarde"),IF(J287="","Sin compromiso",IF(TODAY()&gt;J287,"VENCIDA",IF(AND(I287&lt;&gt;"",J287&gt;I287),"En riesgo","En gestión")))))</f>
        <v/>
      </c>
      <c r="N287" s="15" t="str">
        <f aca="false">IF(OR(B287="",I287=""),"",IF(K287&lt;&gt;"",I287-K287,IF(J287&lt;&gt;"",I287-J287,"")))</f>
        <v/>
      </c>
      <c r="O287" s="9"/>
    </row>
    <row r="288" customFormat="false" ht="15" hidden="false" customHeight="false" outlineLevel="0" collapsed="false">
      <c r="A288" s="9"/>
      <c r="B288" s="9"/>
      <c r="C288" s="18" t="str">
        <f aca="false">IF(B288="","",IFERROR(INDEX(LOOKAHEAD!$B$5:$B$204,MATCH(B288,LOOKAHEAD!$A$5:$A$204,0)),"ID no existe"))</f>
        <v/>
      </c>
      <c r="D288" s="27" t="str">
        <f aca="false">IF(B288="","",IFERROR(INDEX(LOOKAHEAD!$I$5:$I$204,MATCH(B288,LOOKAHEAD!$A$5:$A$204,0)),""))</f>
        <v/>
      </c>
      <c r="E288" s="9"/>
      <c r="F288" s="9"/>
      <c r="G288" s="9"/>
      <c r="H288" s="14"/>
      <c r="I288" s="27" t="str">
        <f aca="false">IF(OR(D288="",D288=0),"",D288-$D$2)</f>
        <v/>
      </c>
      <c r="J288" s="14"/>
      <c r="K288" s="14"/>
      <c r="L288" s="16" t="str">
        <f aca="false">IF(B288="","",IF(K288&lt;&gt;"","Liberado","Pendiente"))</f>
        <v/>
      </c>
      <c r="M288" s="16" t="str">
        <f aca="true">IF(B288="","",IF(L288="Liberado",IF(OR(I288="",K288&lt;=I288),"A tiempo","Liberada tarde"),IF(J288="","Sin compromiso",IF(TODAY()&gt;J288,"VENCIDA",IF(AND(I288&lt;&gt;"",J288&gt;I288),"En riesgo","En gestión")))))</f>
        <v/>
      </c>
      <c r="N288" s="15" t="str">
        <f aca="false">IF(OR(B288="",I288=""),"",IF(K288&lt;&gt;"",I288-K288,IF(J288&lt;&gt;"",I288-J288,"")))</f>
        <v/>
      </c>
      <c r="O288" s="9"/>
    </row>
    <row r="289" customFormat="false" ht="15" hidden="false" customHeight="false" outlineLevel="0" collapsed="false">
      <c r="A289" s="9"/>
      <c r="B289" s="9"/>
      <c r="C289" s="18" t="str">
        <f aca="false">IF(B289="","",IFERROR(INDEX(LOOKAHEAD!$B$5:$B$204,MATCH(B289,LOOKAHEAD!$A$5:$A$204,0)),"ID no existe"))</f>
        <v/>
      </c>
      <c r="D289" s="27" t="str">
        <f aca="false">IF(B289="","",IFERROR(INDEX(LOOKAHEAD!$I$5:$I$204,MATCH(B289,LOOKAHEAD!$A$5:$A$204,0)),""))</f>
        <v/>
      </c>
      <c r="E289" s="9"/>
      <c r="F289" s="9"/>
      <c r="G289" s="9"/>
      <c r="H289" s="14"/>
      <c r="I289" s="27" t="str">
        <f aca="false">IF(OR(D289="",D289=0),"",D289-$D$2)</f>
        <v/>
      </c>
      <c r="J289" s="14"/>
      <c r="K289" s="14"/>
      <c r="L289" s="16" t="str">
        <f aca="false">IF(B289="","",IF(K289&lt;&gt;"","Liberado","Pendiente"))</f>
        <v/>
      </c>
      <c r="M289" s="16" t="str">
        <f aca="true">IF(B289="","",IF(L289="Liberado",IF(OR(I289="",K289&lt;=I289),"A tiempo","Liberada tarde"),IF(J289="","Sin compromiso",IF(TODAY()&gt;J289,"VENCIDA",IF(AND(I289&lt;&gt;"",J289&gt;I289),"En riesgo","En gestión")))))</f>
        <v/>
      </c>
      <c r="N289" s="15" t="str">
        <f aca="false">IF(OR(B289="",I289=""),"",IF(K289&lt;&gt;"",I289-K289,IF(J289&lt;&gt;"",I289-J289,"")))</f>
        <v/>
      </c>
      <c r="O289" s="9"/>
    </row>
    <row r="290" customFormat="false" ht="15" hidden="false" customHeight="false" outlineLevel="0" collapsed="false">
      <c r="A290" s="9"/>
      <c r="B290" s="9"/>
      <c r="C290" s="18" t="str">
        <f aca="false">IF(B290="","",IFERROR(INDEX(LOOKAHEAD!$B$5:$B$204,MATCH(B290,LOOKAHEAD!$A$5:$A$204,0)),"ID no existe"))</f>
        <v/>
      </c>
      <c r="D290" s="27" t="str">
        <f aca="false">IF(B290="","",IFERROR(INDEX(LOOKAHEAD!$I$5:$I$204,MATCH(B290,LOOKAHEAD!$A$5:$A$204,0)),""))</f>
        <v/>
      </c>
      <c r="E290" s="9"/>
      <c r="F290" s="9"/>
      <c r="G290" s="9"/>
      <c r="H290" s="14"/>
      <c r="I290" s="27" t="str">
        <f aca="false">IF(OR(D290="",D290=0),"",D290-$D$2)</f>
        <v/>
      </c>
      <c r="J290" s="14"/>
      <c r="K290" s="14"/>
      <c r="L290" s="16" t="str">
        <f aca="false">IF(B290="","",IF(K290&lt;&gt;"","Liberado","Pendiente"))</f>
        <v/>
      </c>
      <c r="M290" s="16" t="str">
        <f aca="true">IF(B290="","",IF(L290="Liberado",IF(OR(I290="",K290&lt;=I290),"A tiempo","Liberada tarde"),IF(J290="","Sin compromiso",IF(TODAY()&gt;J290,"VENCIDA",IF(AND(I290&lt;&gt;"",J290&gt;I290),"En riesgo","En gestión")))))</f>
        <v/>
      </c>
      <c r="N290" s="15" t="str">
        <f aca="false">IF(OR(B290="",I290=""),"",IF(K290&lt;&gt;"",I290-K290,IF(J290&lt;&gt;"",I290-J290,"")))</f>
        <v/>
      </c>
      <c r="O290" s="9"/>
    </row>
    <row r="291" customFormat="false" ht="15" hidden="false" customHeight="false" outlineLevel="0" collapsed="false">
      <c r="A291" s="9"/>
      <c r="B291" s="9"/>
      <c r="C291" s="18" t="str">
        <f aca="false">IF(B291="","",IFERROR(INDEX(LOOKAHEAD!$B$5:$B$204,MATCH(B291,LOOKAHEAD!$A$5:$A$204,0)),"ID no existe"))</f>
        <v/>
      </c>
      <c r="D291" s="27" t="str">
        <f aca="false">IF(B291="","",IFERROR(INDEX(LOOKAHEAD!$I$5:$I$204,MATCH(B291,LOOKAHEAD!$A$5:$A$204,0)),""))</f>
        <v/>
      </c>
      <c r="E291" s="9"/>
      <c r="F291" s="9"/>
      <c r="G291" s="9"/>
      <c r="H291" s="14"/>
      <c r="I291" s="27" t="str">
        <f aca="false">IF(OR(D291="",D291=0),"",D291-$D$2)</f>
        <v/>
      </c>
      <c r="J291" s="14"/>
      <c r="K291" s="14"/>
      <c r="L291" s="16" t="str">
        <f aca="false">IF(B291="","",IF(K291&lt;&gt;"","Liberado","Pendiente"))</f>
        <v/>
      </c>
      <c r="M291" s="16" t="str">
        <f aca="true">IF(B291="","",IF(L291="Liberado",IF(OR(I291="",K291&lt;=I291),"A tiempo","Liberada tarde"),IF(J291="","Sin compromiso",IF(TODAY()&gt;J291,"VENCIDA",IF(AND(I291&lt;&gt;"",J291&gt;I291),"En riesgo","En gestión")))))</f>
        <v/>
      </c>
      <c r="N291" s="15" t="str">
        <f aca="false">IF(OR(B291="",I291=""),"",IF(K291&lt;&gt;"",I291-K291,IF(J291&lt;&gt;"",I291-J291,"")))</f>
        <v/>
      </c>
      <c r="O291" s="9"/>
    </row>
    <row r="292" customFormat="false" ht="15" hidden="false" customHeight="false" outlineLevel="0" collapsed="false">
      <c r="A292" s="9"/>
      <c r="B292" s="9"/>
      <c r="C292" s="18" t="str">
        <f aca="false">IF(B292="","",IFERROR(INDEX(LOOKAHEAD!$B$5:$B$204,MATCH(B292,LOOKAHEAD!$A$5:$A$204,0)),"ID no existe"))</f>
        <v/>
      </c>
      <c r="D292" s="27" t="str">
        <f aca="false">IF(B292="","",IFERROR(INDEX(LOOKAHEAD!$I$5:$I$204,MATCH(B292,LOOKAHEAD!$A$5:$A$204,0)),""))</f>
        <v/>
      </c>
      <c r="E292" s="9"/>
      <c r="F292" s="9"/>
      <c r="G292" s="9"/>
      <c r="H292" s="14"/>
      <c r="I292" s="27" t="str">
        <f aca="false">IF(OR(D292="",D292=0),"",D292-$D$2)</f>
        <v/>
      </c>
      <c r="J292" s="14"/>
      <c r="K292" s="14"/>
      <c r="L292" s="16" t="str">
        <f aca="false">IF(B292="","",IF(K292&lt;&gt;"","Liberado","Pendiente"))</f>
        <v/>
      </c>
      <c r="M292" s="16" t="str">
        <f aca="true">IF(B292="","",IF(L292="Liberado",IF(OR(I292="",K292&lt;=I292),"A tiempo","Liberada tarde"),IF(J292="","Sin compromiso",IF(TODAY()&gt;J292,"VENCIDA",IF(AND(I292&lt;&gt;"",J292&gt;I292),"En riesgo","En gestión")))))</f>
        <v/>
      </c>
      <c r="N292" s="15" t="str">
        <f aca="false">IF(OR(B292="",I292=""),"",IF(K292&lt;&gt;"",I292-K292,IF(J292&lt;&gt;"",I292-J292,"")))</f>
        <v/>
      </c>
      <c r="O292" s="9"/>
    </row>
    <row r="293" customFormat="false" ht="15" hidden="false" customHeight="false" outlineLevel="0" collapsed="false">
      <c r="A293" s="9"/>
      <c r="B293" s="9"/>
      <c r="C293" s="18" t="str">
        <f aca="false">IF(B293="","",IFERROR(INDEX(LOOKAHEAD!$B$5:$B$204,MATCH(B293,LOOKAHEAD!$A$5:$A$204,0)),"ID no existe"))</f>
        <v/>
      </c>
      <c r="D293" s="27" t="str">
        <f aca="false">IF(B293="","",IFERROR(INDEX(LOOKAHEAD!$I$5:$I$204,MATCH(B293,LOOKAHEAD!$A$5:$A$204,0)),""))</f>
        <v/>
      </c>
      <c r="E293" s="9"/>
      <c r="F293" s="9"/>
      <c r="G293" s="9"/>
      <c r="H293" s="14"/>
      <c r="I293" s="27" t="str">
        <f aca="false">IF(OR(D293="",D293=0),"",D293-$D$2)</f>
        <v/>
      </c>
      <c r="J293" s="14"/>
      <c r="K293" s="14"/>
      <c r="L293" s="16" t="str">
        <f aca="false">IF(B293="","",IF(K293&lt;&gt;"","Liberado","Pendiente"))</f>
        <v/>
      </c>
      <c r="M293" s="16" t="str">
        <f aca="true">IF(B293="","",IF(L293="Liberado",IF(OR(I293="",K293&lt;=I293),"A tiempo","Liberada tarde"),IF(J293="","Sin compromiso",IF(TODAY()&gt;J293,"VENCIDA",IF(AND(I293&lt;&gt;"",J293&gt;I293),"En riesgo","En gestión")))))</f>
        <v/>
      </c>
      <c r="N293" s="15" t="str">
        <f aca="false">IF(OR(B293="",I293=""),"",IF(K293&lt;&gt;"",I293-K293,IF(J293&lt;&gt;"",I293-J293,"")))</f>
        <v/>
      </c>
      <c r="O293" s="9"/>
    </row>
    <row r="294" customFormat="false" ht="15" hidden="false" customHeight="false" outlineLevel="0" collapsed="false">
      <c r="A294" s="9"/>
      <c r="B294" s="9"/>
      <c r="C294" s="18" t="str">
        <f aca="false">IF(B294="","",IFERROR(INDEX(LOOKAHEAD!$B$5:$B$204,MATCH(B294,LOOKAHEAD!$A$5:$A$204,0)),"ID no existe"))</f>
        <v/>
      </c>
      <c r="D294" s="27" t="str">
        <f aca="false">IF(B294="","",IFERROR(INDEX(LOOKAHEAD!$I$5:$I$204,MATCH(B294,LOOKAHEAD!$A$5:$A$204,0)),""))</f>
        <v/>
      </c>
      <c r="E294" s="9"/>
      <c r="F294" s="9"/>
      <c r="G294" s="9"/>
      <c r="H294" s="14"/>
      <c r="I294" s="27" t="str">
        <f aca="false">IF(OR(D294="",D294=0),"",D294-$D$2)</f>
        <v/>
      </c>
      <c r="J294" s="14"/>
      <c r="K294" s="14"/>
      <c r="L294" s="16" t="str">
        <f aca="false">IF(B294="","",IF(K294&lt;&gt;"","Liberado","Pendiente"))</f>
        <v/>
      </c>
      <c r="M294" s="16" t="str">
        <f aca="true">IF(B294="","",IF(L294="Liberado",IF(OR(I294="",K294&lt;=I294),"A tiempo","Liberada tarde"),IF(J294="","Sin compromiso",IF(TODAY()&gt;J294,"VENCIDA",IF(AND(I294&lt;&gt;"",J294&gt;I294),"En riesgo","En gestión")))))</f>
        <v/>
      </c>
      <c r="N294" s="15" t="str">
        <f aca="false">IF(OR(B294="",I294=""),"",IF(K294&lt;&gt;"",I294-K294,IF(J294&lt;&gt;"",I294-J294,"")))</f>
        <v/>
      </c>
      <c r="O294" s="9"/>
    </row>
    <row r="295" customFormat="false" ht="15" hidden="false" customHeight="false" outlineLevel="0" collapsed="false">
      <c r="A295" s="9"/>
      <c r="B295" s="9"/>
      <c r="C295" s="18" t="str">
        <f aca="false">IF(B295="","",IFERROR(INDEX(LOOKAHEAD!$B$5:$B$204,MATCH(B295,LOOKAHEAD!$A$5:$A$204,0)),"ID no existe"))</f>
        <v/>
      </c>
      <c r="D295" s="27" t="str">
        <f aca="false">IF(B295="","",IFERROR(INDEX(LOOKAHEAD!$I$5:$I$204,MATCH(B295,LOOKAHEAD!$A$5:$A$204,0)),""))</f>
        <v/>
      </c>
      <c r="E295" s="9"/>
      <c r="F295" s="9"/>
      <c r="G295" s="9"/>
      <c r="H295" s="14"/>
      <c r="I295" s="27" t="str">
        <f aca="false">IF(OR(D295="",D295=0),"",D295-$D$2)</f>
        <v/>
      </c>
      <c r="J295" s="14"/>
      <c r="K295" s="14"/>
      <c r="L295" s="16" t="str">
        <f aca="false">IF(B295="","",IF(K295&lt;&gt;"","Liberado","Pendiente"))</f>
        <v/>
      </c>
      <c r="M295" s="16" t="str">
        <f aca="true">IF(B295="","",IF(L295="Liberado",IF(OR(I295="",K295&lt;=I295),"A tiempo","Liberada tarde"),IF(J295="","Sin compromiso",IF(TODAY()&gt;J295,"VENCIDA",IF(AND(I295&lt;&gt;"",J295&gt;I295),"En riesgo","En gestión")))))</f>
        <v/>
      </c>
      <c r="N295" s="15" t="str">
        <f aca="false">IF(OR(B295="",I295=""),"",IF(K295&lt;&gt;"",I295-K295,IF(J295&lt;&gt;"",I295-J295,"")))</f>
        <v/>
      </c>
      <c r="O295" s="9"/>
    </row>
    <row r="296" customFormat="false" ht="15" hidden="false" customHeight="false" outlineLevel="0" collapsed="false">
      <c r="A296" s="9"/>
      <c r="B296" s="9"/>
      <c r="C296" s="18" t="str">
        <f aca="false">IF(B296="","",IFERROR(INDEX(LOOKAHEAD!$B$5:$B$204,MATCH(B296,LOOKAHEAD!$A$5:$A$204,0)),"ID no existe"))</f>
        <v/>
      </c>
      <c r="D296" s="27" t="str">
        <f aca="false">IF(B296="","",IFERROR(INDEX(LOOKAHEAD!$I$5:$I$204,MATCH(B296,LOOKAHEAD!$A$5:$A$204,0)),""))</f>
        <v/>
      </c>
      <c r="E296" s="9"/>
      <c r="F296" s="9"/>
      <c r="G296" s="9"/>
      <c r="H296" s="14"/>
      <c r="I296" s="27" t="str">
        <f aca="false">IF(OR(D296="",D296=0),"",D296-$D$2)</f>
        <v/>
      </c>
      <c r="J296" s="14"/>
      <c r="K296" s="14"/>
      <c r="L296" s="16" t="str">
        <f aca="false">IF(B296="","",IF(K296&lt;&gt;"","Liberado","Pendiente"))</f>
        <v/>
      </c>
      <c r="M296" s="16" t="str">
        <f aca="true">IF(B296="","",IF(L296="Liberado",IF(OR(I296="",K296&lt;=I296),"A tiempo","Liberada tarde"),IF(J296="","Sin compromiso",IF(TODAY()&gt;J296,"VENCIDA",IF(AND(I296&lt;&gt;"",J296&gt;I296),"En riesgo","En gestión")))))</f>
        <v/>
      </c>
      <c r="N296" s="15" t="str">
        <f aca="false">IF(OR(B296="",I296=""),"",IF(K296&lt;&gt;"",I296-K296,IF(J296&lt;&gt;"",I296-J296,"")))</f>
        <v/>
      </c>
      <c r="O296" s="9"/>
    </row>
    <row r="297" customFormat="false" ht="15" hidden="false" customHeight="false" outlineLevel="0" collapsed="false">
      <c r="A297" s="9"/>
      <c r="B297" s="9"/>
      <c r="C297" s="18" t="str">
        <f aca="false">IF(B297="","",IFERROR(INDEX(LOOKAHEAD!$B$5:$B$204,MATCH(B297,LOOKAHEAD!$A$5:$A$204,0)),"ID no existe"))</f>
        <v/>
      </c>
      <c r="D297" s="27" t="str">
        <f aca="false">IF(B297="","",IFERROR(INDEX(LOOKAHEAD!$I$5:$I$204,MATCH(B297,LOOKAHEAD!$A$5:$A$204,0)),""))</f>
        <v/>
      </c>
      <c r="E297" s="9"/>
      <c r="F297" s="9"/>
      <c r="G297" s="9"/>
      <c r="H297" s="14"/>
      <c r="I297" s="27" t="str">
        <f aca="false">IF(OR(D297="",D297=0),"",D297-$D$2)</f>
        <v/>
      </c>
      <c r="J297" s="14"/>
      <c r="K297" s="14"/>
      <c r="L297" s="16" t="str">
        <f aca="false">IF(B297="","",IF(K297&lt;&gt;"","Liberado","Pendiente"))</f>
        <v/>
      </c>
      <c r="M297" s="16" t="str">
        <f aca="true">IF(B297="","",IF(L297="Liberado",IF(OR(I297="",K297&lt;=I297),"A tiempo","Liberada tarde"),IF(J297="","Sin compromiso",IF(TODAY()&gt;J297,"VENCIDA",IF(AND(I297&lt;&gt;"",J297&gt;I297),"En riesgo","En gestión")))))</f>
        <v/>
      </c>
      <c r="N297" s="15" t="str">
        <f aca="false">IF(OR(B297="",I297=""),"",IF(K297&lt;&gt;"",I297-K297,IF(J297&lt;&gt;"",I297-J297,"")))</f>
        <v/>
      </c>
      <c r="O297" s="9"/>
    </row>
    <row r="298" customFormat="false" ht="15" hidden="false" customHeight="false" outlineLevel="0" collapsed="false">
      <c r="A298" s="9"/>
      <c r="B298" s="9"/>
      <c r="C298" s="18" t="str">
        <f aca="false">IF(B298="","",IFERROR(INDEX(LOOKAHEAD!$B$5:$B$204,MATCH(B298,LOOKAHEAD!$A$5:$A$204,0)),"ID no existe"))</f>
        <v/>
      </c>
      <c r="D298" s="27" t="str">
        <f aca="false">IF(B298="","",IFERROR(INDEX(LOOKAHEAD!$I$5:$I$204,MATCH(B298,LOOKAHEAD!$A$5:$A$204,0)),""))</f>
        <v/>
      </c>
      <c r="E298" s="9"/>
      <c r="F298" s="9"/>
      <c r="G298" s="9"/>
      <c r="H298" s="14"/>
      <c r="I298" s="27" t="str">
        <f aca="false">IF(OR(D298="",D298=0),"",D298-$D$2)</f>
        <v/>
      </c>
      <c r="J298" s="14"/>
      <c r="K298" s="14"/>
      <c r="L298" s="16" t="str">
        <f aca="false">IF(B298="","",IF(K298&lt;&gt;"","Liberado","Pendiente"))</f>
        <v/>
      </c>
      <c r="M298" s="16" t="str">
        <f aca="true">IF(B298="","",IF(L298="Liberado",IF(OR(I298="",K298&lt;=I298),"A tiempo","Liberada tarde"),IF(J298="","Sin compromiso",IF(TODAY()&gt;J298,"VENCIDA",IF(AND(I298&lt;&gt;"",J298&gt;I298),"En riesgo","En gestión")))))</f>
        <v/>
      </c>
      <c r="N298" s="15" t="str">
        <f aca="false">IF(OR(B298="",I298=""),"",IF(K298&lt;&gt;"",I298-K298,IF(J298&lt;&gt;"",I298-J298,"")))</f>
        <v/>
      </c>
      <c r="O298" s="9"/>
    </row>
    <row r="299" customFormat="false" ht="15" hidden="false" customHeight="false" outlineLevel="0" collapsed="false">
      <c r="A299" s="9"/>
      <c r="B299" s="9"/>
      <c r="C299" s="18" t="str">
        <f aca="false">IF(B299="","",IFERROR(INDEX(LOOKAHEAD!$B$5:$B$204,MATCH(B299,LOOKAHEAD!$A$5:$A$204,0)),"ID no existe"))</f>
        <v/>
      </c>
      <c r="D299" s="27" t="str">
        <f aca="false">IF(B299="","",IFERROR(INDEX(LOOKAHEAD!$I$5:$I$204,MATCH(B299,LOOKAHEAD!$A$5:$A$204,0)),""))</f>
        <v/>
      </c>
      <c r="E299" s="9"/>
      <c r="F299" s="9"/>
      <c r="G299" s="9"/>
      <c r="H299" s="14"/>
      <c r="I299" s="27" t="str">
        <f aca="false">IF(OR(D299="",D299=0),"",D299-$D$2)</f>
        <v/>
      </c>
      <c r="J299" s="14"/>
      <c r="K299" s="14"/>
      <c r="L299" s="16" t="str">
        <f aca="false">IF(B299="","",IF(K299&lt;&gt;"","Liberado","Pendiente"))</f>
        <v/>
      </c>
      <c r="M299" s="16" t="str">
        <f aca="true">IF(B299="","",IF(L299="Liberado",IF(OR(I299="",K299&lt;=I299),"A tiempo","Liberada tarde"),IF(J299="","Sin compromiso",IF(TODAY()&gt;J299,"VENCIDA",IF(AND(I299&lt;&gt;"",J299&gt;I299),"En riesgo","En gestión")))))</f>
        <v/>
      </c>
      <c r="N299" s="15" t="str">
        <f aca="false">IF(OR(B299="",I299=""),"",IF(K299&lt;&gt;"",I299-K299,IF(J299&lt;&gt;"",I299-J299,"")))</f>
        <v/>
      </c>
      <c r="O299" s="9"/>
    </row>
    <row r="300" customFormat="false" ht="15" hidden="false" customHeight="false" outlineLevel="0" collapsed="false">
      <c r="A300" s="9"/>
      <c r="B300" s="9"/>
      <c r="C300" s="18" t="str">
        <f aca="false">IF(B300="","",IFERROR(INDEX(LOOKAHEAD!$B$5:$B$204,MATCH(B300,LOOKAHEAD!$A$5:$A$204,0)),"ID no existe"))</f>
        <v/>
      </c>
      <c r="D300" s="27" t="str">
        <f aca="false">IF(B300="","",IFERROR(INDEX(LOOKAHEAD!$I$5:$I$204,MATCH(B300,LOOKAHEAD!$A$5:$A$204,0)),""))</f>
        <v/>
      </c>
      <c r="E300" s="9"/>
      <c r="F300" s="9"/>
      <c r="G300" s="9"/>
      <c r="H300" s="14"/>
      <c r="I300" s="27" t="str">
        <f aca="false">IF(OR(D300="",D300=0),"",D300-$D$2)</f>
        <v/>
      </c>
      <c r="J300" s="14"/>
      <c r="K300" s="14"/>
      <c r="L300" s="16" t="str">
        <f aca="false">IF(B300="","",IF(K300&lt;&gt;"","Liberado","Pendiente"))</f>
        <v/>
      </c>
      <c r="M300" s="16" t="str">
        <f aca="true">IF(B300="","",IF(L300="Liberado",IF(OR(I300="",K300&lt;=I300),"A tiempo","Liberada tarde"),IF(J300="","Sin compromiso",IF(TODAY()&gt;J300,"VENCIDA",IF(AND(I300&lt;&gt;"",J300&gt;I300),"En riesgo","En gestión")))))</f>
        <v/>
      </c>
      <c r="N300" s="15" t="str">
        <f aca="false">IF(OR(B300="",I300=""),"",IF(K300&lt;&gt;"",I300-K300,IF(J300&lt;&gt;"",I300-J300,"")))</f>
        <v/>
      </c>
      <c r="O300" s="9"/>
    </row>
    <row r="301" customFormat="false" ht="15" hidden="false" customHeight="false" outlineLevel="0" collapsed="false">
      <c r="A301" s="9"/>
      <c r="B301" s="9"/>
      <c r="C301" s="18" t="str">
        <f aca="false">IF(B301="","",IFERROR(INDEX(LOOKAHEAD!$B$5:$B$204,MATCH(B301,LOOKAHEAD!$A$5:$A$204,0)),"ID no existe"))</f>
        <v/>
      </c>
      <c r="D301" s="27" t="str">
        <f aca="false">IF(B301="","",IFERROR(INDEX(LOOKAHEAD!$I$5:$I$204,MATCH(B301,LOOKAHEAD!$A$5:$A$204,0)),""))</f>
        <v/>
      </c>
      <c r="E301" s="9"/>
      <c r="F301" s="9"/>
      <c r="G301" s="9"/>
      <c r="H301" s="14"/>
      <c r="I301" s="27" t="str">
        <f aca="false">IF(OR(D301="",D301=0),"",D301-$D$2)</f>
        <v/>
      </c>
      <c r="J301" s="14"/>
      <c r="K301" s="14"/>
      <c r="L301" s="16" t="str">
        <f aca="false">IF(B301="","",IF(K301&lt;&gt;"","Liberado","Pendiente"))</f>
        <v/>
      </c>
      <c r="M301" s="16" t="str">
        <f aca="true">IF(B301="","",IF(L301="Liberado",IF(OR(I301="",K301&lt;=I301),"A tiempo","Liberada tarde"),IF(J301="","Sin compromiso",IF(TODAY()&gt;J301,"VENCIDA",IF(AND(I301&lt;&gt;"",J301&gt;I301),"En riesgo","En gestión")))))</f>
        <v/>
      </c>
      <c r="N301" s="15" t="str">
        <f aca="false">IF(OR(B301="",I301=""),"",IF(K301&lt;&gt;"",I301-K301,IF(J301&lt;&gt;"",I301-J301,"")))</f>
        <v/>
      </c>
      <c r="O301" s="9"/>
    </row>
    <row r="302" customFormat="false" ht="15" hidden="false" customHeight="false" outlineLevel="0" collapsed="false">
      <c r="A302" s="9"/>
      <c r="B302" s="9"/>
      <c r="C302" s="18" t="str">
        <f aca="false">IF(B302="","",IFERROR(INDEX(LOOKAHEAD!$B$5:$B$204,MATCH(B302,LOOKAHEAD!$A$5:$A$204,0)),"ID no existe"))</f>
        <v/>
      </c>
      <c r="D302" s="27" t="str">
        <f aca="false">IF(B302="","",IFERROR(INDEX(LOOKAHEAD!$I$5:$I$204,MATCH(B302,LOOKAHEAD!$A$5:$A$204,0)),""))</f>
        <v/>
      </c>
      <c r="E302" s="9"/>
      <c r="F302" s="9"/>
      <c r="G302" s="9"/>
      <c r="H302" s="14"/>
      <c r="I302" s="27" t="str">
        <f aca="false">IF(OR(D302="",D302=0),"",D302-$D$2)</f>
        <v/>
      </c>
      <c r="J302" s="14"/>
      <c r="K302" s="14"/>
      <c r="L302" s="16" t="str">
        <f aca="false">IF(B302="","",IF(K302&lt;&gt;"","Liberado","Pendiente"))</f>
        <v/>
      </c>
      <c r="M302" s="16" t="str">
        <f aca="true">IF(B302="","",IF(L302="Liberado",IF(OR(I302="",K302&lt;=I302),"A tiempo","Liberada tarde"),IF(J302="","Sin compromiso",IF(TODAY()&gt;J302,"VENCIDA",IF(AND(I302&lt;&gt;"",J302&gt;I302),"En riesgo","En gestión")))))</f>
        <v/>
      </c>
      <c r="N302" s="15" t="str">
        <f aca="false">IF(OR(B302="",I302=""),"",IF(K302&lt;&gt;"",I302-K302,IF(J302&lt;&gt;"",I302-J302,"")))</f>
        <v/>
      </c>
      <c r="O302" s="9"/>
    </row>
    <row r="303" customFormat="false" ht="15" hidden="false" customHeight="false" outlineLevel="0" collapsed="false">
      <c r="A303" s="9"/>
      <c r="B303" s="9"/>
      <c r="C303" s="18" t="str">
        <f aca="false">IF(B303="","",IFERROR(INDEX(LOOKAHEAD!$B$5:$B$204,MATCH(B303,LOOKAHEAD!$A$5:$A$204,0)),"ID no existe"))</f>
        <v/>
      </c>
      <c r="D303" s="27" t="str">
        <f aca="false">IF(B303="","",IFERROR(INDEX(LOOKAHEAD!$I$5:$I$204,MATCH(B303,LOOKAHEAD!$A$5:$A$204,0)),""))</f>
        <v/>
      </c>
      <c r="E303" s="9"/>
      <c r="F303" s="9"/>
      <c r="G303" s="9"/>
      <c r="H303" s="14"/>
      <c r="I303" s="27" t="str">
        <f aca="false">IF(OR(D303="",D303=0),"",D303-$D$2)</f>
        <v/>
      </c>
      <c r="J303" s="14"/>
      <c r="K303" s="14"/>
      <c r="L303" s="16" t="str">
        <f aca="false">IF(B303="","",IF(K303&lt;&gt;"","Liberado","Pendiente"))</f>
        <v/>
      </c>
      <c r="M303" s="16" t="str">
        <f aca="true">IF(B303="","",IF(L303="Liberado",IF(OR(I303="",K303&lt;=I303),"A tiempo","Liberada tarde"),IF(J303="","Sin compromiso",IF(TODAY()&gt;J303,"VENCIDA",IF(AND(I303&lt;&gt;"",J303&gt;I303),"En riesgo","En gestión")))))</f>
        <v/>
      </c>
      <c r="N303" s="15" t="str">
        <f aca="false">IF(OR(B303="",I303=""),"",IF(K303&lt;&gt;"",I303-K303,IF(J303&lt;&gt;"",I303-J303,"")))</f>
        <v/>
      </c>
      <c r="O303" s="9"/>
    </row>
    <row r="304" customFormat="false" ht="15" hidden="false" customHeight="false" outlineLevel="0" collapsed="false">
      <c r="A304" s="9"/>
      <c r="B304" s="9"/>
      <c r="C304" s="18" t="str">
        <f aca="false">IF(B304="","",IFERROR(INDEX(LOOKAHEAD!$B$5:$B$204,MATCH(B304,LOOKAHEAD!$A$5:$A$204,0)),"ID no existe"))</f>
        <v/>
      </c>
      <c r="D304" s="27" t="str">
        <f aca="false">IF(B304="","",IFERROR(INDEX(LOOKAHEAD!$I$5:$I$204,MATCH(B304,LOOKAHEAD!$A$5:$A$204,0)),""))</f>
        <v/>
      </c>
      <c r="E304" s="9"/>
      <c r="F304" s="9"/>
      <c r="G304" s="9"/>
      <c r="H304" s="14"/>
      <c r="I304" s="27" t="str">
        <f aca="false">IF(OR(D304="",D304=0),"",D304-$D$2)</f>
        <v/>
      </c>
      <c r="J304" s="14"/>
      <c r="K304" s="14"/>
      <c r="L304" s="16" t="str">
        <f aca="false">IF(B304="","",IF(K304&lt;&gt;"","Liberado","Pendiente"))</f>
        <v/>
      </c>
      <c r="M304" s="16" t="str">
        <f aca="true">IF(B304="","",IF(L304="Liberado",IF(OR(I304="",K304&lt;=I304),"A tiempo","Liberada tarde"),IF(J304="","Sin compromiso",IF(TODAY()&gt;J304,"VENCIDA",IF(AND(I304&lt;&gt;"",J304&gt;I304),"En riesgo","En gestión")))))</f>
        <v/>
      </c>
      <c r="N304" s="15" t="str">
        <f aca="false">IF(OR(B304="",I304=""),"",IF(K304&lt;&gt;"",I304-K304,IF(J304&lt;&gt;"",I304-J304,"")))</f>
        <v/>
      </c>
      <c r="O304" s="9"/>
    </row>
  </sheetData>
  <autoFilter ref="A4:O304"/>
  <conditionalFormatting sqref="L5:L304">
    <cfRule type="cellIs" priority="2" operator="equal" aboveAverage="0" equalAverage="0" bottom="0" percent="0" rank="0" text="" dxfId="0">
      <formula>"Liberado"</formula>
    </cfRule>
    <cfRule type="cellIs" priority="3" operator="equal" aboveAverage="0" equalAverage="0" bottom="0" percent="0" rank="0" text="" dxfId="1">
      <formula>"Pendiente"</formula>
    </cfRule>
  </conditionalFormatting>
  <conditionalFormatting sqref="M5:M304">
    <cfRule type="cellIs" priority="4" operator="equal" aboveAverage="0" equalAverage="0" bottom="0" percent="0" rank="0" text="" dxfId="0">
      <formula>"A tiempo"</formula>
    </cfRule>
    <cfRule type="cellIs" priority="5" operator="equal" aboveAverage="0" equalAverage="0" bottom="0" percent="0" rank="0" text="" dxfId="1">
      <formula>"En gestión"</formula>
    </cfRule>
    <cfRule type="cellIs" priority="6" operator="equal" aboveAverage="0" equalAverage="0" bottom="0" percent="0" rank="0" text="" dxfId="17">
      <formula>"En riesgo"</formula>
    </cfRule>
    <cfRule type="cellIs" priority="7" operator="equal" aboveAverage="0" equalAverage="0" bottom="0" percent="0" rank="0" text="" dxfId="17">
      <formula>"Liberada tarde"</formula>
    </cfRule>
    <cfRule type="cellIs" priority="8" operator="equal" aboveAverage="0" equalAverage="0" bottom="0" percent="0" rank="0" text="" dxfId="2">
      <formula>"VENCIDA"</formula>
    </cfRule>
    <cfRule type="cellIs" priority="9" operator="equal" aboveAverage="0" equalAverage="0" bottom="0" percent="0" rank="0" text="" dxfId="2">
      <formula>"Sin compromiso"</formula>
    </cfRule>
  </conditionalFormatting>
  <conditionalFormatting sqref="N5:N304">
    <cfRule type="cellIs" priority="10" operator="lessThan" aboveAverage="0" equalAverage="0" bottom="0" percent="0" rank="0" text="" dxfId="18">
      <formula>0</formula>
    </cfRule>
  </conditionalFormatting>
  <dataValidations count="3">
    <dataValidation allowBlank="true" errorStyle="stop" operator="between" showDropDown="false" showErrorMessage="true" showInputMessage="false" sqref="B5:B304" type="list">
      <formula1>LOOKAHEAD!$A$5:$A$204</formula1>
      <formula2>0</formula2>
    </dataValidation>
    <dataValidation allowBlank="true" errorStyle="stop" operator="between" showDropDown="false" showErrorMessage="true" showInputMessage="false" sqref="E5:E304" type="list">
      <formula1>TipoRestriccion</formula1>
      <formula2>0</formula2>
    </dataValidation>
    <dataValidation allowBlank="true" errorStyle="stop" operator="between" showDropDown="false" showErrorMessage="true" showInputMessage="false" sqref="G5:G304" type="list">
      <formula1>Responsables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A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6" min="5" style="0" width="12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7"/>
    <col collapsed="false" customWidth="true" hidden="false" outlineLevel="0" max="21" min="10" style="0" width="6"/>
    <col collapsed="false" customWidth="true" hidden="false" outlineLevel="0" max="23" min="22" style="0" width="9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30"/>
    <col collapsed="false" customWidth="true" hidden="false" outlineLevel="0" max="27" min="27" style="0" width="34"/>
  </cols>
  <sheetData>
    <row r="1" customFormat="false" ht="17.35" hidden="false" customHeight="false" outlineLevel="0" collapsed="false">
      <c r="A1" s="1" t="s">
        <v>209</v>
      </c>
      <c r="D1" s="7" t="s">
        <v>210</v>
      </c>
    </row>
    <row r="2" customFormat="false" ht="19.7" hidden="false" customHeight="false" outlineLevel="0" collapsed="false">
      <c r="A2" s="10" t="s">
        <v>211</v>
      </c>
      <c r="C2" s="11" t="n">
        <v>41</v>
      </c>
      <c r="D2" s="10" t="s">
        <v>212</v>
      </c>
      <c r="F2" s="11" t="s">
        <v>53</v>
      </c>
      <c r="H2" s="28" t="s">
        <v>213</v>
      </c>
      <c r="J2" s="29" t="n">
        <f aca="false">IFERROR(COUNTIFS($B$7:$B$506,$C$2,$Y$7:$Y$506,"Sí")/COUNTIFS($B$7:$B$506,$C$2,$Y$7:$Y$506,"?*"),"")</f>
        <v>0.666666666666667</v>
      </c>
      <c r="L2" s="28" t="s">
        <v>214</v>
      </c>
      <c r="N2" s="29" t="n">
        <f aca="false">IFERROR(COUNTIF($Y$7:$Y$506,"Sí")/COUNTIF($Y$7:$Y$506,"?*"),"")</f>
        <v>0.6</v>
      </c>
    </row>
    <row r="4" customFormat="false" ht="15" hidden="false" customHeight="false" outlineLevel="0" collapsed="false">
      <c r="I4" s="30" t="s">
        <v>215</v>
      </c>
      <c r="J4" s="31" t="n">
        <f aca="false">IFERROR(SUMPRODUCT(($B$7:$B$506=$C$2)*(J$7:J$506&gt;0)*(P$7:P$506&gt;=J$7:J$506))/SUMPRODUCT(($B$7:$B$506=$C$2)*(J$7:J$506&gt;0)),"")</f>
        <v>1</v>
      </c>
      <c r="K4" s="31" t="n">
        <f aca="false">IFERROR(SUMPRODUCT(($B$7:$B$506=$C$2)*(K$7:K$506&gt;0)*(Q$7:Q$506&gt;=K$7:K$506))/SUMPRODUCT(($B$7:$B$506=$C$2)*(K$7:K$506&gt;0)),"")</f>
        <v>1</v>
      </c>
      <c r="L4" s="31" t="n">
        <f aca="false">IFERROR(SUMPRODUCT(($B$7:$B$506=$C$2)*(L$7:L$506&gt;0)*(R$7:R$506&gt;=L$7:L$506))/SUMPRODUCT(($B$7:$B$506=$C$2)*(L$7:L$506&gt;0)),"")</f>
        <v>0.5</v>
      </c>
      <c r="M4" s="31" t="n">
        <f aca="false">IFERROR(SUMPRODUCT(($B$7:$B$506=$C$2)*(M$7:M$506&gt;0)*(S$7:S$506&gt;=M$7:M$506))/SUMPRODUCT(($B$7:$B$506=$C$2)*(M$7:M$506&gt;0)),"")</f>
        <v>1</v>
      </c>
      <c r="N4" s="31" t="n">
        <f aca="false">IFERROR(SUMPRODUCT(($B$7:$B$506=$C$2)*(N$7:N$506&gt;0)*(T$7:T$506&gt;=N$7:N$506))/SUMPRODUCT(($B$7:$B$506=$C$2)*(N$7:N$506&gt;0)),"")</f>
        <v>0.666666666666667</v>
      </c>
      <c r="O4" s="31" t="n">
        <f aca="false">IFERROR(SUMPRODUCT(($B$7:$B$506=$C$2)*(O$7:O$506&gt;0)*(U$7:U$506&gt;=O$7:O$506))/SUMPRODUCT(($B$7:$B$506=$C$2)*(O$7:O$506&gt;0)),"")</f>
        <v>1</v>
      </c>
    </row>
    <row r="5" customFormat="false" ht="15" hidden="false" customHeight="false" outlineLevel="0" collapsed="false">
      <c r="J5" s="32" t="s">
        <v>216</v>
      </c>
      <c r="K5" s="32"/>
      <c r="L5" s="32"/>
      <c r="M5" s="32"/>
      <c r="N5" s="32"/>
      <c r="O5" s="32"/>
      <c r="P5" s="33" t="s">
        <v>217</v>
      </c>
      <c r="Q5" s="33"/>
      <c r="R5" s="33"/>
      <c r="S5" s="33"/>
      <c r="T5" s="33"/>
      <c r="U5" s="33"/>
    </row>
    <row r="6" customFormat="false" ht="31.5" hidden="false" customHeight="true" outlineLevel="0" collapsed="false">
      <c r="A6" s="8" t="s">
        <v>218</v>
      </c>
      <c r="B6" s="8" t="s">
        <v>219</v>
      </c>
      <c r="C6" s="8" t="s">
        <v>145</v>
      </c>
      <c r="D6" s="8" t="s">
        <v>146</v>
      </c>
      <c r="E6" s="8" t="s">
        <v>220</v>
      </c>
      <c r="F6" s="8" t="s">
        <v>221</v>
      </c>
      <c r="G6" s="8" t="s">
        <v>148</v>
      </c>
      <c r="H6" s="8" t="s">
        <v>222</v>
      </c>
      <c r="I6" s="8" t="s">
        <v>149</v>
      </c>
      <c r="J6" s="34" t="s">
        <v>223</v>
      </c>
      <c r="K6" s="34" t="s">
        <v>224</v>
      </c>
      <c r="L6" s="34" t="s">
        <v>225</v>
      </c>
      <c r="M6" s="34" t="s">
        <v>226</v>
      </c>
      <c r="N6" s="34" t="s">
        <v>227</v>
      </c>
      <c r="O6" s="34" t="s">
        <v>228</v>
      </c>
      <c r="P6" s="35" t="s">
        <v>223</v>
      </c>
      <c r="Q6" s="35" t="s">
        <v>224</v>
      </c>
      <c r="R6" s="35" t="s">
        <v>225</v>
      </c>
      <c r="S6" s="35" t="s">
        <v>226</v>
      </c>
      <c r="T6" s="35" t="s">
        <v>227</v>
      </c>
      <c r="U6" s="35" t="s">
        <v>228</v>
      </c>
      <c r="V6" s="8" t="s">
        <v>229</v>
      </c>
      <c r="W6" s="8" t="s">
        <v>230</v>
      </c>
      <c r="X6" s="8" t="s">
        <v>231</v>
      </c>
      <c r="Y6" s="8" t="s">
        <v>232</v>
      </c>
      <c r="Z6" s="8" t="s">
        <v>233</v>
      </c>
      <c r="AA6" s="8" t="s">
        <v>234</v>
      </c>
    </row>
    <row r="7" customFormat="false" ht="15" hidden="false" customHeight="false" outlineLevel="0" collapsed="false">
      <c r="A7" s="9" t="s">
        <v>235</v>
      </c>
      <c r="B7" s="9" t="n">
        <v>40</v>
      </c>
      <c r="C7" s="9" t="s">
        <v>157</v>
      </c>
      <c r="D7" s="16" t="str">
        <f aca="false">IF(C7="","",IFERROR(INDEX(LOOKAHEAD!$B$5:$B$204,MATCH(C7,LOOKAHEAD!$A$5:$A$204,0)),""))</f>
        <v>Hormigonado fundaciones eje D-F</v>
      </c>
      <c r="E7" s="16" t="str">
        <f aca="false">IF(C7="","",IFERROR(INDEX(LOOKAHEAD!$E$5:$E$204,MATCH(C7,LOOKAHEAD!$A$5:$A$204,0)),""))</f>
        <v>Eje D-F</v>
      </c>
      <c r="F7" s="16" t="str">
        <f aca="false">IF(C7="","",IFERROR(INDEX(LOOKAHEAD!$M$5:$M$204,MATCH(C7,LOOKAHEAD!$A$5:$A$204,0)),""))</f>
        <v>LISTA</v>
      </c>
      <c r="G7" s="9" t="s">
        <v>64</v>
      </c>
      <c r="H7" s="9" t="s">
        <v>236</v>
      </c>
      <c r="I7" s="16" t="str">
        <f aca="false">IF(C7="","",IFERROR(INDEX(LOOKAHEAD!$G$5:$G$204,MATCH(C7,LOOKAHEAD!$A$5:$A$204,0)),""))</f>
        <v>m3</v>
      </c>
      <c r="J7" s="25"/>
      <c r="K7" s="25" t="n">
        <v>10</v>
      </c>
      <c r="L7" s="25"/>
      <c r="M7" s="25" t="n">
        <v>10</v>
      </c>
      <c r="N7" s="25"/>
      <c r="O7" s="25"/>
      <c r="P7" s="25"/>
      <c r="Q7" s="25" t="n">
        <v>10</v>
      </c>
      <c r="R7" s="25"/>
      <c r="S7" s="25" t="n">
        <v>10</v>
      </c>
      <c r="T7" s="25"/>
      <c r="U7" s="25"/>
      <c r="V7" s="36" t="n">
        <f aca="false">IF(C7="","",SUM(J7:O7))</f>
        <v>20</v>
      </c>
      <c r="W7" s="36" t="n">
        <f aca="false">IF(C7="","",SUM(P7:U7))</f>
        <v>20</v>
      </c>
      <c r="X7" s="19" t="n">
        <f aca="false">IF(OR(C7="",V7=0),"",W7/V7)</f>
        <v>1</v>
      </c>
      <c r="Y7" s="16" t="str">
        <f aca="false">IF(OR(C7="",V7=0),"",IF(W7&gt;=V7,"Sí","No"))</f>
        <v>Sí</v>
      </c>
      <c r="Z7" s="9"/>
      <c r="AA7" s="9"/>
    </row>
    <row r="8" customFormat="false" ht="15" hidden="false" customHeight="false" outlineLevel="0" collapsed="false">
      <c r="A8" s="9" t="s">
        <v>237</v>
      </c>
      <c r="B8" s="9" t="n">
        <v>40</v>
      </c>
      <c r="C8" s="9" t="s">
        <v>160</v>
      </c>
      <c r="D8" s="16" t="str">
        <f aca="false">IF(C8="","",IFERROR(INDEX(LOOKAHEAD!$B$5:$B$204,MATCH(C8,LOOKAHEAD!$A$5:$A$204,0)),""))</f>
        <v>Enfierradura muros piso 1</v>
      </c>
      <c r="E8" s="16" t="str">
        <f aca="false">IF(C8="","",IFERROR(INDEX(LOOKAHEAD!$E$5:$E$204,MATCH(C8,LOOKAHEAD!$A$5:$A$204,0)),""))</f>
        <v>Piso 1</v>
      </c>
      <c r="F8" s="16" t="str">
        <f aca="false">IF(C8="","",IFERROR(INDEX(LOOKAHEAD!$M$5:$M$204,MATCH(C8,LOOKAHEAD!$A$5:$A$204,0)),""))</f>
        <v>LISTA</v>
      </c>
      <c r="G8" s="9" t="s">
        <v>54</v>
      </c>
      <c r="H8" s="9" t="s">
        <v>238</v>
      </c>
      <c r="I8" s="16" t="str">
        <f aca="false">IF(C8="","",IFERROR(INDEX(LOOKAHEAD!$G$5:$G$204,MATCH(C8,LOOKAHEAD!$A$5:$A$204,0)),""))</f>
        <v>kg</v>
      </c>
      <c r="J8" s="25" t="n">
        <v>500</v>
      </c>
      <c r="K8" s="25" t="n">
        <v>500</v>
      </c>
      <c r="L8" s="25" t="n">
        <v>500</v>
      </c>
      <c r="M8" s="25" t="n">
        <v>500</v>
      </c>
      <c r="N8" s="25" t="n">
        <v>500</v>
      </c>
      <c r="O8" s="25" t="n">
        <v>250</v>
      </c>
      <c r="P8" s="25" t="n">
        <v>500</v>
      </c>
      <c r="Q8" s="25" t="n">
        <v>450</v>
      </c>
      <c r="R8" s="25" t="n">
        <v>400</v>
      </c>
      <c r="S8" s="25" t="n">
        <v>500</v>
      </c>
      <c r="T8" s="25" t="n">
        <v>500</v>
      </c>
      <c r="U8" s="25" t="n">
        <v>250</v>
      </c>
      <c r="V8" s="36" t="n">
        <f aca="false">IF(C8="","",SUM(J8:O8))</f>
        <v>2750</v>
      </c>
      <c r="W8" s="36" t="n">
        <f aca="false">IF(C8="","",SUM(P8:U8))</f>
        <v>2600</v>
      </c>
      <c r="X8" s="19" t="n">
        <f aca="false">IF(OR(C8="",V8=0),"",W8/V8)</f>
        <v>0.945454545454545</v>
      </c>
      <c r="Y8" s="16" t="str">
        <f aca="false">IF(OR(C8="",V8=0),"",IF(W8&gt;=V8,"Sí","No"))</f>
        <v>No</v>
      </c>
      <c r="Z8" s="9" t="s">
        <v>61</v>
      </c>
      <c r="AA8" s="9" t="s">
        <v>239</v>
      </c>
    </row>
    <row r="9" customFormat="false" ht="15" hidden="false" customHeight="false" outlineLevel="0" collapsed="false">
      <c r="A9" s="9" t="s">
        <v>240</v>
      </c>
      <c r="B9" s="9" t="n">
        <v>41</v>
      </c>
      <c r="C9" s="9" t="s">
        <v>157</v>
      </c>
      <c r="D9" s="16" t="str">
        <f aca="false">IF(C9="","",IFERROR(INDEX(LOOKAHEAD!$B$5:$B$204,MATCH(C9,LOOKAHEAD!$A$5:$A$204,0)),""))</f>
        <v>Hormigonado fundaciones eje D-F</v>
      </c>
      <c r="E9" s="16" t="str">
        <f aca="false">IF(C9="","",IFERROR(INDEX(LOOKAHEAD!$E$5:$E$204,MATCH(C9,LOOKAHEAD!$A$5:$A$204,0)),""))</f>
        <v>Eje D-F</v>
      </c>
      <c r="F9" s="16" t="str">
        <f aca="false">IF(C9="","",IFERROR(INDEX(LOOKAHEAD!$M$5:$M$204,MATCH(C9,LOOKAHEAD!$A$5:$A$204,0)),""))</f>
        <v>LISTA</v>
      </c>
      <c r="G9" s="9" t="s">
        <v>64</v>
      </c>
      <c r="H9" s="9" t="s">
        <v>236</v>
      </c>
      <c r="I9" s="16" t="str">
        <f aca="false">IF(C9="","",IFERROR(INDEX(LOOKAHEAD!$G$5:$G$204,MATCH(C9,LOOKAHEAD!$A$5:$A$204,0)),""))</f>
        <v>m3</v>
      </c>
      <c r="J9" s="25" t="n">
        <v>10</v>
      </c>
      <c r="K9" s="25"/>
      <c r="L9" s="25" t="n">
        <v>10</v>
      </c>
      <c r="M9" s="25"/>
      <c r="N9" s="25" t="n">
        <v>5</v>
      </c>
      <c r="O9" s="25"/>
      <c r="P9" s="25" t="n">
        <v>10</v>
      </c>
      <c r="Q9" s="25"/>
      <c r="R9" s="25" t="n">
        <v>0</v>
      </c>
      <c r="S9" s="25"/>
      <c r="T9" s="25" t="n">
        <v>0</v>
      </c>
      <c r="U9" s="25"/>
      <c r="V9" s="36" t="n">
        <f aca="false">IF(C9="","",SUM(J9:O9))</f>
        <v>25</v>
      </c>
      <c r="W9" s="36" t="n">
        <f aca="false">IF(C9="","",SUM(P9:U9))</f>
        <v>10</v>
      </c>
      <c r="X9" s="19" t="n">
        <f aca="false">IF(OR(C9="",V9=0),"",W9/V9)</f>
        <v>0.4</v>
      </c>
      <c r="Y9" s="16" t="str">
        <f aca="false">IF(OR(C9="",V9=0),"",IF(W9&gt;=V9,"Sí","No"))</f>
        <v>No</v>
      </c>
      <c r="Z9" s="9" t="s">
        <v>51</v>
      </c>
      <c r="AA9" s="9" t="s">
        <v>241</v>
      </c>
    </row>
    <row r="10" customFormat="false" ht="15" hidden="false" customHeight="false" outlineLevel="0" collapsed="false">
      <c r="A10" s="9" t="s">
        <v>242</v>
      </c>
      <c r="B10" s="9" t="n">
        <v>41</v>
      </c>
      <c r="C10" s="9" t="s">
        <v>160</v>
      </c>
      <c r="D10" s="16" t="str">
        <f aca="false">IF(C10="","",IFERROR(INDEX(LOOKAHEAD!$B$5:$B$204,MATCH(C10,LOOKAHEAD!$A$5:$A$204,0)),""))</f>
        <v>Enfierradura muros piso 1</v>
      </c>
      <c r="E10" s="16" t="str">
        <f aca="false">IF(C10="","",IFERROR(INDEX(LOOKAHEAD!$E$5:$E$204,MATCH(C10,LOOKAHEAD!$A$5:$A$204,0)),""))</f>
        <v>Piso 1</v>
      </c>
      <c r="F10" s="16" t="str">
        <f aca="false">IF(C10="","",IFERROR(INDEX(LOOKAHEAD!$M$5:$M$204,MATCH(C10,LOOKAHEAD!$A$5:$A$204,0)),""))</f>
        <v>LISTA</v>
      </c>
      <c r="G10" s="9" t="s">
        <v>54</v>
      </c>
      <c r="H10" s="9" t="s">
        <v>238</v>
      </c>
      <c r="I10" s="16" t="str">
        <f aca="false">IF(C10="","",IFERROR(INDEX(LOOKAHEAD!$G$5:$G$204,MATCH(C10,LOOKAHEAD!$A$5:$A$204,0)),""))</f>
        <v>kg</v>
      </c>
      <c r="J10" s="25" t="n">
        <v>500</v>
      </c>
      <c r="K10" s="25" t="n">
        <v>500</v>
      </c>
      <c r="L10" s="25" t="n">
        <v>500</v>
      </c>
      <c r="M10" s="25" t="n">
        <v>500</v>
      </c>
      <c r="N10" s="25" t="n">
        <v>500</v>
      </c>
      <c r="O10" s="25"/>
      <c r="P10" s="25" t="n">
        <v>500</v>
      </c>
      <c r="Q10" s="25" t="n">
        <v>500</v>
      </c>
      <c r="R10" s="25" t="n">
        <v>500</v>
      </c>
      <c r="S10" s="25" t="n">
        <v>500</v>
      </c>
      <c r="T10" s="25" t="n">
        <v>500</v>
      </c>
      <c r="U10" s="25"/>
      <c r="V10" s="36" t="n">
        <f aca="false">IF(C10="","",SUM(J10:O10))</f>
        <v>2500</v>
      </c>
      <c r="W10" s="36" t="n">
        <f aca="false">IF(C10="","",SUM(P10:U10))</f>
        <v>2500</v>
      </c>
      <c r="X10" s="19" t="n">
        <f aca="false">IF(OR(C10="",V10=0),"",W10/V10)</f>
        <v>1</v>
      </c>
      <c r="Y10" s="16" t="str">
        <f aca="false">IF(OR(C10="",V10=0),"",IF(W10&gt;=V10,"Sí","No"))</f>
        <v>Sí</v>
      </c>
      <c r="Z10" s="9"/>
      <c r="AA10" s="9"/>
    </row>
    <row r="11" customFormat="false" ht="15" hidden="false" customHeight="false" outlineLevel="0" collapsed="false">
      <c r="A11" s="9" t="s">
        <v>243</v>
      </c>
      <c r="B11" s="9" t="n">
        <v>41</v>
      </c>
      <c r="C11" s="9" t="s">
        <v>163</v>
      </c>
      <c r="D11" s="16" t="str">
        <f aca="false">IF(C11="","",IFERROR(INDEX(LOOKAHEAD!$B$5:$B$204,MATCH(C11,LOOKAHEAD!$A$5:$A$204,0)),""))</f>
        <v>Moldaje muros piso 1</v>
      </c>
      <c r="E11" s="16" t="str">
        <f aca="false">IF(C11="","",IFERROR(INDEX(LOOKAHEAD!$E$5:$E$204,MATCH(C11,LOOKAHEAD!$A$5:$A$204,0)),""))</f>
        <v>Piso 1</v>
      </c>
      <c r="F11" s="16" t="str">
        <f aca="false">IF(C11="","",IFERROR(INDEX(LOOKAHEAD!$M$5:$M$204,MATCH(C11,LOOKAHEAD!$A$5:$A$204,0)),""))</f>
        <v>LISTA</v>
      </c>
      <c r="G11" s="9" t="s">
        <v>59</v>
      </c>
      <c r="H11" s="9" t="s">
        <v>244</v>
      </c>
      <c r="I11" s="16" t="str">
        <f aca="false">IF(C11="","",IFERROR(INDEX(LOOKAHEAD!$G$5:$G$204,MATCH(C11,LOOKAHEAD!$A$5:$A$204,0)),""))</f>
        <v>m2</v>
      </c>
      <c r="J11" s="25"/>
      <c r="K11" s="25"/>
      <c r="L11" s="25"/>
      <c r="M11" s="25" t="n">
        <v>40</v>
      </c>
      <c r="N11" s="25" t="n">
        <v>40</v>
      </c>
      <c r="O11" s="25" t="n">
        <v>20</v>
      </c>
      <c r="P11" s="25"/>
      <c r="Q11" s="25"/>
      <c r="R11" s="25"/>
      <c r="S11" s="25" t="n">
        <v>40</v>
      </c>
      <c r="T11" s="25" t="n">
        <v>40</v>
      </c>
      <c r="U11" s="25" t="n">
        <v>20</v>
      </c>
      <c r="V11" s="36" t="n">
        <f aca="false">IF(C11="","",SUM(J11:O11))</f>
        <v>100</v>
      </c>
      <c r="W11" s="36" t="n">
        <f aca="false">IF(C11="","",SUM(P11:U11))</f>
        <v>100</v>
      </c>
      <c r="X11" s="19" t="n">
        <f aca="false">IF(OR(C11="",V11=0),"",W11/V11)</f>
        <v>1</v>
      </c>
      <c r="Y11" s="16" t="str">
        <f aca="false">IF(OR(C11="",V11=0),"",IF(W11&gt;=V11,"Sí","No"))</f>
        <v>Sí</v>
      </c>
      <c r="Z11" s="9"/>
      <c r="AA11" s="9"/>
    </row>
    <row r="12" customFormat="false" ht="15" hidden="false" customHeight="false" outlineLevel="0" collapsed="false">
      <c r="A12" s="9"/>
      <c r="B12" s="9"/>
      <c r="C12" s="9"/>
      <c r="D12" s="16" t="str">
        <f aca="false">IF(C12="","",IFERROR(INDEX(LOOKAHEAD!$B$5:$B$204,MATCH(C12,LOOKAHEAD!$A$5:$A$204,0)),""))</f>
        <v/>
      </c>
      <c r="E12" s="16" t="str">
        <f aca="false">IF(C12="","",IFERROR(INDEX(LOOKAHEAD!$E$5:$E$204,MATCH(C12,LOOKAHEAD!$A$5:$A$204,0)),""))</f>
        <v/>
      </c>
      <c r="F12" s="16" t="str">
        <f aca="false">IF(C12="","",IFERROR(INDEX(LOOKAHEAD!$M$5:$M$204,MATCH(C12,LOOKAHEAD!$A$5:$A$204,0)),""))</f>
        <v/>
      </c>
      <c r="G12" s="9"/>
      <c r="H12" s="9"/>
      <c r="I12" s="16" t="str">
        <f aca="false">IF(C12="","",IFERROR(INDEX(LOOKAHEAD!$G$5:$G$204,MATCH(C12,LOOKAHEAD!$A$5:$A$204,0)),""))</f>
        <v/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36" t="str">
        <f aca="false">IF(C12="","",SUM(J12:O12))</f>
        <v/>
      </c>
      <c r="W12" s="36" t="str">
        <f aca="false">IF(C12="","",SUM(P12:U12))</f>
        <v/>
      </c>
      <c r="X12" s="19" t="str">
        <f aca="false">IF(OR(C12="",V12=0),"",W12/V12)</f>
        <v/>
      </c>
      <c r="Y12" s="16" t="str">
        <f aca="false">IF(OR(C12="",V12=0),"",IF(W12&gt;=V12,"Sí","No"))</f>
        <v/>
      </c>
      <c r="Z12" s="9"/>
      <c r="AA12" s="9"/>
    </row>
    <row r="13" customFormat="false" ht="15" hidden="false" customHeight="false" outlineLevel="0" collapsed="false">
      <c r="A13" s="9"/>
      <c r="B13" s="9"/>
      <c r="C13" s="9"/>
      <c r="D13" s="16" t="str">
        <f aca="false">IF(C13="","",IFERROR(INDEX(LOOKAHEAD!$B$5:$B$204,MATCH(C13,LOOKAHEAD!$A$5:$A$204,0)),""))</f>
        <v/>
      </c>
      <c r="E13" s="16" t="str">
        <f aca="false">IF(C13="","",IFERROR(INDEX(LOOKAHEAD!$E$5:$E$204,MATCH(C13,LOOKAHEAD!$A$5:$A$204,0)),""))</f>
        <v/>
      </c>
      <c r="F13" s="16" t="str">
        <f aca="false">IF(C13="","",IFERROR(INDEX(LOOKAHEAD!$M$5:$M$204,MATCH(C13,LOOKAHEAD!$A$5:$A$204,0)),""))</f>
        <v/>
      </c>
      <c r="G13" s="9"/>
      <c r="H13" s="9"/>
      <c r="I13" s="16" t="str">
        <f aca="false">IF(C13="","",IFERROR(INDEX(LOOKAHEAD!$G$5:$G$204,MATCH(C13,LOOKAHEAD!$A$5:$A$204,0)),""))</f>
        <v/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36" t="str">
        <f aca="false">IF(C13="","",SUM(J13:O13))</f>
        <v/>
      </c>
      <c r="W13" s="36" t="str">
        <f aca="false">IF(C13="","",SUM(P13:U13))</f>
        <v/>
      </c>
      <c r="X13" s="19" t="str">
        <f aca="false">IF(OR(C13="",V13=0),"",W13/V13)</f>
        <v/>
      </c>
      <c r="Y13" s="16" t="str">
        <f aca="false">IF(OR(C13="",V13=0),"",IF(W13&gt;=V13,"Sí","No"))</f>
        <v/>
      </c>
      <c r="Z13" s="9"/>
      <c r="AA13" s="9"/>
    </row>
    <row r="14" customFormat="false" ht="15" hidden="false" customHeight="false" outlineLevel="0" collapsed="false">
      <c r="A14" s="9"/>
      <c r="B14" s="9"/>
      <c r="C14" s="9"/>
      <c r="D14" s="16" t="str">
        <f aca="false">IF(C14="","",IFERROR(INDEX(LOOKAHEAD!$B$5:$B$204,MATCH(C14,LOOKAHEAD!$A$5:$A$204,0)),""))</f>
        <v/>
      </c>
      <c r="E14" s="16" t="str">
        <f aca="false">IF(C14="","",IFERROR(INDEX(LOOKAHEAD!$E$5:$E$204,MATCH(C14,LOOKAHEAD!$A$5:$A$204,0)),""))</f>
        <v/>
      </c>
      <c r="F14" s="16" t="str">
        <f aca="false">IF(C14="","",IFERROR(INDEX(LOOKAHEAD!$M$5:$M$204,MATCH(C14,LOOKAHEAD!$A$5:$A$204,0)),""))</f>
        <v/>
      </c>
      <c r="G14" s="9"/>
      <c r="H14" s="9"/>
      <c r="I14" s="16" t="str">
        <f aca="false">IF(C14="","",IFERROR(INDEX(LOOKAHEAD!$G$5:$G$204,MATCH(C14,LOOKAHEAD!$A$5:$A$204,0)),""))</f>
        <v/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36" t="str">
        <f aca="false">IF(C14="","",SUM(J14:O14))</f>
        <v/>
      </c>
      <c r="W14" s="36" t="str">
        <f aca="false">IF(C14="","",SUM(P14:U14))</f>
        <v/>
      </c>
      <c r="X14" s="19" t="str">
        <f aca="false">IF(OR(C14="",V14=0),"",W14/V14)</f>
        <v/>
      </c>
      <c r="Y14" s="16" t="str">
        <f aca="false">IF(OR(C14="",V14=0),"",IF(W14&gt;=V14,"Sí","No"))</f>
        <v/>
      </c>
      <c r="Z14" s="9"/>
      <c r="AA14" s="9"/>
    </row>
    <row r="15" customFormat="false" ht="15" hidden="false" customHeight="false" outlineLevel="0" collapsed="false">
      <c r="A15" s="9"/>
      <c r="B15" s="9"/>
      <c r="C15" s="9"/>
      <c r="D15" s="16" t="str">
        <f aca="false">IF(C15="","",IFERROR(INDEX(LOOKAHEAD!$B$5:$B$204,MATCH(C15,LOOKAHEAD!$A$5:$A$204,0)),""))</f>
        <v/>
      </c>
      <c r="E15" s="16" t="str">
        <f aca="false">IF(C15="","",IFERROR(INDEX(LOOKAHEAD!$E$5:$E$204,MATCH(C15,LOOKAHEAD!$A$5:$A$204,0)),""))</f>
        <v/>
      </c>
      <c r="F15" s="16" t="str">
        <f aca="false">IF(C15="","",IFERROR(INDEX(LOOKAHEAD!$M$5:$M$204,MATCH(C15,LOOKAHEAD!$A$5:$A$204,0)),""))</f>
        <v/>
      </c>
      <c r="G15" s="9"/>
      <c r="H15" s="9"/>
      <c r="I15" s="16" t="str">
        <f aca="false">IF(C15="","",IFERROR(INDEX(LOOKAHEAD!$G$5:$G$204,MATCH(C15,LOOKAHEAD!$A$5:$A$204,0)),""))</f>
        <v/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36" t="str">
        <f aca="false">IF(C15="","",SUM(J15:O15))</f>
        <v/>
      </c>
      <c r="W15" s="36" t="str">
        <f aca="false">IF(C15="","",SUM(P15:U15))</f>
        <v/>
      </c>
      <c r="X15" s="19" t="str">
        <f aca="false">IF(OR(C15="",V15=0),"",W15/V15)</f>
        <v/>
      </c>
      <c r="Y15" s="16" t="str">
        <f aca="false">IF(OR(C15="",V15=0),"",IF(W15&gt;=V15,"Sí","No"))</f>
        <v/>
      </c>
      <c r="Z15" s="9"/>
      <c r="AA15" s="9"/>
    </row>
    <row r="16" customFormat="false" ht="15" hidden="false" customHeight="false" outlineLevel="0" collapsed="false">
      <c r="A16" s="9"/>
      <c r="B16" s="9"/>
      <c r="C16" s="9"/>
      <c r="D16" s="16" t="str">
        <f aca="false">IF(C16="","",IFERROR(INDEX(LOOKAHEAD!$B$5:$B$204,MATCH(C16,LOOKAHEAD!$A$5:$A$204,0)),""))</f>
        <v/>
      </c>
      <c r="E16" s="16" t="str">
        <f aca="false">IF(C16="","",IFERROR(INDEX(LOOKAHEAD!$E$5:$E$204,MATCH(C16,LOOKAHEAD!$A$5:$A$204,0)),""))</f>
        <v/>
      </c>
      <c r="F16" s="16" t="str">
        <f aca="false">IF(C16="","",IFERROR(INDEX(LOOKAHEAD!$M$5:$M$204,MATCH(C16,LOOKAHEAD!$A$5:$A$204,0)),""))</f>
        <v/>
      </c>
      <c r="G16" s="9"/>
      <c r="H16" s="9"/>
      <c r="I16" s="16" t="str">
        <f aca="false">IF(C16="","",IFERROR(INDEX(LOOKAHEAD!$G$5:$G$204,MATCH(C16,LOOKAHEAD!$A$5:$A$204,0)),""))</f>
        <v/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6" t="str">
        <f aca="false">IF(C16="","",SUM(J16:O16))</f>
        <v/>
      </c>
      <c r="W16" s="36" t="str">
        <f aca="false">IF(C16="","",SUM(P16:U16))</f>
        <v/>
      </c>
      <c r="X16" s="19" t="str">
        <f aca="false">IF(OR(C16="",V16=0),"",W16/V16)</f>
        <v/>
      </c>
      <c r="Y16" s="16" t="str">
        <f aca="false">IF(OR(C16="",V16=0),"",IF(W16&gt;=V16,"Sí","No"))</f>
        <v/>
      </c>
      <c r="Z16" s="9"/>
      <c r="AA16" s="9"/>
    </row>
    <row r="17" customFormat="false" ht="15" hidden="false" customHeight="false" outlineLevel="0" collapsed="false">
      <c r="A17" s="9"/>
      <c r="B17" s="9"/>
      <c r="C17" s="9"/>
      <c r="D17" s="16" t="str">
        <f aca="false">IF(C17="","",IFERROR(INDEX(LOOKAHEAD!$B$5:$B$204,MATCH(C17,LOOKAHEAD!$A$5:$A$204,0)),""))</f>
        <v/>
      </c>
      <c r="E17" s="16" t="str">
        <f aca="false">IF(C17="","",IFERROR(INDEX(LOOKAHEAD!$E$5:$E$204,MATCH(C17,LOOKAHEAD!$A$5:$A$204,0)),""))</f>
        <v/>
      </c>
      <c r="F17" s="16" t="str">
        <f aca="false">IF(C17="","",IFERROR(INDEX(LOOKAHEAD!$M$5:$M$204,MATCH(C17,LOOKAHEAD!$A$5:$A$204,0)),""))</f>
        <v/>
      </c>
      <c r="G17" s="9"/>
      <c r="H17" s="9"/>
      <c r="I17" s="16" t="str">
        <f aca="false">IF(C17="","",IFERROR(INDEX(LOOKAHEAD!$G$5:$G$204,MATCH(C17,LOOKAHEAD!$A$5:$A$204,0)),""))</f>
        <v/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36" t="str">
        <f aca="false">IF(C17="","",SUM(J17:O17))</f>
        <v/>
      </c>
      <c r="W17" s="36" t="str">
        <f aca="false">IF(C17="","",SUM(P17:U17))</f>
        <v/>
      </c>
      <c r="X17" s="19" t="str">
        <f aca="false">IF(OR(C17="",V17=0),"",W17/V17)</f>
        <v/>
      </c>
      <c r="Y17" s="16" t="str">
        <f aca="false">IF(OR(C17="",V17=0),"",IF(W17&gt;=V17,"Sí","No"))</f>
        <v/>
      </c>
      <c r="Z17" s="9"/>
      <c r="AA17" s="9"/>
    </row>
    <row r="18" customFormat="false" ht="15" hidden="false" customHeight="false" outlineLevel="0" collapsed="false">
      <c r="A18" s="9"/>
      <c r="B18" s="9"/>
      <c r="C18" s="9"/>
      <c r="D18" s="16" t="str">
        <f aca="false">IF(C18="","",IFERROR(INDEX(LOOKAHEAD!$B$5:$B$204,MATCH(C18,LOOKAHEAD!$A$5:$A$204,0)),""))</f>
        <v/>
      </c>
      <c r="E18" s="16" t="str">
        <f aca="false">IF(C18="","",IFERROR(INDEX(LOOKAHEAD!$E$5:$E$204,MATCH(C18,LOOKAHEAD!$A$5:$A$204,0)),""))</f>
        <v/>
      </c>
      <c r="F18" s="16" t="str">
        <f aca="false">IF(C18="","",IFERROR(INDEX(LOOKAHEAD!$M$5:$M$204,MATCH(C18,LOOKAHEAD!$A$5:$A$204,0)),""))</f>
        <v/>
      </c>
      <c r="G18" s="9"/>
      <c r="H18" s="9"/>
      <c r="I18" s="16" t="str">
        <f aca="false">IF(C18="","",IFERROR(INDEX(LOOKAHEAD!$G$5:$G$204,MATCH(C18,LOOKAHEAD!$A$5:$A$204,0)),""))</f>
        <v/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36" t="str">
        <f aca="false">IF(C18="","",SUM(J18:O18))</f>
        <v/>
      </c>
      <c r="W18" s="36" t="str">
        <f aca="false">IF(C18="","",SUM(P18:U18))</f>
        <v/>
      </c>
      <c r="X18" s="19" t="str">
        <f aca="false">IF(OR(C18="",V18=0),"",W18/V18)</f>
        <v/>
      </c>
      <c r="Y18" s="16" t="str">
        <f aca="false">IF(OR(C18="",V18=0),"",IF(W18&gt;=V18,"Sí","No"))</f>
        <v/>
      </c>
      <c r="Z18" s="9"/>
      <c r="AA18" s="9"/>
    </row>
    <row r="19" customFormat="false" ht="15" hidden="false" customHeight="false" outlineLevel="0" collapsed="false">
      <c r="A19" s="9"/>
      <c r="B19" s="9"/>
      <c r="C19" s="9"/>
      <c r="D19" s="16" t="str">
        <f aca="false">IF(C19="","",IFERROR(INDEX(LOOKAHEAD!$B$5:$B$204,MATCH(C19,LOOKAHEAD!$A$5:$A$204,0)),""))</f>
        <v/>
      </c>
      <c r="E19" s="16" t="str">
        <f aca="false">IF(C19="","",IFERROR(INDEX(LOOKAHEAD!$E$5:$E$204,MATCH(C19,LOOKAHEAD!$A$5:$A$204,0)),""))</f>
        <v/>
      </c>
      <c r="F19" s="16" t="str">
        <f aca="false">IF(C19="","",IFERROR(INDEX(LOOKAHEAD!$M$5:$M$204,MATCH(C19,LOOKAHEAD!$A$5:$A$204,0)),""))</f>
        <v/>
      </c>
      <c r="G19" s="9"/>
      <c r="H19" s="9"/>
      <c r="I19" s="16" t="str">
        <f aca="false">IF(C19="","",IFERROR(INDEX(LOOKAHEAD!$G$5:$G$204,MATCH(C19,LOOKAHEAD!$A$5:$A$204,0)),""))</f>
        <v/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36" t="str">
        <f aca="false">IF(C19="","",SUM(J19:O19))</f>
        <v/>
      </c>
      <c r="W19" s="36" t="str">
        <f aca="false">IF(C19="","",SUM(P19:U19))</f>
        <v/>
      </c>
      <c r="X19" s="19" t="str">
        <f aca="false">IF(OR(C19="",V19=0),"",W19/V19)</f>
        <v/>
      </c>
      <c r="Y19" s="16" t="str">
        <f aca="false">IF(OR(C19="",V19=0),"",IF(W19&gt;=V19,"Sí","No"))</f>
        <v/>
      </c>
      <c r="Z19" s="9"/>
      <c r="AA19" s="9"/>
    </row>
    <row r="20" customFormat="false" ht="15" hidden="false" customHeight="false" outlineLevel="0" collapsed="false">
      <c r="A20" s="9"/>
      <c r="B20" s="9"/>
      <c r="C20" s="9"/>
      <c r="D20" s="16" t="str">
        <f aca="false">IF(C20="","",IFERROR(INDEX(LOOKAHEAD!$B$5:$B$204,MATCH(C20,LOOKAHEAD!$A$5:$A$204,0)),""))</f>
        <v/>
      </c>
      <c r="E20" s="16" t="str">
        <f aca="false">IF(C20="","",IFERROR(INDEX(LOOKAHEAD!$E$5:$E$204,MATCH(C20,LOOKAHEAD!$A$5:$A$204,0)),""))</f>
        <v/>
      </c>
      <c r="F20" s="16" t="str">
        <f aca="false">IF(C20="","",IFERROR(INDEX(LOOKAHEAD!$M$5:$M$204,MATCH(C20,LOOKAHEAD!$A$5:$A$204,0)),""))</f>
        <v/>
      </c>
      <c r="G20" s="9"/>
      <c r="H20" s="9"/>
      <c r="I20" s="16" t="str">
        <f aca="false">IF(C20="","",IFERROR(INDEX(LOOKAHEAD!$G$5:$G$204,MATCH(C20,LOOKAHEAD!$A$5:$A$204,0)),""))</f>
        <v/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36" t="str">
        <f aca="false">IF(C20="","",SUM(J20:O20))</f>
        <v/>
      </c>
      <c r="W20" s="36" t="str">
        <f aca="false">IF(C20="","",SUM(P20:U20))</f>
        <v/>
      </c>
      <c r="X20" s="19" t="str">
        <f aca="false">IF(OR(C20="",V20=0),"",W20/V20)</f>
        <v/>
      </c>
      <c r="Y20" s="16" t="str">
        <f aca="false">IF(OR(C20="",V20=0),"",IF(W20&gt;=V20,"Sí","No"))</f>
        <v/>
      </c>
      <c r="Z20" s="9"/>
      <c r="AA20" s="9"/>
    </row>
    <row r="21" customFormat="false" ht="15" hidden="false" customHeight="false" outlineLevel="0" collapsed="false">
      <c r="A21" s="9"/>
      <c r="B21" s="9"/>
      <c r="C21" s="9"/>
      <c r="D21" s="16" t="str">
        <f aca="false">IF(C21="","",IFERROR(INDEX(LOOKAHEAD!$B$5:$B$204,MATCH(C21,LOOKAHEAD!$A$5:$A$204,0)),""))</f>
        <v/>
      </c>
      <c r="E21" s="16" t="str">
        <f aca="false">IF(C21="","",IFERROR(INDEX(LOOKAHEAD!$E$5:$E$204,MATCH(C21,LOOKAHEAD!$A$5:$A$204,0)),""))</f>
        <v/>
      </c>
      <c r="F21" s="16" t="str">
        <f aca="false">IF(C21="","",IFERROR(INDEX(LOOKAHEAD!$M$5:$M$204,MATCH(C21,LOOKAHEAD!$A$5:$A$204,0)),""))</f>
        <v/>
      </c>
      <c r="G21" s="9"/>
      <c r="H21" s="9"/>
      <c r="I21" s="16" t="str">
        <f aca="false">IF(C21="","",IFERROR(INDEX(LOOKAHEAD!$G$5:$G$204,MATCH(C21,LOOKAHEAD!$A$5:$A$204,0)),""))</f>
        <v/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36" t="str">
        <f aca="false">IF(C21="","",SUM(J21:O21))</f>
        <v/>
      </c>
      <c r="W21" s="36" t="str">
        <f aca="false">IF(C21="","",SUM(P21:U21))</f>
        <v/>
      </c>
      <c r="X21" s="19" t="str">
        <f aca="false">IF(OR(C21="",V21=0),"",W21/V21)</f>
        <v/>
      </c>
      <c r="Y21" s="16" t="str">
        <f aca="false">IF(OR(C21="",V21=0),"",IF(W21&gt;=V21,"Sí","No"))</f>
        <v/>
      </c>
      <c r="Z21" s="9"/>
      <c r="AA21" s="9"/>
    </row>
    <row r="22" customFormat="false" ht="15" hidden="false" customHeight="false" outlineLevel="0" collapsed="false">
      <c r="A22" s="9"/>
      <c r="B22" s="9"/>
      <c r="C22" s="9"/>
      <c r="D22" s="16" t="str">
        <f aca="false">IF(C22="","",IFERROR(INDEX(LOOKAHEAD!$B$5:$B$204,MATCH(C22,LOOKAHEAD!$A$5:$A$204,0)),""))</f>
        <v/>
      </c>
      <c r="E22" s="16" t="str">
        <f aca="false">IF(C22="","",IFERROR(INDEX(LOOKAHEAD!$E$5:$E$204,MATCH(C22,LOOKAHEAD!$A$5:$A$204,0)),""))</f>
        <v/>
      </c>
      <c r="F22" s="16" t="str">
        <f aca="false">IF(C22="","",IFERROR(INDEX(LOOKAHEAD!$M$5:$M$204,MATCH(C22,LOOKAHEAD!$A$5:$A$204,0)),""))</f>
        <v/>
      </c>
      <c r="G22" s="9"/>
      <c r="H22" s="9"/>
      <c r="I22" s="16" t="str">
        <f aca="false">IF(C22="","",IFERROR(INDEX(LOOKAHEAD!$G$5:$G$204,MATCH(C22,LOOKAHEAD!$A$5:$A$204,0)),""))</f>
        <v/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36" t="str">
        <f aca="false">IF(C22="","",SUM(J22:O22))</f>
        <v/>
      </c>
      <c r="W22" s="36" t="str">
        <f aca="false">IF(C22="","",SUM(P22:U22))</f>
        <v/>
      </c>
      <c r="X22" s="19" t="str">
        <f aca="false">IF(OR(C22="",V22=0),"",W22/V22)</f>
        <v/>
      </c>
      <c r="Y22" s="16" t="str">
        <f aca="false">IF(OR(C22="",V22=0),"",IF(W22&gt;=V22,"Sí","No"))</f>
        <v/>
      </c>
      <c r="Z22" s="9"/>
      <c r="AA22" s="9"/>
    </row>
    <row r="23" customFormat="false" ht="15" hidden="false" customHeight="false" outlineLevel="0" collapsed="false">
      <c r="A23" s="9"/>
      <c r="B23" s="9"/>
      <c r="C23" s="9"/>
      <c r="D23" s="16" t="str">
        <f aca="false">IF(C23="","",IFERROR(INDEX(LOOKAHEAD!$B$5:$B$204,MATCH(C23,LOOKAHEAD!$A$5:$A$204,0)),""))</f>
        <v/>
      </c>
      <c r="E23" s="16" t="str">
        <f aca="false">IF(C23="","",IFERROR(INDEX(LOOKAHEAD!$E$5:$E$204,MATCH(C23,LOOKAHEAD!$A$5:$A$204,0)),""))</f>
        <v/>
      </c>
      <c r="F23" s="16" t="str">
        <f aca="false">IF(C23="","",IFERROR(INDEX(LOOKAHEAD!$M$5:$M$204,MATCH(C23,LOOKAHEAD!$A$5:$A$204,0)),""))</f>
        <v/>
      </c>
      <c r="G23" s="9"/>
      <c r="H23" s="9"/>
      <c r="I23" s="16" t="str">
        <f aca="false">IF(C23="","",IFERROR(INDEX(LOOKAHEAD!$G$5:$G$204,MATCH(C23,LOOKAHEAD!$A$5:$A$204,0)),""))</f>
        <v/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36" t="str">
        <f aca="false">IF(C23="","",SUM(J23:O23))</f>
        <v/>
      </c>
      <c r="W23" s="36" t="str">
        <f aca="false">IF(C23="","",SUM(P23:U23))</f>
        <v/>
      </c>
      <c r="X23" s="19" t="str">
        <f aca="false">IF(OR(C23="",V23=0),"",W23/V23)</f>
        <v/>
      </c>
      <c r="Y23" s="16" t="str">
        <f aca="false">IF(OR(C23="",V23=0),"",IF(W23&gt;=V23,"Sí","No"))</f>
        <v/>
      </c>
      <c r="Z23" s="9"/>
      <c r="AA23" s="9"/>
    </row>
    <row r="24" customFormat="false" ht="15" hidden="false" customHeight="false" outlineLevel="0" collapsed="false">
      <c r="A24" s="9"/>
      <c r="B24" s="9"/>
      <c r="C24" s="9"/>
      <c r="D24" s="16" t="str">
        <f aca="false">IF(C24="","",IFERROR(INDEX(LOOKAHEAD!$B$5:$B$204,MATCH(C24,LOOKAHEAD!$A$5:$A$204,0)),""))</f>
        <v/>
      </c>
      <c r="E24" s="16" t="str">
        <f aca="false">IF(C24="","",IFERROR(INDEX(LOOKAHEAD!$E$5:$E$204,MATCH(C24,LOOKAHEAD!$A$5:$A$204,0)),""))</f>
        <v/>
      </c>
      <c r="F24" s="16" t="str">
        <f aca="false">IF(C24="","",IFERROR(INDEX(LOOKAHEAD!$M$5:$M$204,MATCH(C24,LOOKAHEAD!$A$5:$A$204,0)),""))</f>
        <v/>
      </c>
      <c r="G24" s="9"/>
      <c r="H24" s="9"/>
      <c r="I24" s="16" t="str">
        <f aca="false">IF(C24="","",IFERROR(INDEX(LOOKAHEAD!$G$5:$G$204,MATCH(C24,LOOKAHEAD!$A$5:$A$204,0)),""))</f>
        <v/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36" t="str">
        <f aca="false">IF(C24="","",SUM(J24:O24))</f>
        <v/>
      </c>
      <c r="W24" s="36" t="str">
        <f aca="false">IF(C24="","",SUM(P24:U24))</f>
        <v/>
      </c>
      <c r="X24" s="19" t="str">
        <f aca="false">IF(OR(C24="",V24=0),"",W24/V24)</f>
        <v/>
      </c>
      <c r="Y24" s="16" t="str">
        <f aca="false">IF(OR(C24="",V24=0),"",IF(W24&gt;=V24,"Sí","No"))</f>
        <v/>
      </c>
      <c r="Z24" s="9"/>
      <c r="AA24" s="9"/>
    </row>
    <row r="25" customFormat="false" ht="15" hidden="false" customHeight="false" outlineLevel="0" collapsed="false">
      <c r="A25" s="9"/>
      <c r="B25" s="9"/>
      <c r="C25" s="9"/>
      <c r="D25" s="16" t="str">
        <f aca="false">IF(C25="","",IFERROR(INDEX(LOOKAHEAD!$B$5:$B$204,MATCH(C25,LOOKAHEAD!$A$5:$A$204,0)),""))</f>
        <v/>
      </c>
      <c r="E25" s="16" t="str">
        <f aca="false">IF(C25="","",IFERROR(INDEX(LOOKAHEAD!$E$5:$E$204,MATCH(C25,LOOKAHEAD!$A$5:$A$204,0)),""))</f>
        <v/>
      </c>
      <c r="F25" s="16" t="str">
        <f aca="false">IF(C25="","",IFERROR(INDEX(LOOKAHEAD!$M$5:$M$204,MATCH(C25,LOOKAHEAD!$A$5:$A$204,0)),""))</f>
        <v/>
      </c>
      <c r="G25" s="9"/>
      <c r="H25" s="9"/>
      <c r="I25" s="16" t="str">
        <f aca="false">IF(C25="","",IFERROR(INDEX(LOOKAHEAD!$G$5:$G$204,MATCH(C25,LOOKAHEAD!$A$5:$A$204,0)),""))</f>
        <v/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36" t="str">
        <f aca="false">IF(C25="","",SUM(J25:O25))</f>
        <v/>
      </c>
      <c r="W25" s="36" t="str">
        <f aca="false">IF(C25="","",SUM(P25:U25))</f>
        <v/>
      </c>
      <c r="X25" s="19" t="str">
        <f aca="false">IF(OR(C25="",V25=0),"",W25/V25)</f>
        <v/>
      </c>
      <c r="Y25" s="16" t="str">
        <f aca="false">IF(OR(C25="",V25=0),"",IF(W25&gt;=V25,"Sí","No"))</f>
        <v/>
      </c>
      <c r="Z25" s="9"/>
      <c r="AA25" s="9"/>
    </row>
    <row r="26" customFormat="false" ht="15" hidden="false" customHeight="false" outlineLevel="0" collapsed="false">
      <c r="A26" s="9"/>
      <c r="B26" s="9"/>
      <c r="C26" s="9"/>
      <c r="D26" s="16" t="str">
        <f aca="false">IF(C26="","",IFERROR(INDEX(LOOKAHEAD!$B$5:$B$204,MATCH(C26,LOOKAHEAD!$A$5:$A$204,0)),""))</f>
        <v/>
      </c>
      <c r="E26" s="16" t="str">
        <f aca="false">IF(C26="","",IFERROR(INDEX(LOOKAHEAD!$E$5:$E$204,MATCH(C26,LOOKAHEAD!$A$5:$A$204,0)),""))</f>
        <v/>
      </c>
      <c r="F26" s="16" t="str">
        <f aca="false">IF(C26="","",IFERROR(INDEX(LOOKAHEAD!$M$5:$M$204,MATCH(C26,LOOKAHEAD!$A$5:$A$204,0)),""))</f>
        <v/>
      </c>
      <c r="G26" s="9"/>
      <c r="H26" s="9"/>
      <c r="I26" s="16" t="str">
        <f aca="false">IF(C26="","",IFERROR(INDEX(LOOKAHEAD!$G$5:$G$204,MATCH(C26,LOOKAHEAD!$A$5:$A$204,0)),""))</f>
        <v/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6" t="str">
        <f aca="false">IF(C26="","",SUM(J26:O26))</f>
        <v/>
      </c>
      <c r="W26" s="36" t="str">
        <f aca="false">IF(C26="","",SUM(P26:U26))</f>
        <v/>
      </c>
      <c r="X26" s="19" t="str">
        <f aca="false">IF(OR(C26="",V26=0),"",W26/V26)</f>
        <v/>
      </c>
      <c r="Y26" s="16" t="str">
        <f aca="false">IF(OR(C26="",V26=0),"",IF(W26&gt;=V26,"Sí","No"))</f>
        <v/>
      </c>
      <c r="Z26" s="9"/>
      <c r="AA26" s="9"/>
    </row>
    <row r="27" customFormat="false" ht="15" hidden="false" customHeight="false" outlineLevel="0" collapsed="false">
      <c r="A27" s="9"/>
      <c r="B27" s="9"/>
      <c r="C27" s="9"/>
      <c r="D27" s="16" t="str">
        <f aca="false">IF(C27="","",IFERROR(INDEX(LOOKAHEAD!$B$5:$B$204,MATCH(C27,LOOKAHEAD!$A$5:$A$204,0)),""))</f>
        <v/>
      </c>
      <c r="E27" s="16" t="str">
        <f aca="false">IF(C27="","",IFERROR(INDEX(LOOKAHEAD!$E$5:$E$204,MATCH(C27,LOOKAHEAD!$A$5:$A$204,0)),""))</f>
        <v/>
      </c>
      <c r="F27" s="16" t="str">
        <f aca="false">IF(C27="","",IFERROR(INDEX(LOOKAHEAD!$M$5:$M$204,MATCH(C27,LOOKAHEAD!$A$5:$A$204,0)),""))</f>
        <v/>
      </c>
      <c r="G27" s="9"/>
      <c r="H27" s="9"/>
      <c r="I27" s="16" t="str">
        <f aca="false">IF(C27="","",IFERROR(INDEX(LOOKAHEAD!$G$5:$G$204,MATCH(C27,LOOKAHEAD!$A$5:$A$204,0)),""))</f>
        <v/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36" t="str">
        <f aca="false">IF(C27="","",SUM(J27:O27))</f>
        <v/>
      </c>
      <c r="W27" s="36" t="str">
        <f aca="false">IF(C27="","",SUM(P27:U27))</f>
        <v/>
      </c>
      <c r="X27" s="19" t="str">
        <f aca="false">IF(OR(C27="",V27=0),"",W27/V27)</f>
        <v/>
      </c>
      <c r="Y27" s="16" t="str">
        <f aca="false">IF(OR(C27="",V27=0),"",IF(W27&gt;=V27,"Sí","No"))</f>
        <v/>
      </c>
      <c r="Z27" s="9"/>
      <c r="AA27" s="9"/>
    </row>
    <row r="28" customFormat="false" ht="15" hidden="false" customHeight="false" outlineLevel="0" collapsed="false">
      <c r="A28" s="9"/>
      <c r="B28" s="9"/>
      <c r="C28" s="9"/>
      <c r="D28" s="16" t="str">
        <f aca="false">IF(C28="","",IFERROR(INDEX(LOOKAHEAD!$B$5:$B$204,MATCH(C28,LOOKAHEAD!$A$5:$A$204,0)),""))</f>
        <v/>
      </c>
      <c r="E28" s="16" t="str">
        <f aca="false">IF(C28="","",IFERROR(INDEX(LOOKAHEAD!$E$5:$E$204,MATCH(C28,LOOKAHEAD!$A$5:$A$204,0)),""))</f>
        <v/>
      </c>
      <c r="F28" s="16" t="str">
        <f aca="false">IF(C28="","",IFERROR(INDEX(LOOKAHEAD!$M$5:$M$204,MATCH(C28,LOOKAHEAD!$A$5:$A$204,0)),""))</f>
        <v/>
      </c>
      <c r="G28" s="9"/>
      <c r="H28" s="9"/>
      <c r="I28" s="16" t="str">
        <f aca="false">IF(C28="","",IFERROR(INDEX(LOOKAHEAD!$G$5:$G$204,MATCH(C28,LOOKAHEAD!$A$5:$A$204,0)),""))</f>
        <v/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36" t="str">
        <f aca="false">IF(C28="","",SUM(J28:O28))</f>
        <v/>
      </c>
      <c r="W28" s="36" t="str">
        <f aca="false">IF(C28="","",SUM(P28:U28))</f>
        <v/>
      </c>
      <c r="X28" s="19" t="str">
        <f aca="false">IF(OR(C28="",V28=0),"",W28/V28)</f>
        <v/>
      </c>
      <c r="Y28" s="16" t="str">
        <f aca="false">IF(OR(C28="",V28=0),"",IF(W28&gt;=V28,"Sí","No"))</f>
        <v/>
      </c>
      <c r="Z28" s="9"/>
      <c r="AA28" s="9"/>
    </row>
    <row r="29" customFormat="false" ht="15" hidden="false" customHeight="false" outlineLevel="0" collapsed="false">
      <c r="A29" s="9"/>
      <c r="B29" s="9"/>
      <c r="C29" s="9"/>
      <c r="D29" s="16" t="str">
        <f aca="false">IF(C29="","",IFERROR(INDEX(LOOKAHEAD!$B$5:$B$204,MATCH(C29,LOOKAHEAD!$A$5:$A$204,0)),""))</f>
        <v/>
      </c>
      <c r="E29" s="16" t="str">
        <f aca="false">IF(C29="","",IFERROR(INDEX(LOOKAHEAD!$E$5:$E$204,MATCH(C29,LOOKAHEAD!$A$5:$A$204,0)),""))</f>
        <v/>
      </c>
      <c r="F29" s="16" t="str">
        <f aca="false">IF(C29="","",IFERROR(INDEX(LOOKAHEAD!$M$5:$M$204,MATCH(C29,LOOKAHEAD!$A$5:$A$204,0)),""))</f>
        <v/>
      </c>
      <c r="G29" s="9"/>
      <c r="H29" s="9"/>
      <c r="I29" s="16" t="str">
        <f aca="false">IF(C29="","",IFERROR(INDEX(LOOKAHEAD!$G$5:$G$204,MATCH(C29,LOOKAHEAD!$A$5:$A$204,0)),""))</f>
        <v/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36" t="str">
        <f aca="false">IF(C29="","",SUM(J29:O29))</f>
        <v/>
      </c>
      <c r="W29" s="36" t="str">
        <f aca="false">IF(C29="","",SUM(P29:U29))</f>
        <v/>
      </c>
      <c r="X29" s="19" t="str">
        <f aca="false">IF(OR(C29="",V29=0),"",W29/V29)</f>
        <v/>
      </c>
      <c r="Y29" s="16" t="str">
        <f aca="false">IF(OR(C29="",V29=0),"",IF(W29&gt;=V29,"Sí","No"))</f>
        <v/>
      </c>
      <c r="Z29" s="9"/>
      <c r="AA29" s="9"/>
    </row>
    <row r="30" customFormat="false" ht="15" hidden="false" customHeight="false" outlineLevel="0" collapsed="false">
      <c r="A30" s="9"/>
      <c r="B30" s="9"/>
      <c r="C30" s="9"/>
      <c r="D30" s="16" t="str">
        <f aca="false">IF(C30="","",IFERROR(INDEX(LOOKAHEAD!$B$5:$B$204,MATCH(C30,LOOKAHEAD!$A$5:$A$204,0)),""))</f>
        <v/>
      </c>
      <c r="E30" s="16" t="str">
        <f aca="false">IF(C30="","",IFERROR(INDEX(LOOKAHEAD!$E$5:$E$204,MATCH(C30,LOOKAHEAD!$A$5:$A$204,0)),""))</f>
        <v/>
      </c>
      <c r="F30" s="16" t="str">
        <f aca="false">IF(C30="","",IFERROR(INDEX(LOOKAHEAD!$M$5:$M$204,MATCH(C30,LOOKAHEAD!$A$5:$A$204,0)),""))</f>
        <v/>
      </c>
      <c r="G30" s="9"/>
      <c r="H30" s="9"/>
      <c r="I30" s="16" t="str">
        <f aca="false">IF(C30="","",IFERROR(INDEX(LOOKAHEAD!$G$5:$G$204,MATCH(C30,LOOKAHEAD!$A$5:$A$204,0)),""))</f>
        <v/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6" t="str">
        <f aca="false">IF(C30="","",SUM(J30:O30))</f>
        <v/>
      </c>
      <c r="W30" s="36" t="str">
        <f aca="false">IF(C30="","",SUM(P30:U30))</f>
        <v/>
      </c>
      <c r="X30" s="19" t="str">
        <f aca="false">IF(OR(C30="",V30=0),"",W30/V30)</f>
        <v/>
      </c>
      <c r="Y30" s="16" t="str">
        <f aca="false">IF(OR(C30="",V30=0),"",IF(W30&gt;=V30,"Sí","No"))</f>
        <v/>
      </c>
      <c r="Z30" s="9"/>
      <c r="AA30" s="9"/>
    </row>
    <row r="31" customFormat="false" ht="15" hidden="false" customHeight="false" outlineLevel="0" collapsed="false">
      <c r="A31" s="9"/>
      <c r="B31" s="9"/>
      <c r="C31" s="9"/>
      <c r="D31" s="16" t="str">
        <f aca="false">IF(C31="","",IFERROR(INDEX(LOOKAHEAD!$B$5:$B$204,MATCH(C31,LOOKAHEAD!$A$5:$A$204,0)),""))</f>
        <v/>
      </c>
      <c r="E31" s="16" t="str">
        <f aca="false">IF(C31="","",IFERROR(INDEX(LOOKAHEAD!$E$5:$E$204,MATCH(C31,LOOKAHEAD!$A$5:$A$204,0)),""))</f>
        <v/>
      </c>
      <c r="F31" s="16" t="str">
        <f aca="false">IF(C31="","",IFERROR(INDEX(LOOKAHEAD!$M$5:$M$204,MATCH(C31,LOOKAHEAD!$A$5:$A$204,0)),""))</f>
        <v/>
      </c>
      <c r="G31" s="9"/>
      <c r="H31" s="9"/>
      <c r="I31" s="16" t="str">
        <f aca="false">IF(C31="","",IFERROR(INDEX(LOOKAHEAD!$G$5:$G$204,MATCH(C31,LOOKAHEAD!$A$5:$A$204,0)),""))</f>
        <v/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6" t="str">
        <f aca="false">IF(C31="","",SUM(J31:O31))</f>
        <v/>
      </c>
      <c r="W31" s="36" t="str">
        <f aca="false">IF(C31="","",SUM(P31:U31))</f>
        <v/>
      </c>
      <c r="X31" s="19" t="str">
        <f aca="false">IF(OR(C31="",V31=0),"",W31/V31)</f>
        <v/>
      </c>
      <c r="Y31" s="16" t="str">
        <f aca="false">IF(OR(C31="",V31=0),"",IF(W31&gt;=V31,"Sí","No"))</f>
        <v/>
      </c>
      <c r="Z31" s="9"/>
      <c r="AA31" s="9"/>
    </row>
    <row r="32" customFormat="false" ht="15" hidden="false" customHeight="false" outlineLevel="0" collapsed="false">
      <c r="A32" s="9"/>
      <c r="B32" s="9"/>
      <c r="C32" s="9"/>
      <c r="D32" s="16" t="str">
        <f aca="false">IF(C32="","",IFERROR(INDEX(LOOKAHEAD!$B$5:$B$204,MATCH(C32,LOOKAHEAD!$A$5:$A$204,0)),""))</f>
        <v/>
      </c>
      <c r="E32" s="16" t="str">
        <f aca="false">IF(C32="","",IFERROR(INDEX(LOOKAHEAD!$E$5:$E$204,MATCH(C32,LOOKAHEAD!$A$5:$A$204,0)),""))</f>
        <v/>
      </c>
      <c r="F32" s="16" t="str">
        <f aca="false">IF(C32="","",IFERROR(INDEX(LOOKAHEAD!$M$5:$M$204,MATCH(C32,LOOKAHEAD!$A$5:$A$204,0)),""))</f>
        <v/>
      </c>
      <c r="G32" s="9"/>
      <c r="H32" s="9"/>
      <c r="I32" s="16" t="str">
        <f aca="false">IF(C32="","",IFERROR(INDEX(LOOKAHEAD!$G$5:$G$204,MATCH(C32,LOOKAHEAD!$A$5:$A$204,0)),""))</f>
        <v/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6" t="str">
        <f aca="false">IF(C32="","",SUM(J32:O32))</f>
        <v/>
      </c>
      <c r="W32" s="36" t="str">
        <f aca="false">IF(C32="","",SUM(P32:U32))</f>
        <v/>
      </c>
      <c r="X32" s="19" t="str">
        <f aca="false">IF(OR(C32="",V32=0),"",W32/V32)</f>
        <v/>
      </c>
      <c r="Y32" s="16" t="str">
        <f aca="false">IF(OR(C32="",V32=0),"",IF(W32&gt;=V32,"Sí","No"))</f>
        <v/>
      </c>
      <c r="Z32" s="9"/>
      <c r="AA32" s="9"/>
    </row>
    <row r="33" customFormat="false" ht="15" hidden="false" customHeight="false" outlineLevel="0" collapsed="false">
      <c r="A33" s="9"/>
      <c r="B33" s="9"/>
      <c r="C33" s="9"/>
      <c r="D33" s="16" t="str">
        <f aca="false">IF(C33="","",IFERROR(INDEX(LOOKAHEAD!$B$5:$B$204,MATCH(C33,LOOKAHEAD!$A$5:$A$204,0)),""))</f>
        <v/>
      </c>
      <c r="E33" s="16" t="str">
        <f aca="false">IF(C33="","",IFERROR(INDEX(LOOKAHEAD!$E$5:$E$204,MATCH(C33,LOOKAHEAD!$A$5:$A$204,0)),""))</f>
        <v/>
      </c>
      <c r="F33" s="16" t="str">
        <f aca="false">IF(C33="","",IFERROR(INDEX(LOOKAHEAD!$M$5:$M$204,MATCH(C33,LOOKAHEAD!$A$5:$A$204,0)),""))</f>
        <v/>
      </c>
      <c r="G33" s="9"/>
      <c r="H33" s="9"/>
      <c r="I33" s="16" t="str">
        <f aca="false">IF(C33="","",IFERROR(INDEX(LOOKAHEAD!$G$5:$G$204,MATCH(C33,LOOKAHEAD!$A$5:$A$204,0)),""))</f>
        <v/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36" t="str">
        <f aca="false">IF(C33="","",SUM(J33:O33))</f>
        <v/>
      </c>
      <c r="W33" s="36" t="str">
        <f aca="false">IF(C33="","",SUM(P33:U33))</f>
        <v/>
      </c>
      <c r="X33" s="19" t="str">
        <f aca="false">IF(OR(C33="",V33=0),"",W33/V33)</f>
        <v/>
      </c>
      <c r="Y33" s="16" t="str">
        <f aca="false">IF(OR(C33="",V33=0),"",IF(W33&gt;=V33,"Sí","No"))</f>
        <v/>
      </c>
      <c r="Z33" s="9"/>
      <c r="AA33" s="9"/>
    </row>
    <row r="34" customFormat="false" ht="15" hidden="false" customHeight="false" outlineLevel="0" collapsed="false">
      <c r="A34" s="9"/>
      <c r="B34" s="9"/>
      <c r="C34" s="9"/>
      <c r="D34" s="16" t="str">
        <f aca="false">IF(C34="","",IFERROR(INDEX(LOOKAHEAD!$B$5:$B$204,MATCH(C34,LOOKAHEAD!$A$5:$A$204,0)),""))</f>
        <v/>
      </c>
      <c r="E34" s="16" t="str">
        <f aca="false">IF(C34="","",IFERROR(INDEX(LOOKAHEAD!$E$5:$E$204,MATCH(C34,LOOKAHEAD!$A$5:$A$204,0)),""))</f>
        <v/>
      </c>
      <c r="F34" s="16" t="str">
        <f aca="false">IF(C34="","",IFERROR(INDEX(LOOKAHEAD!$M$5:$M$204,MATCH(C34,LOOKAHEAD!$A$5:$A$204,0)),""))</f>
        <v/>
      </c>
      <c r="G34" s="9"/>
      <c r="H34" s="9"/>
      <c r="I34" s="16" t="str">
        <f aca="false">IF(C34="","",IFERROR(INDEX(LOOKAHEAD!$G$5:$G$204,MATCH(C34,LOOKAHEAD!$A$5:$A$204,0)),""))</f>
        <v/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36" t="str">
        <f aca="false">IF(C34="","",SUM(J34:O34))</f>
        <v/>
      </c>
      <c r="W34" s="36" t="str">
        <f aca="false">IF(C34="","",SUM(P34:U34))</f>
        <v/>
      </c>
      <c r="X34" s="19" t="str">
        <f aca="false">IF(OR(C34="",V34=0),"",W34/V34)</f>
        <v/>
      </c>
      <c r="Y34" s="16" t="str">
        <f aca="false">IF(OR(C34="",V34=0),"",IF(W34&gt;=V34,"Sí","No"))</f>
        <v/>
      </c>
      <c r="Z34" s="9"/>
      <c r="AA34" s="9"/>
    </row>
    <row r="35" customFormat="false" ht="15" hidden="false" customHeight="false" outlineLevel="0" collapsed="false">
      <c r="A35" s="9"/>
      <c r="B35" s="9"/>
      <c r="C35" s="9"/>
      <c r="D35" s="16" t="str">
        <f aca="false">IF(C35="","",IFERROR(INDEX(LOOKAHEAD!$B$5:$B$204,MATCH(C35,LOOKAHEAD!$A$5:$A$204,0)),""))</f>
        <v/>
      </c>
      <c r="E35" s="16" t="str">
        <f aca="false">IF(C35="","",IFERROR(INDEX(LOOKAHEAD!$E$5:$E$204,MATCH(C35,LOOKAHEAD!$A$5:$A$204,0)),""))</f>
        <v/>
      </c>
      <c r="F35" s="16" t="str">
        <f aca="false">IF(C35="","",IFERROR(INDEX(LOOKAHEAD!$M$5:$M$204,MATCH(C35,LOOKAHEAD!$A$5:$A$204,0)),""))</f>
        <v/>
      </c>
      <c r="G35" s="9"/>
      <c r="H35" s="9"/>
      <c r="I35" s="16" t="str">
        <f aca="false">IF(C35="","",IFERROR(INDEX(LOOKAHEAD!$G$5:$G$204,MATCH(C35,LOOKAHEAD!$A$5:$A$204,0)),""))</f>
        <v/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36" t="str">
        <f aca="false">IF(C35="","",SUM(J35:O35))</f>
        <v/>
      </c>
      <c r="W35" s="36" t="str">
        <f aca="false">IF(C35="","",SUM(P35:U35))</f>
        <v/>
      </c>
      <c r="X35" s="19" t="str">
        <f aca="false">IF(OR(C35="",V35=0),"",W35/V35)</f>
        <v/>
      </c>
      <c r="Y35" s="16" t="str">
        <f aca="false">IF(OR(C35="",V35=0),"",IF(W35&gt;=V35,"Sí","No"))</f>
        <v/>
      </c>
      <c r="Z35" s="9"/>
      <c r="AA35" s="9"/>
    </row>
    <row r="36" customFormat="false" ht="15" hidden="false" customHeight="false" outlineLevel="0" collapsed="false">
      <c r="A36" s="9"/>
      <c r="B36" s="9"/>
      <c r="C36" s="9"/>
      <c r="D36" s="16" t="str">
        <f aca="false">IF(C36="","",IFERROR(INDEX(LOOKAHEAD!$B$5:$B$204,MATCH(C36,LOOKAHEAD!$A$5:$A$204,0)),""))</f>
        <v/>
      </c>
      <c r="E36" s="16" t="str">
        <f aca="false">IF(C36="","",IFERROR(INDEX(LOOKAHEAD!$E$5:$E$204,MATCH(C36,LOOKAHEAD!$A$5:$A$204,0)),""))</f>
        <v/>
      </c>
      <c r="F36" s="16" t="str">
        <f aca="false">IF(C36="","",IFERROR(INDEX(LOOKAHEAD!$M$5:$M$204,MATCH(C36,LOOKAHEAD!$A$5:$A$204,0)),""))</f>
        <v/>
      </c>
      <c r="G36" s="9"/>
      <c r="H36" s="9"/>
      <c r="I36" s="16" t="str">
        <f aca="false">IF(C36="","",IFERROR(INDEX(LOOKAHEAD!$G$5:$G$204,MATCH(C36,LOOKAHEAD!$A$5:$A$204,0)),""))</f>
        <v/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36" t="str">
        <f aca="false">IF(C36="","",SUM(J36:O36))</f>
        <v/>
      </c>
      <c r="W36" s="36" t="str">
        <f aca="false">IF(C36="","",SUM(P36:U36))</f>
        <v/>
      </c>
      <c r="X36" s="19" t="str">
        <f aca="false">IF(OR(C36="",V36=0),"",W36/V36)</f>
        <v/>
      </c>
      <c r="Y36" s="16" t="str">
        <f aca="false">IF(OR(C36="",V36=0),"",IF(W36&gt;=V36,"Sí","No"))</f>
        <v/>
      </c>
      <c r="Z36" s="9"/>
      <c r="AA36" s="9"/>
    </row>
    <row r="37" customFormat="false" ht="15" hidden="false" customHeight="false" outlineLevel="0" collapsed="false">
      <c r="A37" s="9"/>
      <c r="B37" s="9"/>
      <c r="C37" s="9"/>
      <c r="D37" s="16" t="str">
        <f aca="false">IF(C37="","",IFERROR(INDEX(LOOKAHEAD!$B$5:$B$204,MATCH(C37,LOOKAHEAD!$A$5:$A$204,0)),""))</f>
        <v/>
      </c>
      <c r="E37" s="16" t="str">
        <f aca="false">IF(C37="","",IFERROR(INDEX(LOOKAHEAD!$E$5:$E$204,MATCH(C37,LOOKAHEAD!$A$5:$A$204,0)),""))</f>
        <v/>
      </c>
      <c r="F37" s="16" t="str">
        <f aca="false">IF(C37="","",IFERROR(INDEX(LOOKAHEAD!$M$5:$M$204,MATCH(C37,LOOKAHEAD!$A$5:$A$204,0)),""))</f>
        <v/>
      </c>
      <c r="G37" s="9"/>
      <c r="H37" s="9"/>
      <c r="I37" s="16" t="str">
        <f aca="false">IF(C37="","",IFERROR(INDEX(LOOKAHEAD!$G$5:$G$204,MATCH(C37,LOOKAHEAD!$A$5:$A$204,0)),""))</f>
        <v/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36" t="str">
        <f aca="false">IF(C37="","",SUM(J37:O37))</f>
        <v/>
      </c>
      <c r="W37" s="36" t="str">
        <f aca="false">IF(C37="","",SUM(P37:U37))</f>
        <v/>
      </c>
      <c r="X37" s="19" t="str">
        <f aca="false">IF(OR(C37="",V37=0),"",W37/V37)</f>
        <v/>
      </c>
      <c r="Y37" s="16" t="str">
        <f aca="false">IF(OR(C37="",V37=0),"",IF(W37&gt;=V37,"Sí","No"))</f>
        <v/>
      </c>
      <c r="Z37" s="9"/>
      <c r="AA37" s="9"/>
    </row>
    <row r="38" customFormat="false" ht="15" hidden="false" customHeight="false" outlineLevel="0" collapsed="false">
      <c r="A38" s="9"/>
      <c r="B38" s="9"/>
      <c r="C38" s="9"/>
      <c r="D38" s="16" t="str">
        <f aca="false">IF(C38="","",IFERROR(INDEX(LOOKAHEAD!$B$5:$B$204,MATCH(C38,LOOKAHEAD!$A$5:$A$204,0)),""))</f>
        <v/>
      </c>
      <c r="E38" s="16" t="str">
        <f aca="false">IF(C38="","",IFERROR(INDEX(LOOKAHEAD!$E$5:$E$204,MATCH(C38,LOOKAHEAD!$A$5:$A$204,0)),""))</f>
        <v/>
      </c>
      <c r="F38" s="16" t="str">
        <f aca="false">IF(C38="","",IFERROR(INDEX(LOOKAHEAD!$M$5:$M$204,MATCH(C38,LOOKAHEAD!$A$5:$A$204,0)),""))</f>
        <v/>
      </c>
      <c r="G38" s="9"/>
      <c r="H38" s="9"/>
      <c r="I38" s="16" t="str">
        <f aca="false">IF(C38="","",IFERROR(INDEX(LOOKAHEAD!$G$5:$G$204,MATCH(C38,LOOKAHEAD!$A$5:$A$204,0)),""))</f>
        <v/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6" t="str">
        <f aca="false">IF(C38="","",SUM(J38:O38))</f>
        <v/>
      </c>
      <c r="W38" s="36" t="str">
        <f aca="false">IF(C38="","",SUM(P38:U38))</f>
        <v/>
      </c>
      <c r="X38" s="19" t="str">
        <f aca="false">IF(OR(C38="",V38=0),"",W38/V38)</f>
        <v/>
      </c>
      <c r="Y38" s="16" t="str">
        <f aca="false">IF(OR(C38="",V38=0),"",IF(W38&gt;=V38,"Sí","No"))</f>
        <v/>
      </c>
      <c r="Z38" s="9"/>
      <c r="AA38" s="9"/>
    </row>
    <row r="39" customFormat="false" ht="15" hidden="false" customHeight="false" outlineLevel="0" collapsed="false">
      <c r="A39" s="9"/>
      <c r="B39" s="9"/>
      <c r="C39" s="9"/>
      <c r="D39" s="16" t="str">
        <f aca="false">IF(C39="","",IFERROR(INDEX(LOOKAHEAD!$B$5:$B$204,MATCH(C39,LOOKAHEAD!$A$5:$A$204,0)),""))</f>
        <v/>
      </c>
      <c r="E39" s="16" t="str">
        <f aca="false">IF(C39="","",IFERROR(INDEX(LOOKAHEAD!$E$5:$E$204,MATCH(C39,LOOKAHEAD!$A$5:$A$204,0)),""))</f>
        <v/>
      </c>
      <c r="F39" s="16" t="str">
        <f aca="false">IF(C39="","",IFERROR(INDEX(LOOKAHEAD!$M$5:$M$204,MATCH(C39,LOOKAHEAD!$A$5:$A$204,0)),""))</f>
        <v/>
      </c>
      <c r="G39" s="9"/>
      <c r="H39" s="9"/>
      <c r="I39" s="16" t="str">
        <f aca="false">IF(C39="","",IFERROR(INDEX(LOOKAHEAD!$G$5:$G$204,MATCH(C39,LOOKAHEAD!$A$5:$A$204,0)),""))</f>
        <v/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36" t="str">
        <f aca="false">IF(C39="","",SUM(J39:O39))</f>
        <v/>
      </c>
      <c r="W39" s="36" t="str">
        <f aca="false">IF(C39="","",SUM(P39:U39))</f>
        <v/>
      </c>
      <c r="X39" s="19" t="str">
        <f aca="false">IF(OR(C39="",V39=0),"",W39/V39)</f>
        <v/>
      </c>
      <c r="Y39" s="16" t="str">
        <f aca="false">IF(OR(C39="",V39=0),"",IF(W39&gt;=V39,"Sí","No"))</f>
        <v/>
      </c>
      <c r="Z39" s="9"/>
      <c r="AA39" s="9"/>
    </row>
    <row r="40" customFormat="false" ht="15" hidden="false" customHeight="false" outlineLevel="0" collapsed="false">
      <c r="A40" s="9"/>
      <c r="B40" s="9"/>
      <c r="C40" s="9"/>
      <c r="D40" s="16" t="str">
        <f aca="false">IF(C40="","",IFERROR(INDEX(LOOKAHEAD!$B$5:$B$204,MATCH(C40,LOOKAHEAD!$A$5:$A$204,0)),""))</f>
        <v/>
      </c>
      <c r="E40" s="16" t="str">
        <f aca="false">IF(C40="","",IFERROR(INDEX(LOOKAHEAD!$E$5:$E$204,MATCH(C40,LOOKAHEAD!$A$5:$A$204,0)),""))</f>
        <v/>
      </c>
      <c r="F40" s="16" t="str">
        <f aca="false">IF(C40="","",IFERROR(INDEX(LOOKAHEAD!$M$5:$M$204,MATCH(C40,LOOKAHEAD!$A$5:$A$204,0)),""))</f>
        <v/>
      </c>
      <c r="G40" s="9"/>
      <c r="H40" s="9"/>
      <c r="I40" s="16" t="str">
        <f aca="false">IF(C40="","",IFERROR(INDEX(LOOKAHEAD!$G$5:$G$204,MATCH(C40,LOOKAHEAD!$A$5:$A$204,0)),""))</f>
        <v/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36" t="str">
        <f aca="false">IF(C40="","",SUM(J40:O40))</f>
        <v/>
      </c>
      <c r="W40" s="36" t="str">
        <f aca="false">IF(C40="","",SUM(P40:U40))</f>
        <v/>
      </c>
      <c r="X40" s="19" t="str">
        <f aca="false">IF(OR(C40="",V40=0),"",W40/V40)</f>
        <v/>
      </c>
      <c r="Y40" s="16" t="str">
        <f aca="false">IF(OR(C40="",V40=0),"",IF(W40&gt;=V40,"Sí","No"))</f>
        <v/>
      </c>
      <c r="Z40" s="9"/>
      <c r="AA40" s="9"/>
    </row>
    <row r="41" customFormat="false" ht="15" hidden="false" customHeight="false" outlineLevel="0" collapsed="false">
      <c r="A41" s="9"/>
      <c r="B41" s="9"/>
      <c r="C41" s="9"/>
      <c r="D41" s="16" t="str">
        <f aca="false">IF(C41="","",IFERROR(INDEX(LOOKAHEAD!$B$5:$B$204,MATCH(C41,LOOKAHEAD!$A$5:$A$204,0)),""))</f>
        <v/>
      </c>
      <c r="E41" s="16" t="str">
        <f aca="false">IF(C41="","",IFERROR(INDEX(LOOKAHEAD!$E$5:$E$204,MATCH(C41,LOOKAHEAD!$A$5:$A$204,0)),""))</f>
        <v/>
      </c>
      <c r="F41" s="16" t="str">
        <f aca="false">IF(C41="","",IFERROR(INDEX(LOOKAHEAD!$M$5:$M$204,MATCH(C41,LOOKAHEAD!$A$5:$A$204,0)),""))</f>
        <v/>
      </c>
      <c r="G41" s="9"/>
      <c r="H41" s="9"/>
      <c r="I41" s="16" t="str">
        <f aca="false">IF(C41="","",IFERROR(INDEX(LOOKAHEAD!$G$5:$G$204,MATCH(C41,LOOKAHEAD!$A$5:$A$204,0)),""))</f>
        <v/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36" t="str">
        <f aca="false">IF(C41="","",SUM(J41:O41))</f>
        <v/>
      </c>
      <c r="W41" s="36" t="str">
        <f aca="false">IF(C41="","",SUM(P41:U41))</f>
        <v/>
      </c>
      <c r="X41" s="19" t="str">
        <f aca="false">IF(OR(C41="",V41=0),"",W41/V41)</f>
        <v/>
      </c>
      <c r="Y41" s="16" t="str">
        <f aca="false">IF(OR(C41="",V41=0),"",IF(W41&gt;=V41,"Sí","No"))</f>
        <v/>
      </c>
      <c r="Z41" s="9"/>
      <c r="AA41" s="9"/>
    </row>
    <row r="42" customFormat="false" ht="15" hidden="false" customHeight="false" outlineLevel="0" collapsed="false">
      <c r="A42" s="9"/>
      <c r="B42" s="9"/>
      <c r="C42" s="9"/>
      <c r="D42" s="16" t="str">
        <f aca="false">IF(C42="","",IFERROR(INDEX(LOOKAHEAD!$B$5:$B$204,MATCH(C42,LOOKAHEAD!$A$5:$A$204,0)),""))</f>
        <v/>
      </c>
      <c r="E42" s="16" t="str">
        <f aca="false">IF(C42="","",IFERROR(INDEX(LOOKAHEAD!$E$5:$E$204,MATCH(C42,LOOKAHEAD!$A$5:$A$204,0)),""))</f>
        <v/>
      </c>
      <c r="F42" s="16" t="str">
        <f aca="false">IF(C42="","",IFERROR(INDEX(LOOKAHEAD!$M$5:$M$204,MATCH(C42,LOOKAHEAD!$A$5:$A$204,0)),""))</f>
        <v/>
      </c>
      <c r="G42" s="9"/>
      <c r="H42" s="9"/>
      <c r="I42" s="16" t="str">
        <f aca="false">IF(C42="","",IFERROR(INDEX(LOOKAHEAD!$G$5:$G$204,MATCH(C42,LOOKAHEAD!$A$5:$A$204,0)),""))</f>
        <v/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36" t="str">
        <f aca="false">IF(C42="","",SUM(J42:O42))</f>
        <v/>
      </c>
      <c r="W42" s="36" t="str">
        <f aca="false">IF(C42="","",SUM(P42:U42))</f>
        <v/>
      </c>
      <c r="X42" s="19" t="str">
        <f aca="false">IF(OR(C42="",V42=0),"",W42/V42)</f>
        <v/>
      </c>
      <c r="Y42" s="16" t="str">
        <f aca="false">IF(OR(C42="",V42=0),"",IF(W42&gt;=V42,"Sí","No"))</f>
        <v/>
      </c>
      <c r="Z42" s="9"/>
      <c r="AA42" s="9"/>
    </row>
    <row r="43" customFormat="false" ht="15" hidden="false" customHeight="false" outlineLevel="0" collapsed="false">
      <c r="A43" s="9"/>
      <c r="B43" s="9"/>
      <c r="C43" s="9"/>
      <c r="D43" s="16" t="str">
        <f aca="false">IF(C43="","",IFERROR(INDEX(LOOKAHEAD!$B$5:$B$204,MATCH(C43,LOOKAHEAD!$A$5:$A$204,0)),""))</f>
        <v/>
      </c>
      <c r="E43" s="16" t="str">
        <f aca="false">IF(C43="","",IFERROR(INDEX(LOOKAHEAD!$E$5:$E$204,MATCH(C43,LOOKAHEAD!$A$5:$A$204,0)),""))</f>
        <v/>
      </c>
      <c r="F43" s="16" t="str">
        <f aca="false">IF(C43="","",IFERROR(INDEX(LOOKAHEAD!$M$5:$M$204,MATCH(C43,LOOKAHEAD!$A$5:$A$204,0)),""))</f>
        <v/>
      </c>
      <c r="G43" s="9"/>
      <c r="H43" s="9"/>
      <c r="I43" s="16" t="str">
        <f aca="false">IF(C43="","",IFERROR(INDEX(LOOKAHEAD!$G$5:$G$204,MATCH(C43,LOOKAHEAD!$A$5:$A$204,0)),""))</f>
        <v/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36" t="str">
        <f aca="false">IF(C43="","",SUM(J43:O43))</f>
        <v/>
      </c>
      <c r="W43" s="36" t="str">
        <f aca="false">IF(C43="","",SUM(P43:U43))</f>
        <v/>
      </c>
      <c r="X43" s="19" t="str">
        <f aca="false">IF(OR(C43="",V43=0),"",W43/V43)</f>
        <v/>
      </c>
      <c r="Y43" s="16" t="str">
        <f aca="false">IF(OR(C43="",V43=0),"",IF(W43&gt;=V43,"Sí","No"))</f>
        <v/>
      </c>
      <c r="Z43" s="9"/>
      <c r="AA43" s="9"/>
    </row>
    <row r="44" customFormat="false" ht="15" hidden="false" customHeight="false" outlineLevel="0" collapsed="false">
      <c r="A44" s="9"/>
      <c r="B44" s="9"/>
      <c r="C44" s="9"/>
      <c r="D44" s="16" t="str">
        <f aca="false">IF(C44="","",IFERROR(INDEX(LOOKAHEAD!$B$5:$B$204,MATCH(C44,LOOKAHEAD!$A$5:$A$204,0)),""))</f>
        <v/>
      </c>
      <c r="E44" s="16" t="str">
        <f aca="false">IF(C44="","",IFERROR(INDEX(LOOKAHEAD!$E$5:$E$204,MATCH(C44,LOOKAHEAD!$A$5:$A$204,0)),""))</f>
        <v/>
      </c>
      <c r="F44" s="16" t="str">
        <f aca="false">IF(C44="","",IFERROR(INDEX(LOOKAHEAD!$M$5:$M$204,MATCH(C44,LOOKAHEAD!$A$5:$A$204,0)),""))</f>
        <v/>
      </c>
      <c r="G44" s="9"/>
      <c r="H44" s="9"/>
      <c r="I44" s="16" t="str">
        <f aca="false">IF(C44="","",IFERROR(INDEX(LOOKAHEAD!$G$5:$G$204,MATCH(C44,LOOKAHEAD!$A$5:$A$204,0)),""))</f>
        <v/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36" t="str">
        <f aca="false">IF(C44="","",SUM(J44:O44))</f>
        <v/>
      </c>
      <c r="W44" s="36" t="str">
        <f aca="false">IF(C44="","",SUM(P44:U44))</f>
        <v/>
      </c>
      <c r="X44" s="19" t="str">
        <f aca="false">IF(OR(C44="",V44=0),"",W44/V44)</f>
        <v/>
      </c>
      <c r="Y44" s="16" t="str">
        <f aca="false">IF(OR(C44="",V44=0),"",IF(W44&gt;=V44,"Sí","No"))</f>
        <v/>
      </c>
      <c r="Z44" s="9"/>
      <c r="AA44" s="9"/>
    </row>
    <row r="45" customFormat="false" ht="15" hidden="false" customHeight="false" outlineLevel="0" collapsed="false">
      <c r="A45" s="9"/>
      <c r="B45" s="9"/>
      <c r="C45" s="9"/>
      <c r="D45" s="16" t="str">
        <f aca="false">IF(C45="","",IFERROR(INDEX(LOOKAHEAD!$B$5:$B$204,MATCH(C45,LOOKAHEAD!$A$5:$A$204,0)),""))</f>
        <v/>
      </c>
      <c r="E45" s="16" t="str">
        <f aca="false">IF(C45="","",IFERROR(INDEX(LOOKAHEAD!$E$5:$E$204,MATCH(C45,LOOKAHEAD!$A$5:$A$204,0)),""))</f>
        <v/>
      </c>
      <c r="F45" s="16" t="str">
        <f aca="false">IF(C45="","",IFERROR(INDEX(LOOKAHEAD!$M$5:$M$204,MATCH(C45,LOOKAHEAD!$A$5:$A$204,0)),""))</f>
        <v/>
      </c>
      <c r="G45" s="9"/>
      <c r="H45" s="9"/>
      <c r="I45" s="16" t="str">
        <f aca="false">IF(C45="","",IFERROR(INDEX(LOOKAHEAD!$G$5:$G$204,MATCH(C45,LOOKAHEAD!$A$5:$A$204,0)),""))</f>
        <v/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36" t="str">
        <f aca="false">IF(C45="","",SUM(J45:O45))</f>
        <v/>
      </c>
      <c r="W45" s="36" t="str">
        <f aca="false">IF(C45="","",SUM(P45:U45))</f>
        <v/>
      </c>
      <c r="X45" s="19" t="str">
        <f aca="false">IF(OR(C45="",V45=0),"",W45/V45)</f>
        <v/>
      </c>
      <c r="Y45" s="16" t="str">
        <f aca="false">IF(OR(C45="",V45=0),"",IF(W45&gt;=V45,"Sí","No"))</f>
        <v/>
      </c>
      <c r="Z45" s="9"/>
      <c r="AA45" s="9"/>
    </row>
    <row r="46" customFormat="false" ht="15" hidden="false" customHeight="false" outlineLevel="0" collapsed="false">
      <c r="A46" s="9"/>
      <c r="B46" s="9"/>
      <c r="C46" s="9"/>
      <c r="D46" s="16" t="str">
        <f aca="false">IF(C46="","",IFERROR(INDEX(LOOKAHEAD!$B$5:$B$204,MATCH(C46,LOOKAHEAD!$A$5:$A$204,0)),""))</f>
        <v/>
      </c>
      <c r="E46" s="16" t="str">
        <f aca="false">IF(C46="","",IFERROR(INDEX(LOOKAHEAD!$E$5:$E$204,MATCH(C46,LOOKAHEAD!$A$5:$A$204,0)),""))</f>
        <v/>
      </c>
      <c r="F46" s="16" t="str">
        <f aca="false">IF(C46="","",IFERROR(INDEX(LOOKAHEAD!$M$5:$M$204,MATCH(C46,LOOKAHEAD!$A$5:$A$204,0)),""))</f>
        <v/>
      </c>
      <c r="G46" s="9"/>
      <c r="H46" s="9"/>
      <c r="I46" s="16" t="str">
        <f aca="false">IF(C46="","",IFERROR(INDEX(LOOKAHEAD!$G$5:$G$204,MATCH(C46,LOOKAHEAD!$A$5:$A$204,0)),""))</f>
        <v/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36" t="str">
        <f aca="false">IF(C46="","",SUM(J46:O46))</f>
        <v/>
      </c>
      <c r="W46" s="36" t="str">
        <f aca="false">IF(C46="","",SUM(P46:U46))</f>
        <v/>
      </c>
      <c r="X46" s="19" t="str">
        <f aca="false">IF(OR(C46="",V46=0),"",W46/V46)</f>
        <v/>
      </c>
      <c r="Y46" s="16" t="str">
        <f aca="false">IF(OR(C46="",V46=0),"",IF(W46&gt;=V46,"Sí","No"))</f>
        <v/>
      </c>
      <c r="Z46" s="9"/>
      <c r="AA46" s="9"/>
    </row>
    <row r="47" customFormat="false" ht="15" hidden="false" customHeight="false" outlineLevel="0" collapsed="false">
      <c r="A47" s="9"/>
      <c r="B47" s="9"/>
      <c r="C47" s="9"/>
      <c r="D47" s="16" t="str">
        <f aca="false">IF(C47="","",IFERROR(INDEX(LOOKAHEAD!$B$5:$B$204,MATCH(C47,LOOKAHEAD!$A$5:$A$204,0)),""))</f>
        <v/>
      </c>
      <c r="E47" s="16" t="str">
        <f aca="false">IF(C47="","",IFERROR(INDEX(LOOKAHEAD!$E$5:$E$204,MATCH(C47,LOOKAHEAD!$A$5:$A$204,0)),""))</f>
        <v/>
      </c>
      <c r="F47" s="16" t="str">
        <f aca="false">IF(C47="","",IFERROR(INDEX(LOOKAHEAD!$M$5:$M$204,MATCH(C47,LOOKAHEAD!$A$5:$A$204,0)),""))</f>
        <v/>
      </c>
      <c r="G47" s="9"/>
      <c r="H47" s="9"/>
      <c r="I47" s="16" t="str">
        <f aca="false">IF(C47="","",IFERROR(INDEX(LOOKAHEAD!$G$5:$G$204,MATCH(C47,LOOKAHEAD!$A$5:$A$204,0)),""))</f>
        <v/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36" t="str">
        <f aca="false">IF(C47="","",SUM(J47:O47))</f>
        <v/>
      </c>
      <c r="W47" s="36" t="str">
        <f aca="false">IF(C47="","",SUM(P47:U47))</f>
        <v/>
      </c>
      <c r="X47" s="19" t="str">
        <f aca="false">IF(OR(C47="",V47=0),"",W47/V47)</f>
        <v/>
      </c>
      <c r="Y47" s="16" t="str">
        <f aca="false">IF(OR(C47="",V47=0),"",IF(W47&gt;=V47,"Sí","No"))</f>
        <v/>
      </c>
      <c r="Z47" s="9"/>
      <c r="AA47" s="9"/>
    </row>
    <row r="48" customFormat="false" ht="15" hidden="false" customHeight="false" outlineLevel="0" collapsed="false">
      <c r="A48" s="9"/>
      <c r="B48" s="9"/>
      <c r="C48" s="9"/>
      <c r="D48" s="16" t="str">
        <f aca="false">IF(C48="","",IFERROR(INDEX(LOOKAHEAD!$B$5:$B$204,MATCH(C48,LOOKAHEAD!$A$5:$A$204,0)),""))</f>
        <v/>
      </c>
      <c r="E48" s="16" t="str">
        <f aca="false">IF(C48="","",IFERROR(INDEX(LOOKAHEAD!$E$5:$E$204,MATCH(C48,LOOKAHEAD!$A$5:$A$204,0)),""))</f>
        <v/>
      </c>
      <c r="F48" s="16" t="str">
        <f aca="false">IF(C48="","",IFERROR(INDEX(LOOKAHEAD!$M$5:$M$204,MATCH(C48,LOOKAHEAD!$A$5:$A$204,0)),""))</f>
        <v/>
      </c>
      <c r="G48" s="9"/>
      <c r="H48" s="9"/>
      <c r="I48" s="16" t="str">
        <f aca="false">IF(C48="","",IFERROR(INDEX(LOOKAHEAD!$G$5:$G$204,MATCH(C48,LOOKAHEAD!$A$5:$A$204,0)),""))</f>
        <v/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36" t="str">
        <f aca="false">IF(C48="","",SUM(J48:O48))</f>
        <v/>
      </c>
      <c r="W48" s="36" t="str">
        <f aca="false">IF(C48="","",SUM(P48:U48))</f>
        <v/>
      </c>
      <c r="X48" s="19" t="str">
        <f aca="false">IF(OR(C48="",V48=0),"",W48/V48)</f>
        <v/>
      </c>
      <c r="Y48" s="16" t="str">
        <f aca="false">IF(OR(C48="",V48=0),"",IF(W48&gt;=V48,"Sí","No"))</f>
        <v/>
      </c>
      <c r="Z48" s="9"/>
      <c r="AA48" s="9"/>
    </row>
    <row r="49" customFormat="false" ht="15" hidden="false" customHeight="false" outlineLevel="0" collapsed="false">
      <c r="A49" s="9"/>
      <c r="B49" s="9"/>
      <c r="C49" s="9"/>
      <c r="D49" s="16" t="str">
        <f aca="false">IF(C49="","",IFERROR(INDEX(LOOKAHEAD!$B$5:$B$204,MATCH(C49,LOOKAHEAD!$A$5:$A$204,0)),""))</f>
        <v/>
      </c>
      <c r="E49" s="16" t="str">
        <f aca="false">IF(C49="","",IFERROR(INDEX(LOOKAHEAD!$E$5:$E$204,MATCH(C49,LOOKAHEAD!$A$5:$A$204,0)),""))</f>
        <v/>
      </c>
      <c r="F49" s="16" t="str">
        <f aca="false">IF(C49="","",IFERROR(INDEX(LOOKAHEAD!$M$5:$M$204,MATCH(C49,LOOKAHEAD!$A$5:$A$204,0)),""))</f>
        <v/>
      </c>
      <c r="G49" s="9"/>
      <c r="H49" s="9"/>
      <c r="I49" s="16" t="str">
        <f aca="false">IF(C49="","",IFERROR(INDEX(LOOKAHEAD!$G$5:$G$204,MATCH(C49,LOOKAHEAD!$A$5:$A$204,0)),""))</f>
        <v/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36" t="str">
        <f aca="false">IF(C49="","",SUM(J49:O49))</f>
        <v/>
      </c>
      <c r="W49" s="36" t="str">
        <f aca="false">IF(C49="","",SUM(P49:U49))</f>
        <v/>
      </c>
      <c r="X49" s="19" t="str">
        <f aca="false">IF(OR(C49="",V49=0),"",W49/V49)</f>
        <v/>
      </c>
      <c r="Y49" s="16" t="str">
        <f aca="false">IF(OR(C49="",V49=0),"",IF(W49&gt;=V49,"Sí","No"))</f>
        <v/>
      </c>
      <c r="Z49" s="9"/>
      <c r="AA49" s="9"/>
    </row>
    <row r="50" customFormat="false" ht="15" hidden="false" customHeight="false" outlineLevel="0" collapsed="false">
      <c r="A50" s="9"/>
      <c r="B50" s="9"/>
      <c r="C50" s="9"/>
      <c r="D50" s="16" t="str">
        <f aca="false">IF(C50="","",IFERROR(INDEX(LOOKAHEAD!$B$5:$B$204,MATCH(C50,LOOKAHEAD!$A$5:$A$204,0)),""))</f>
        <v/>
      </c>
      <c r="E50" s="16" t="str">
        <f aca="false">IF(C50="","",IFERROR(INDEX(LOOKAHEAD!$E$5:$E$204,MATCH(C50,LOOKAHEAD!$A$5:$A$204,0)),""))</f>
        <v/>
      </c>
      <c r="F50" s="16" t="str">
        <f aca="false">IF(C50="","",IFERROR(INDEX(LOOKAHEAD!$M$5:$M$204,MATCH(C50,LOOKAHEAD!$A$5:$A$204,0)),""))</f>
        <v/>
      </c>
      <c r="G50" s="9"/>
      <c r="H50" s="9"/>
      <c r="I50" s="16" t="str">
        <f aca="false">IF(C50="","",IFERROR(INDEX(LOOKAHEAD!$G$5:$G$204,MATCH(C50,LOOKAHEAD!$A$5:$A$204,0)),""))</f>
        <v/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36" t="str">
        <f aca="false">IF(C50="","",SUM(J50:O50))</f>
        <v/>
      </c>
      <c r="W50" s="36" t="str">
        <f aca="false">IF(C50="","",SUM(P50:U50))</f>
        <v/>
      </c>
      <c r="X50" s="19" t="str">
        <f aca="false">IF(OR(C50="",V50=0),"",W50/V50)</f>
        <v/>
      </c>
      <c r="Y50" s="16" t="str">
        <f aca="false">IF(OR(C50="",V50=0),"",IF(W50&gt;=V50,"Sí","No"))</f>
        <v/>
      </c>
      <c r="Z50" s="9"/>
      <c r="AA50" s="9"/>
    </row>
    <row r="51" customFormat="false" ht="15" hidden="false" customHeight="false" outlineLevel="0" collapsed="false">
      <c r="A51" s="9"/>
      <c r="B51" s="9"/>
      <c r="C51" s="9"/>
      <c r="D51" s="16" t="str">
        <f aca="false">IF(C51="","",IFERROR(INDEX(LOOKAHEAD!$B$5:$B$204,MATCH(C51,LOOKAHEAD!$A$5:$A$204,0)),""))</f>
        <v/>
      </c>
      <c r="E51" s="16" t="str">
        <f aca="false">IF(C51="","",IFERROR(INDEX(LOOKAHEAD!$E$5:$E$204,MATCH(C51,LOOKAHEAD!$A$5:$A$204,0)),""))</f>
        <v/>
      </c>
      <c r="F51" s="16" t="str">
        <f aca="false">IF(C51="","",IFERROR(INDEX(LOOKAHEAD!$M$5:$M$204,MATCH(C51,LOOKAHEAD!$A$5:$A$204,0)),""))</f>
        <v/>
      </c>
      <c r="G51" s="9"/>
      <c r="H51" s="9"/>
      <c r="I51" s="16" t="str">
        <f aca="false">IF(C51="","",IFERROR(INDEX(LOOKAHEAD!$G$5:$G$204,MATCH(C51,LOOKAHEAD!$A$5:$A$204,0)),""))</f>
        <v/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36" t="str">
        <f aca="false">IF(C51="","",SUM(J51:O51))</f>
        <v/>
      </c>
      <c r="W51" s="36" t="str">
        <f aca="false">IF(C51="","",SUM(P51:U51))</f>
        <v/>
      </c>
      <c r="X51" s="19" t="str">
        <f aca="false">IF(OR(C51="",V51=0),"",W51/V51)</f>
        <v/>
      </c>
      <c r="Y51" s="16" t="str">
        <f aca="false">IF(OR(C51="",V51=0),"",IF(W51&gt;=V51,"Sí","No"))</f>
        <v/>
      </c>
      <c r="Z51" s="9"/>
      <c r="AA51" s="9"/>
    </row>
    <row r="52" customFormat="false" ht="15" hidden="false" customHeight="false" outlineLevel="0" collapsed="false">
      <c r="A52" s="9"/>
      <c r="B52" s="9"/>
      <c r="C52" s="9"/>
      <c r="D52" s="16" t="str">
        <f aca="false">IF(C52="","",IFERROR(INDEX(LOOKAHEAD!$B$5:$B$204,MATCH(C52,LOOKAHEAD!$A$5:$A$204,0)),""))</f>
        <v/>
      </c>
      <c r="E52" s="16" t="str">
        <f aca="false">IF(C52="","",IFERROR(INDEX(LOOKAHEAD!$E$5:$E$204,MATCH(C52,LOOKAHEAD!$A$5:$A$204,0)),""))</f>
        <v/>
      </c>
      <c r="F52" s="16" t="str">
        <f aca="false">IF(C52="","",IFERROR(INDEX(LOOKAHEAD!$M$5:$M$204,MATCH(C52,LOOKAHEAD!$A$5:$A$204,0)),""))</f>
        <v/>
      </c>
      <c r="G52" s="9"/>
      <c r="H52" s="9"/>
      <c r="I52" s="16" t="str">
        <f aca="false">IF(C52="","",IFERROR(INDEX(LOOKAHEAD!$G$5:$G$204,MATCH(C52,LOOKAHEAD!$A$5:$A$204,0)),""))</f>
        <v/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36" t="str">
        <f aca="false">IF(C52="","",SUM(J52:O52))</f>
        <v/>
      </c>
      <c r="W52" s="36" t="str">
        <f aca="false">IF(C52="","",SUM(P52:U52))</f>
        <v/>
      </c>
      <c r="X52" s="19" t="str">
        <f aca="false">IF(OR(C52="",V52=0),"",W52/V52)</f>
        <v/>
      </c>
      <c r="Y52" s="16" t="str">
        <f aca="false">IF(OR(C52="",V52=0),"",IF(W52&gt;=V52,"Sí","No"))</f>
        <v/>
      </c>
      <c r="Z52" s="9"/>
      <c r="AA52" s="9"/>
    </row>
    <row r="53" customFormat="false" ht="15" hidden="false" customHeight="false" outlineLevel="0" collapsed="false">
      <c r="A53" s="9"/>
      <c r="B53" s="9"/>
      <c r="C53" s="9"/>
      <c r="D53" s="16" t="str">
        <f aca="false">IF(C53="","",IFERROR(INDEX(LOOKAHEAD!$B$5:$B$204,MATCH(C53,LOOKAHEAD!$A$5:$A$204,0)),""))</f>
        <v/>
      </c>
      <c r="E53" s="16" t="str">
        <f aca="false">IF(C53="","",IFERROR(INDEX(LOOKAHEAD!$E$5:$E$204,MATCH(C53,LOOKAHEAD!$A$5:$A$204,0)),""))</f>
        <v/>
      </c>
      <c r="F53" s="16" t="str">
        <f aca="false">IF(C53="","",IFERROR(INDEX(LOOKAHEAD!$M$5:$M$204,MATCH(C53,LOOKAHEAD!$A$5:$A$204,0)),""))</f>
        <v/>
      </c>
      <c r="G53" s="9"/>
      <c r="H53" s="9"/>
      <c r="I53" s="16" t="str">
        <f aca="false">IF(C53="","",IFERROR(INDEX(LOOKAHEAD!$G$5:$G$204,MATCH(C53,LOOKAHEAD!$A$5:$A$204,0)),""))</f>
        <v/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36" t="str">
        <f aca="false">IF(C53="","",SUM(J53:O53))</f>
        <v/>
      </c>
      <c r="W53" s="36" t="str">
        <f aca="false">IF(C53="","",SUM(P53:U53))</f>
        <v/>
      </c>
      <c r="X53" s="19" t="str">
        <f aca="false">IF(OR(C53="",V53=0),"",W53/V53)</f>
        <v/>
      </c>
      <c r="Y53" s="16" t="str">
        <f aca="false">IF(OR(C53="",V53=0),"",IF(W53&gt;=V53,"Sí","No"))</f>
        <v/>
      </c>
      <c r="Z53" s="9"/>
      <c r="AA53" s="9"/>
    </row>
    <row r="54" customFormat="false" ht="15" hidden="false" customHeight="false" outlineLevel="0" collapsed="false">
      <c r="A54" s="9"/>
      <c r="B54" s="9"/>
      <c r="C54" s="9"/>
      <c r="D54" s="16" t="str">
        <f aca="false">IF(C54="","",IFERROR(INDEX(LOOKAHEAD!$B$5:$B$204,MATCH(C54,LOOKAHEAD!$A$5:$A$204,0)),""))</f>
        <v/>
      </c>
      <c r="E54" s="16" t="str">
        <f aca="false">IF(C54="","",IFERROR(INDEX(LOOKAHEAD!$E$5:$E$204,MATCH(C54,LOOKAHEAD!$A$5:$A$204,0)),""))</f>
        <v/>
      </c>
      <c r="F54" s="16" t="str">
        <f aca="false">IF(C54="","",IFERROR(INDEX(LOOKAHEAD!$M$5:$M$204,MATCH(C54,LOOKAHEAD!$A$5:$A$204,0)),""))</f>
        <v/>
      </c>
      <c r="G54" s="9"/>
      <c r="H54" s="9"/>
      <c r="I54" s="16" t="str">
        <f aca="false">IF(C54="","",IFERROR(INDEX(LOOKAHEAD!$G$5:$G$204,MATCH(C54,LOOKAHEAD!$A$5:$A$204,0)),""))</f>
        <v/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36" t="str">
        <f aca="false">IF(C54="","",SUM(J54:O54))</f>
        <v/>
      </c>
      <c r="W54" s="36" t="str">
        <f aca="false">IF(C54="","",SUM(P54:U54))</f>
        <v/>
      </c>
      <c r="X54" s="19" t="str">
        <f aca="false">IF(OR(C54="",V54=0),"",W54/V54)</f>
        <v/>
      </c>
      <c r="Y54" s="16" t="str">
        <f aca="false">IF(OR(C54="",V54=0),"",IF(W54&gt;=V54,"Sí","No"))</f>
        <v/>
      </c>
      <c r="Z54" s="9"/>
      <c r="AA54" s="9"/>
    </row>
    <row r="55" customFormat="false" ht="15" hidden="false" customHeight="false" outlineLevel="0" collapsed="false">
      <c r="A55" s="9"/>
      <c r="B55" s="9"/>
      <c r="C55" s="9"/>
      <c r="D55" s="16" t="str">
        <f aca="false">IF(C55="","",IFERROR(INDEX(LOOKAHEAD!$B$5:$B$204,MATCH(C55,LOOKAHEAD!$A$5:$A$204,0)),""))</f>
        <v/>
      </c>
      <c r="E55" s="16" t="str">
        <f aca="false">IF(C55="","",IFERROR(INDEX(LOOKAHEAD!$E$5:$E$204,MATCH(C55,LOOKAHEAD!$A$5:$A$204,0)),""))</f>
        <v/>
      </c>
      <c r="F55" s="16" t="str">
        <f aca="false">IF(C55="","",IFERROR(INDEX(LOOKAHEAD!$M$5:$M$204,MATCH(C55,LOOKAHEAD!$A$5:$A$204,0)),""))</f>
        <v/>
      </c>
      <c r="G55" s="9"/>
      <c r="H55" s="9"/>
      <c r="I55" s="16" t="str">
        <f aca="false">IF(C55="","",IFERROR(INDEX(LOOKAHEAD!$G$5:$G$204,MATCH(C55,LOOKAHEAD!$A$5:$A$204,0)),""))</f>
        <v/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36" t="str">
        <f aca="false">IF(C55="","",SUM(J55:O55))</f>
        <v/>
      </c>
      <c r="W55" s="36" t="str">
        <f aca="false">IF(C55="","",SUM(P55:U55))</f>
        <v/>
      </c>
      <c r="X55" s="19" t="str">
        <f aca="false">IF(OR(C55="",V55=0),"",W55/V55)</f>
        <v/>
      </c>
      <c r="Y55" s="16" t="str">
        <f aca="false">IF(OR(C55="",V55=0),"",IF(W55&gt;=V55,"Sí","No"))</f>
        <v/>
      </c>
      <c r="Z55" s="9"/>
      <c r="AA55" s="9"/>
    </row>
    <row r="56" customFormat="false" ht="15" hidden="false" customHeight="false" outlineLevel="0" collapsed="false">
      <c r="A56" s="9"/>
      <c r="B56" s="9"/>
      <c r="C56" s="9"/>
      <c r="D56" s="16" t="str">
        <f aca="false">IF(C56="","",IFERROR(INDEX(LOOKAHEAD!$B$5:$B$204,MATCH(C56,LOOKAHEAD!$A$5:$A$204,0)),""))</f>
        <v/>
      </c>
      <c r="E56" s="16" t="str">
        <f aca="false">IF(C56="","",IFERROR(INDEX(LOOKAHEAD!$E$5:$E$204,MATCH(C56,LOOKAHEAD!$A$5:$A$204,0)),""))</f>
        <v/>
      </c>
      <c r="F56" s="16" t="str">
        <f aca="false">IF(C56="","",IFERROR(INDEX(LOOKAHEAD!$M$5:$M$204,MATCH(C56,LOOKAHEAD!$A$5:$A$204,0)),""))</f>
        <v/>
      </c>
      <c r="G56" s="9"/>
      <c r="H56" s="9"/>
      <c r="I56" s="16" t="str">
        <f aca="false">IF(C56="","",IFERROR(INDEX(LOOKAHEAD!$G$5:$G$204,MATCH(C56,LOOKAHEAD!$A$5:$A$204,0)),""))</f>
        <v/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36" t="str">
        <f aca="false">IF(C56="","",SUM(J56:O56))</f>
        <v/>
      </c>
      <c r="W56" s="36" t="str">
        <f aca="false">IF(C56="","",SUM(P56:U56))</f>
        <v/>
      </c>
      <c r="X56" s="19" t="str">
        <f aca="false">IF(OR(C56="",V56=0),"",W56/V56)</f>
        <v/>
      </c>
      <c r="Y56" s="16" t="str">
        <f aca="false">IF(OR(C56="",V56=0),"",IF(W56&gt;=V56,"Sí","No"))</f>
        <v/>
      </c>
      <c r="Z56" s="9"/>
      <c r="AA56" s="9"/>
    </row>
    <row r="57" customFormat="false" ht="15" hidden="false" customHeight="false" outlineLevel="0" collapsed="false">
      <c r="A57" s="9"/>
      <c r="B57" s="9"/>
      <c r="C57" s="9"/>
      <c r="D57" s="16" t="str">
        <f aca="false">IF(C57="","",IFERROR(INDEX(LOOKAHEAD!$B$5:$B$204,MATCH(C57,LOOKAHEAD!$A$5:$A$204,0)),""))</f>
        <v/>
      </c>
      <c r="E57" s="16" t="str">
        <f aca="false">IF(C57="","",IFERROR(INDEX(LOOKAHEAD!$E$5:$E$204,MATCH(C57,LOOKAHEAD!$A$5:$A$204,0)),""))</f>
        <v/>
      </c>
      <c r="F57" s="16" t="str">
        <f aca="false">IF(C57="","",IFERROR(INDEX(LOOKAHEAD!$M$5:$M$204,MATCH(C57,LOOKAHEAD!$A$5:$A$204,0)),""))</f>
        <v/>
      </c>
      <c r="G57" s="9"/>
      <c r="H57" s="9"/>
      <c r="I57" s="16" t="str">
        <f aca="false">IF(C57="","",IFERROR(INDEX(LOOKAHEAD!$G$5:$G$204,MATCH(C57,LOOKAHEAD!$A$5:$A$204,0)),""))</f>
        <v/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36" t="str">
        <f aca="false">IF(C57="","",SUM(J57:O57))</f>
        <v/>
      </c>
      <c r="W57" s="36" t="str">
        <f aca="false">IF(C57="","",SUM(P57:U57))</f>
        <v/>
      </c>
      <c r="X57" s="19" t="str">
        <f aca="false">IF(OR(C57="",V57=0),"",W57/V57)</f>
        <v/>
      </c>
      <c r="Y57" s="16" t="str">
        <f aca="false">IF(OR(C57="",V57=0),"",IF(W57&gt;=V57,"Sí","No"))</f>
        <v/>
      </c>
      <c r="Z57" s="9"/>
      <c r="AA57" s="9"/>
    </row>
    <row r="58" customFormat="false" ht="15" hidden="false" customHeight="false" outlineLevel="0" collapsed="false">
      <c r="A58" s="9"/>
      <c r="B58" s="9"/>
      <c r="C58" s="9"/>
      <c r="D58" s="16" t="str">
        <f aca="false">IF(C58="","",IFERROR(INDEX(LOOKAHEAD!$B$5:$B$204,MATCH(C58,LOOKAHEAD!$A$5:$A$204,0)),""))</f>
        <v/>
      </c>
      <c r="E58" s="16" t="str">
        <f aca="false">IF(C58="","",IFERROR(INDEX(LOOKAHEAD!$E$5:$E$204,MATCH(C58,LOOKAHEAD!$A$5:$A$204,0)),""))</f>
        <v/>
      </c>
      <c r="F58" s="16" t="str">
        <f aca="false">IF(C58="","",IFERROR(INDEX(LOOKAHEAD!$M$5:$M$204,MATCH(C58,LOOKAHEAD!$A$5:$A$204,0)),""))</f>
        <v/>
      </c>
      <c r="G58" s="9"/>
      <c r="H58" s="9"/>
      <c r="I58" s="16" t="str">
        <f aca="false">IF(C58="","",IFERROR(INDEX(LOOKAHEAD!$G$5:$G$204,MATCH(C58,LOOKAHEAD!$A$5:$A$204,0)),""))</f>
        <v/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36" t="str">
        <f aca="false">IF(C58="","",SUM(J58:O58))</f>
        <v/>
      </c>
      <c r="W58" s="36" t="str">
        <f aca="false">IF(C58="","",SUM(P58:U58))</f>
        <v/>
      </c>
      <c r="X58" s="19" t="str">
        <f aca="false">IF(OR(C58="",V58=0),"",W58/V58)</f>
        <v/>
      </c>
      <c r="Y58" s="16" t="str">
        <f aca="false">IF(OR(C58="",V58=0),"",IF(W58&gt;=V58,"Sí","No"))</f>
        <v/>
      </c>
      <c r="Z58" s="9"/>
      <c r="AA58" s="9"/>
    </row>
    <row r="59" customFormat="false" ht="15" hidden="false" customHeight="false" outlineLevel="0" collapsed="false">
      <c r="A59" s="9"/>
      <c r="B59" s="9"/>
      <c r="C59" s="9"/>
      <c r="D59" s="16" t="str">
        <f aca="false">IF(C59="","",IFERROR(INDEX(LOOKAHEAD!$B$5:$B$204,MATCH(C59,LOOKAHEAD!$A$5:$A$204,0)),""))</f>
        <v/>
      </c>
      <c r="E59" s="16" t="str">
        <f aca="false">IF(C59="","",IFERROR(INDEX(LOOKAHEAD!$E$5:$E$204,MATCH(C59,LOOKAHEAD!$A$5:$A$204,0)),""))</f>
        <v/>
      </c>
      <c r="F59" s="16" t="str">
        <f aca="false">IF(C59="","",IFERROR(INDEX(LOOKAHEAD!$M$5:$M$204,MATCH(C59,LOOKAHEAD!$A$5:$A$204,0)),""))</f>
        <v/>
      </c>
      <c r="G59" s="9"/>
      <c r="H59" s="9"/>
      <c r="I59" s="16" t="str">
        <f aca="false">IF(C59="","",IFERROR(INDEX(LOOKAHEAD!$G$5:$G$204,MATCH(C59,LOOKAHEAD!$A$5:$A$204,0)),""))</f>
        <v/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36" t="str">
        <f aca="false">IF(C59="","",SUM(J59:O59))</f>
        <v/>
      </c>
      <c r="W59" s="36" t="str">
        <f aca="false">IF(C59="","",SUM(P59:U59))</f>
        <v/>
      </c>
      <c r="X59" s="19" t="str">
        <f aca="false">IF(OR(C59="",V59=0),"",W59/V59)</f>
        <v/>
      </c>
      <c r="Y59" s="16" t="str">
        <f aca="false">IF(OR(C59="",V59=0),"",IF(W59&gt;=V59,"Sí","No"))</f>
        <v/>
      </c>
      <c r="Z59" s="9"/>
      <c r="AA59" s="9"/>
    </row>
    <row r="60" customFormat="false" ht="15" hidden="false" customHeight="false" outlineLevel="0" collapsed="false">
      <c r="A60" s="9"/>
      <c r="B60" s="9"/>
      <c r="C60" s="9"/>
      <c r="D60" s="16" t="str">
        <f aca="false">IF(C60="","",IFERROR(INDEX(LOOKAHEAD!$B$5:$B$204,MATCH(C60,LOOKAHEAD!$A$5:$A$204,0)),""))</f>
        <v/>
      </c>
      <c r="E60" s="16" t="str">
        <f aca="false">IF(C60="","",IFERROR(INDEX(LOOKAHEAD!$E$5:$E$204,MATCH(C60,LOOKAHEAD!$A$5:$A$204,0)),""))</f>
        <v/>
      </c>
      <c r="F60" s="16" t="str">
        <f aca="false">IF(C60="","",IFERROR(INDEX(LOOKAHEAD!$M$5:$M$204,MATCH(C60,LOOKAHEAD!$A$5:$A$204,0)),""))</f>
        <v/>
      </c>
      <c r="G60" s="9"/>
      <c r="H60" s="9"/>
      <c r="I60" s="16" t="str">
        <f aca="false">IF(C60="","",IFERROR(INDEX(LOOKAHEAD!$G$5:$G$204,MATCH(C60,LOOKAHEAD!$A$5:$A$204,0)),""))</f>
        <v/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36" t="str">
        <f aca="false">IF(C60="","",SUM(J60:O60))</f>
        <v/>
      </c>
      <c r="W60" s="36" t="str">
        <f aca="false">IF(C60="","",SUM(P60:U60))</f>
        <v/>
      </c>
      <c r="X60" s="19" t="str">
        <f aca="false">IF(OR(C60="",V60=0),"",W60/V60)</f>
        <v/>
      </c>
      <c r="Y60" s="16" t="str">
        <f aca="false">IF(OR(C60="",V60=0),"",IF(W60&gt;=V60,"Sí","No"))</f>
        <v/>
      </c>
      <c r="Z60" s="9"/>
      <c r="AA60" s="9"/>
    </row>
    <row r="61" customFormat="false" ht="15" hidden="false" customHeight="false" outlineLevel="0" collapsed="false">
      <c r="A61" s="9"/>
      <c r="B61" s="9"/>
      <c r="C61" s="9"/>
      <c r="D61" s="16" t="str">
        <f aca="false">IF(C61="","",IFERROR(INDEX(LOOKAHEAD!$B$5:$B$204,MATCH(C61,LOOKAHEAD!$A$5:$A$204,0)),""))</f>
        <v/>
      </c>
      <c r="E61" s="16" t="str">
        <f aca="false">IF(C61="","",IFERROR(INDEX(LOOKAHEAD!$E$5:$E$204,MATCH(C61,LOOKAHEAD!$A$5:$A$204,0)),""))</f>
        <v/>
      </c>
      <c r="F61" s="16" t="str">
        <f aca="false">IF(C61="","",IFERROR(INDEX(LOOKAHEAD!$M$5:$M$204,MATCH(C61,LOOKAHEAD!$A$5:$A$204,0)),""))</f>
        <v/>
      </c>
      <c r="G61" s="9"/>
      <c r="H61" s="9"/>
      <c r="I61" s="16" t="str">
        <f aca="false">IF(C61="","",IFERROR(INDEX(LOOKAHEAD!$G$5:$G$204,MATCH(C61,LOOKAHEAD!$A$5:$A$204,0)),""))</f>
        <v/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36" t="str">
        <f aca="false">IF(C61="","",SUM(J61:O61))</f>
        <v/>
      </c>
      <c r="W61" s="36" t="str">
        <f aca="false">IF(C61="","",SUM(P61:U61))</f>
        <v/>
      </c>
      <c r="X61" s="19" t="str">
        <f aca="false">IF(OR(C61="",V61=0),"",W61/V61)</f>
        <v/>
      </c>
      <c r="Y61" s="16" t="str">
        <f aca="false">IF(OR(C61="",V61=0),"",IF(W61&gt;=V61,"Sí","No"))</f>
        <v/>
      </c>
      <c r="Z61" s="9"/>
      <c r="AA61" s="9"/>
    </row>
    <row r="62" customFormat="false" ht="15" hidden="false" customHeight="false" outlineLevel="0" collapsed="false">
      <c r="A62" s="9"/>
      <c r="B62" s="9"/>
      <c r="C62" s="9"/>
      <c r="D62" s="16" t="str">
        <f aca="false">IF(C62="","",IFERROR(INDEX(LOOKAHEAD!$B$5:$B$204,MATCH(C62,LOOKAHEAD!$A$5:$A$204,0)),""))</f>
        <v/>
      </c>
      <c r="E62" s="16" t="str">
        <f aca="false">IF(C62="","",IFERROR(INDEX(LOOKAHEAD!$E$5:$E$204,MATCH(C62,LOOKAHEAD!$A$5:$A$204,0)),""))</f>
        <v/>
      </c>
      <c r="F62" s="16" t="str">
        <f aca="false">IF(C62="","",IFERROR(INDEX(LOOKAHEAD!$M$5:$M$204,MATCH(C62,LOOKAHEAD!$A$5:$A$204,0)),""))</f>
        <v/>
      </c>
      <c r="G62" s="9"/>
      <c r="H62" s="9"/>
      <c r="I62" s="16" t="str">
        <f aca="false">IF(C62="","",IFERROR(INDEX(LOOKAHEAD!$G$5:$G$204,MATCH(C62,LOOKAHEAD!$A$5:$A$204,0)),""))</f>
        <v/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6" t="str">
        <f aca="false">IF(C62="","",SUM(J62:O62))</f>
        <v/>
      </c>
      <c r="W62" s="36" t="str">
        <f aca="false">IF(C62="","",SUM(P62:U62))</f>
        <v/>
      </c>
      <c r="X62" s="19" t="str">
        <f aca="false">IF(OR(C62="",V62=0),"",W62/V62)</f>
        <v/>
      </c>
      <c r="Y62" s="16" t="str">
        <f aca="false">IF(OR(C62="",V62=0),"",IF(W62&gt;=V62,"Sí","No"))</f>
        <v/>
      </c>
      <c r="Z62" s="9"/>
      <c r="AA62" s="9"/>
    </row>
    <row r="63" customFormat="false" ht="15" hidden="false" customHeight="false" outlineLevel="0" collapsed="false">
      <c r="A63" s="9"/>
      <c r="B63" s="9"/>
      <c r="C63" s="9"/>
      <c r="D63" s="16" t="str">
        <f aca="false">IF(C63="","",IFERROR(INDEX(LOOKAHEAD!$B$5:$B$204,MATCH(C63,LOOKAHEAD!$A$5:$A$204,0)),""))</f>
        <v/>
      </c>
      <c r="E63" s="16" t="str">
        <f aca="false">IF(C63="","",IFERROR(INDEX(LOOKAHEAD!$E$5:$E$204,MATCH(C63,LOOKAHEAD!$A$5:$A$204,0)),""))</f>
        <v/>
      </c>
      <c r="F63" s="16" t="str">
        <f aca="false">IF(C63="","",IFERROR(INDEX(LOOKAHEAD!$M$5:$M$204,MATCH(C63,LOOKAHEAD!$A$5:$A$204,0)),""))</f>
        <v/>
      </c>
      <c r="G63" s="9"/>
      <c r="H63" s="9"/>
      <c r="I63" s="16" t="str">
        <f aca="false">IF(C63="","",IFERROR(INDEX(LOOKAHEAD!$G$5:$G$204,MATCH(C63,LOOKAHEAD!$A$5:$A$204,0)),""))</f>
        <v/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36" t="str">
        <f aca="false">IF(C63="","",SUM(J63:O63))</f>
        <v/>
      </c>
      <c r="W63" s="36" t="str">
        <f aca="false">IF(C63="","",SUM(P63:U63))</f>
        <v/>
      </c>
      <c r="X63" s="19" t="str">
        <f aca="false">IF(OR(C63="",V63=0),"",W63/V63)</f>
        <v/>
      </c>
      <c r="Y63" s="16" t="str">
        <f aca="false">IF(OR(C63="",V63=0),"",IF(W63&gt;=V63,"Sí","No"))</f>
        <v/>
      </c>
      <c r="Z63" s="9"/>
      <c r="AA63" s="9"/>
    </row>
    <row r="64" customFormat="false" ht="15" hidden="false" customHeight="false" outlineLevel="0" collapsed="false">
      <c r="A64" s="9"/>
      <c r="B64" s="9"/>
      <c r="C64" s="9"/>
      <c r="D64" s="16" t="str">
        <f aca="false">IF(C64="","",IFERROR(INDEX(LOOKAHEAD!$B$5:$B$204,MATCH(C64,LOOKAHEAD!$A$5:$A$204,0)),""))</f>
        <v/>
      </c>
      <c r="E64" s="16" t="str">
        <f aca="false">IF(C64="","",IFERROR(INDEX(LOOKAHEAD!$E$5:$E$204,MATCH(C64,LOOKAHEAD!$A$5:$A$204,0)),""))</f>
        <v/>
      </c>
      <c r="F64" s="16" t="str">
        <f aca="false">IF(C64="","",IFERROR(INDEX(LOOKAHEAD!$M$5:$M$204,MATCH(C64,LOOKAHEAD!$A$5:$A$204,0)),""))</f>
        <v/>
      </c>
      <c r="G64" s="9"/>
      <c r="H64" s="9"/>
      <c r="I64" s="16" t="str">
        <f aca="false">IF(C64="","",IFERROR(INDEX(LOOKAHEAD!$G$5:$G$204,MATCH(C64,LOOKAHEAD!$A$5:$A$204,0)),""))</f>
        <v/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36" t="str">
        <f aca="false">IF(C64="","",SUM(J64:O64))</f>
        <v/>
      </c>
      <c r="W64" s="36" t="str">
        <f aca="false">IF(C64="","",SUM(P64:U64))</f>
        <v/>
      </c>
      <c r="X64" s="19" t="str">
        <f aca="false">IF(OR(C64="",V64=0),"",W64/V64)</f>
        <v/>
      </c>
      <c r="Y64" s="16" t="str">
        <f aca="false">IF(OR(C64="",V64=0),"",IF(W64&gt;=V64,"Sí","No"))</f>
        <v/>
      </c>
      <c r="Z64" s="9"/>
      <c r="AA64" s="9"/>
    </row>
    <row r="65" customFormat="false" ht="15" hidden="false" customHeight="false" outlineLevel="0" collapsed="false">
      <c r="A65" s="9"/>
      <c r="B65" s="9"/>
      <c r="C65" s="9"/>
      <c r="D65" s="16" t="str">
        <f aca="false">IF(C65="","",IFERROR(INDEX(LOOKAHEAD!$B$5:$B$204,MATCH(C65,LOOKAHEAD!$A$5:$A$204,0)),""))</f>
        <v/>
      </c>
      <c r="E65" s="16" t="str">
        <f aca="false">IF(C65="","",IFERROR(INDEX(LOOKAHEAD!$E$5:$E$204,MATCH(C65,LOOKAHEAD!$A$5:$A$204,0)),""))</f>
        <v/>
      </c>
      <c r="F65" s="16" t="str">
        <f aca="false">IF(C65="","",IFERROR(INDEX(LOOKAHEAD!$M$5:$M$204,MATCH(C65,LOOKAHEAD!$A$5:$A$204,0)),""))</f>
        <v/>
      </c>
      <c r="G65" s="9"/>
      <c r="H65" s="9"/>
      <c r="I65" s="16" t="str">
        <f aca="false">IF(C65="","",IFERROR(INDEX(LOOKAHEAD!$G$5:$G$204,MATCH(C65,LOOKAHEAD!$A$5:$A$204,0)),""))</f>
        <v/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36" t="str">
        <f aca="false">IF(C65="","",SUM(J65:O65))</f>
        <v/>
      </c>
      <c r="W65" s="36" t="str">
        <f aca="false">IF(C65="","",SUM(P65:U65))</f>
        <v/>
      </c>
      <c r="X65" s="19" t="str">
        <f aca="false">IF(OR(C65="",V65=0),"",W65/V65)</f>
        <v/>
      </c>
      <c r="Y65" s="16" t="str">
        <f aca="false">IF(OR(C65="",V65=0),"",IF(W65&gt;=V65,"Sí","No"))</f>
        <v/>
      </c>
      <c r="Z65" s="9"/>
      <c r="AA65" s="9"/>
    </row>
    <row r="66" customFormat="false" ht="15" hidden="false" customHeight="false" outlineLevel="0" collapsed="false">
      <c r="A66" s="9"/>
      <c r="B66" s="9"/>
      <c r="C66" s="9"/>
      <c r="D66" s="16" t="str">
        <f aca="false">IF(C66="","",IFERROR(INDEX(LOOKAHEAD!$B$5:$B$204,MATCH(C66,LOOKAHEAD!$A$5:$A$204,0)),""))</f>
        <v/>
      </c>
      <c r="E66" s="16" t="str">
        <f aca="false">IF(C66="","",IFERROR(INDEX(LOOKAHEAD!$E$5:$E$204,MATCH(C66,LOOKAHEAD!$A$5:$A$204,0)),""))</f>
        <v/>
      </c>
      <c r="F66" s="16" t="str">
        <f aca="false">IF(C66="","",IFERROR(INDEX(LOOKAHEAD!$M$5:$M$204,MATCH(C66,LOOKAHEAD!$A$5:$A$204,0)),""))</f>
        <v/>
      </c>
      <c r="G66" s="9"/>
      <c r="H66" s="9"/>
      <c r="I66" s="16" t="str">
        <f aca="false">IF(C66="","",IFERROR(INDEX(LOOKAHEAD!$G$5:$G$204,MATCH(C66,LOOKAHEAD!$A$5:$A$204,0)),""))</f>
        <v/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36" t="str">
        <f aca="false">IF(C66="","",SUM(J66:O66))</f>
        <v/>
      </c>
      <c r="W66" s="36" t="str">
        <f aca="false">IF(C66="","",SUM(P66:U66))</f>
        <v/>
      </c>
      <c r="X66" s="19" t="str">
        <f aca="false">IF(OR(C66="",V66=0),"",W66/V66)</f>
        <v/>
      </c>
      <c r="Y66" s="16" t="str">
        <f aca="false">IF(OR(C66="",V66=0),"",IF(W66&gt;=V66,"Sí","No"))</f>
        <v/>
      </c>
      <c r="Z66" s="9"/>
      <c r="AA66" s="9"/>
    </row>
    <row r="67" customFormat="false" ht="15" hidden="false" customHeight="false" outlineLevel="0" collapsed="false">
      <c r="A67" s="9"/>
      <c r="B67" s="9"/>
      <c r="C67" s="9"/>
      <c r="D67" s="16" t="str">
        <f aca="false">IF(C67="","",IFERROR(INDEX(LOOKAHEAD!$B$5:$B$204,MATCH(C67,LOOKAHEAD!$A$5:$A$204,0)),""))</f>
        <v/>
      </c>
      <c r="E67" s="16" t="str">
        <f aca="false">IF(C67="","",IFERROR(INDEX(LOOKAHEAD!$E$5:$E$204,MATCH(C67,LOOKAHEAD!$A$5:$A$204,0)),""))</f>
        <v/>
      </c>
      <c r="F67" s="16" t="str">
        <f aca="false">IF(C67="","",IFERROR(INDEX(LOOKAHEAD!$M$5:$M$204,MATCH(C67,LOOKAHEAD!$A$5:$A$204,0)),""))</f>
        <v/>
      </c>
      <c r="G67" s="9"/>
      <c r="H67" s="9"/>
      <c r="I67" s="16" t="str">
        <f aca="false">IF(C67="","",IFERROR(INDEX(LOOKAHEAD!$G$5:$G$204,MATCH(C67,LOOKAHEAD!$A$5:$A$204,0)),""))</f>
        <v/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36" t="str">
        <f aca="false">IF(C67="","",SUM(J67:O67))</f>
        <v/>
      </c>
      <c r="W67" s="36" t="str">
        <f aca="false">IF(C67="","",SUM(P67:U67))</f>
        <v/>
      </c>
      <c r="X67" s="19" t="str">
        <f aca="false">IF(OR(C67="",V67=0),"",W67/V67)</f>
        <v/>
      </c>
      <c r="Y67" s="16" t="str">
        <f aca="false">IF(OR(C67="",V67=0),"",IF(W67&gt;=V67,"Sí","No"))</f>
        <v/>
      </c>
      <c r="Z67" s="9"/>
      <c r="AA67" s="9"/>
    </row>
    <row r="68" customFormat="false" ht="15" hidden="false" customHeight="false" outlineLevel="0" collapsed="false">
      <c r="A68" s="9"/>
      <c r="B68" s="9"/>
      <c r="C68" s="9"/>
      <c r="D68" s="16" t="str">
        <f aca="false">IF(C68="","",IFERROR(INDEX(LOOKAHEAD!$B$5:$B$204,MATCH(C68,LOOKAHEAD!$A$5:$A$204,0)),""))</f>
        <v/>
      </c>
      <c r="E68" s="16" t="str">
        <f aca="false">IF(C68="","",IFERROR(INDEX(LOOKAHEAD!$E$5:$E$204,MATCH(C68,LOOKAHEAD!$A$5:$A$204,0)),""))</f>
        <v/>
      </c>
      <c r="F68" s="16" t="str">
        <f aca="false">IF(C68="","",IFERROR(INDEX(LOOKAHEAD!$M$5:$M$204,MATCH(C68,LOOKAHEAD!$A$5:$A$204,0)),""))</f>
        <v/>
      </c>
      <c r="G68" s="9"/>
      <c r="H68" s="9"/>
      <c r="I68" s="16" t="str">
        <f aca="false">IF(C68="","",IFERROR(INDEX(LOOKAHEAD!$G$5:$G$204,MATCH(C68,LOOKAHEAD!$A$5:$A$204,0)),""))</f>
        <v/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36" t="str">
        <f aca="false">IF(C68="","",SUM(J68:O68))</f>
        <v/>
      </c>
      <c r="W68" s="36" t="str">
        <f aca="false">IF(C68="","",SUM(P68:U68))</f>
        <v/>
      </c>
      <c r="X68" s="19" t="str">
        <f aca="false">IF(OR(C68="",V68=0),"",W68/V68)</f>
        <v/>
      </c>
      <c r="Y68" s="16" t="str">
        <f aca="false">IF(OR(C68="",V68=0),"",IF(W68&gt;=V68,"Sí","No"))</f>
        <v/>
      </c>
      <c r="Z68" s="9"/>
      <c r="AA68" s="9"/>
    </row>
    <row r="69" customFormat="false" ht="15" hidden="false" customHeight="false" outlineLevel="0" collapsed="false">
      <c r="A69" s="9"/>
      <c r="B69" s="9"/>
      <c r="C69" s="9"/>
      <c r="D69" s="16" t="str">
        <f aca="false">IF(C69="","",IFERROR(INDEX(LOOKAHEAD!$B$5:$B$204,MATCH(C69,LOOKAHEAD!$A$5:$A$204,0)),""))</f>
        <v/>
      </c>
      <c r="E69" s="16" t="str">
        <f aca="false">IF(C69="","",IFERROR(INDEX(LOOKAHEAD!$E$5:$E$204,MATCH(C69,LOOKAHEAD!$A$5:$A$204,0)),""))</f>
        <v/>
      </c>
      <c r="F69" s="16" t="str">
        <f aca="false">IF(C69="","",IFERROR(INDEX(LOOKAHEAD!$M$5:$M$204,MATCH(C69,LOOKAHEAD!$A$5:$A$204,0)),""))</f>
        <v/>
      </c>
      <c r="G69" s="9"/>
      <c r="H69" s="9"/>
      <c r="I69" s="16" t="str">
        <f aca="false">IF(C69="","",IFERROR(INDEX(LOOKAHEAD!$G$5:$G$204,MATCH(C69,LOOKAHEAD!$A$5:$A$204,0)),""))</f>
        <v/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36" t="str">
        <f aca="false">IF(C69="","",SUM(J69:O69))</f>
        <v/>
      </c>
      <c r="W69" s="36" t="str">
        <f aca="false">IF(C69="","",SUM(P69:U69))</f>
        <v/>
      </c>
      <c r="X69" s="19" t="str">
        <f aca="false">IF(OR(C69="",V69=0),"",W69/V69)</f>
        <v/>
      </c>
      <c r="Y69" s="16" t="str">
        <f aca="false">IF(OR(C69="",V69=0),"",IF(W69&gt;=V69,"Sí","No"))</f>
        <v/>
      </c>
      <c r="Z69" s="9"/>
      <c r="AA69" s="9"/>
    </row>
    <row r="70" customFormat="false" ht="15" hidden="false" customHeight="false" outlineLevel="0" collapsed="false">
      <c r="A70" s="9"/>
      <c r="B70" s="9"/>
      <c r="C70" s="9"/>
      <c r="D70" s="16" t="str">
        <f aca="false">IF(C70="","",IFERROR(INDEX(LOOKAHEAD!$B$5:$B$204,MATCH(C70,LOOKAHEAD!$A$5:$A$204,0)),""))</f>
        <v/>
      </c>
      <c r="E70" s="16" t="str">
        <f aca="false">IF(C70="","",IFERROR(INDEX(LOOKAHEAD!$E$5:$E$204,MATCH(C70,LOOKAHEAD!$A$5:$A$204,0)),""))</f>
        <v/>
      </c>
      <c r="F70" s="16" t="str">
        <f aca="false">IF(C70="","",IFERROR(INDEX(LOOKAHEAD!$M$5:$M$204,MATCH(C70,LOOKAHEAD!$A$5:$A$204,0)),""))</f>
        <v/>
      </c>
      <c r="G70" s="9"/>
      <c r="H70" s="9"/>
      <c r="I70" s="16" t="str">
        <f aca="false">IF(C70="","",IFERROR(INDEX(LOOKAHEAD!$G$5:$G$204,MATCH(C70,LOOKAHEAD!$A$5:$A$204,0)),""))</f>
        <v/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36" t="str">
        <f aca="false">IF(C70="","",SUM(J70:O70))</f>
        <v/>
      </c>
      <c r="W70" s="36" t="str">
        <f aca="false">IF(C70="","",SUM(P70:U70))</f>
        <v/>
      </c>
      <c r="X70" s="19" t="str">
        <f aca="false">IF(OR(C70="",V70=0),"",W70/V70)</f>
        <v/>
      </c>
      <c r="Y70" s="16" t="str">
        <f aca="false">IF(OR(C70="",V70=0),"",IF(W70&gt;=V70,"Sí","No"))</f>
        <v/>
      </c>
      <c r="Z70" s="9"/>
      <c r="AA70" s="9"/>
    </row>
    <row r="71" customFormat="false" ht="15" hidden="false" customHeight="false" outlineLevel="0" collapsed="false">
      <c r="A71" s="9"/>
      <c r="B71" s="9"/>
      <c r="C71" s="9"/>
      <c r="D71" s="16" t="str">
        <f aca="false">IF(C71="","",IFERROR(INDEX(LOOKAHEAD!$B$5:$B$204,MATCH(C71,LOOKAHEAD!$A$5:$A$204,0)),""))</f>
        <v/>
      </c>
      <c r="E71" s="16" t="str">
        <f aca="false">IF(C71="","",IFERROR(INDEX(LOOKAHEAD!$E$5:$E$204,MATCH(C71,LOOKAHEAD!$A$5:$A$204,0)),""))</f>
        <v/>
      </c>
      <c r="F71" s="16" t="str">
        <f aca="false">IF(C71="","",IFERROR(INDEX(LOOKAHEAD!$M$5:$M$204,MATCH(C71,LOOKAHEAD!$A$5:$A$204,0)),""))</f>
        <v/>
      </c>
      <c r="G71" s="9"/>
      <c r="H71" s="9"/>
      <c r="I71" s="16" t="str">
        <f aca="false">IF(C71="","",IFERROR(INDEX(LOOKAHEAD!$G$5:$G$204,MATCH(C71,LOOKAHEAD!$A$5:$A$204,0)),""))</f>
        <v/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36" t="str">
        <f aca="false">IF(C71="","",SUM(J71:O71))</f>
        <v/>
      </c>
      <c r="W71" s="36" t="str">
        <f aca="false">IF(C71="","",SUM(P71:U71))</f>
        <v/>
      </c>
      <c r="X71" s="19" t="str">
        <f aca="false">IF(OR(C71="",V71=0),"",W71/V71)</f>
        <v/>
      </c>
      <c r="Y71" s="16" t="str">
        <f aca="false">IF(OR(C71="",V71=0),"",IF(W71&gt;=V71,"Sí","No"))</f>
        <v/>
      </c>
      <c r="Z71" s="9"/>
      <c r="AA71" s="9"/>
    </row>
    <row r="72" customFormat="false" ht="15" hidden="false" customHeight="false" outlineLevel="0" collapsed="false">
      <c r="A72" s="9"/>
      <c r="B72" s="9"/>
      <c r="C72" s="9"/>
      <c r="D72" s="16" t="str">
        <f aca="false">IF(C72="","",IFERROR(INDEX(LOOKAHEAD!$B$5:$B$204,MATCH(C72,LOOKAHEAD!$A$5:$A$204,0)),""))</f>
        <v/>
      </c>
      <c r="E72" s="16" t="str">
        <f aca="false">IF(C72="","",IFERROR(INDEX(LOOKAHEAD!$E$5:$E$204,MATCH(C72,LOOKAHEAD!$A$5:$A$204,0)),""))</f>
        <v/>
      </c>
      <c r="F72" s="16" t="str">
        <f aca="false">IF(C72="","",IFERROR(INDEX(LOOKAHEAD!$M$5:$M$204,MATCH(C72,LOOKAHEAD!$A$5:$A$204,0)),""))</f>
        <v/>
      </c>
      <c r="G72" s="9"/>
      <c r="H72" s="9"/>
      <c r="I72" s="16" t="str">
        <f aca="false">IF(C72="","",IFERROR(INDEX(LOOKAHEAD!$G$5:$G$204,MATCH(C72,LOOKAHEAD!$A$5:$A$204,0)),""))</f>
        <v/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36" t="str">
        <f aca="false">IF(C72="","",SUM(J72:O72))</f>
        <v/>
      </c>
      <c r="W72" s="36" t="str">
        <f aca="false">IF(C72="","",SUM(P72:U72))</f>
        <v/>
      </c>
      <c r="X72" s="19" t="str">
        <f aca="false">IF(OR(C72="",V72=0),"",W72/V72)</f>
        <v/>
      </c>
      <c r="Y72" s="16" t="str">
        <f aca="false">IF(OR(C72="",V72=0),"",IF(W72&gt;=V72,"Sí","No"))</f>
        <v/>
      </c>
      <c r="Z72" s="9"/>
      <c r="AA72" s="9"/>
    </row>
    <row r="73" customFormat="false" ht="15" hidden="false" customHeight="false" outlineLevel="0" collapsed="false">
      <c r="A73" s="9"/>
      <c r="B73" s="9"/>
      <c r="C73" s="9"/>
      <c r="D73" s="16" t="str">
        <f aca="false">IF(C73="","",IFERROR(INDEX(LOOKAHEAD!$B$5:$B$204,MATCH(C73,LOOKAHEAD!$A$5:$A$204,0)),""))</f>
        <v/>
      </c>
      <c r="E73" s="16" t="str">
        <f aca="false">IF(C73="","",IFERROR(INDEX(LOOKAHEAD!$E$5:$E$204,MATCH(C73,LOOKAHEAD!$A$5:$A$204,0)),""))</f>
        <v/>
      </c>
      <c r="F73" s="16" t="str">
        <f aca="false">IF(C73="","",IFERROR(INDEX(LOOKAHEAD!$M$5:$M$204,MATCH(C73,LOOKAHEAD!$A$5:$A$204,0)),""))</f>
        <v/>
      </c>
      <c r="G73" s="9"/>
      <c r="H73" s="9"/>
      <c r="I73" s="16" t="str">
        <f aca="false">IF(C73="","",IFERROR(INDEX(LOOKAHEAD!$G$5:$G$204,MATCH(C73,LOOKAHEAD!$A$5:$A$204,0)),""))</f>
        <v/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36" t="str">
        <f aca="false">IF(C73="","",SUM(J73:O73))</f>
        <v/>
      </c>
      <c r="W73" s="36" t="str">
        <f aca="false">IF(C73="","",SUM(P73:U73))</f>
        <v/>
      </c>
      <c r="X73" s="19" t="str">
        <f aca="false">IF(OR(C73="",V73=0),"",W73/V73)</f>
        <v/>
      </c>
      <c r="Y73" s="16" t="str">
        <f aca="false">IF(OR(C73="",V73=0),"",IF(W73&gt;=V73,"Sí","No"))</f>
        <v/>
      </c>
      <c r="Z73" s="9"/>
      <c r="AA73" s="9"/>
    </row>
    <row r="74" customFormat="false" ht="15" hidden="false" customHeight="false" outlineLevel="0" collapsed="false">
      <c r="A74" s="9"/>
      <c r="B74" s="9"/>
      <c r="C74" s="9"/>
      <c r="D74" s="16" t="str">
        <f aca="false">IF(C74="","",IFERROR(INDEX(LOOKAHEAD!$B$5:$B$204,MATCH(C74,LOOKAHEAD!$A$5:$A$204,0)),""))</f>
        <v/>
      </c>
      <c r="E74" s="16" t="str">
        <f aca="false">IF(C74="","",IFERROR(INDEX(LOOKAHEAD!$E$5:$E$204,MATCH(C74,LOOKAHEAD!$A$5:$A$204,0)),""))</f>
        <v/>
      </c>
      <c r="F74" s="16" t="str">
        <f aca="false">IF(C74="","",IFERROR(INDEX(LOOKAHEAD!$M$5:$M$204,MATCH(C74,LOOKAHEAD!$A$5:$A$204,0)),""))</f>
        <v/>
      </c>
      <c r="G74" s="9"/>
      <c r="H74" s="9"/>
      <c r="I74" s="16" t="str">
        <f aca="false">IF(C74="","",IFERROR(INDEX(LOOKAHEAD!$G$5:$G$204,MATCH(C74,LOOKAHEAD!$A$5:$A$204,0)),""))</f>
        <v/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36" t="str">
        <f aca="false">IF(C74="","",SUM(J74:O74))</f>
        <v/>
      </c>
      <c r="W74" s="36" t="str">
        <f aca="false">IF(C74="","",SUM(P74:U74))</f>
        <v/>
      </c>
      <c r="X74" s="19" t="str">
        <f aca="false">IF(OR(C74="",V74=0),"",W74/V74)</f>
        <v/>
      </c>
      <c r="Y74" s="16" t="str">
        <f aca="false">IF(OR(C74="",V74=0),"",IF(W74&gt;=V74,"Sí","No"))</f>
        <v/>
      </c>
      <c r="Z74" s="9"/>
      <c r="AA74" s="9"/>
    </row>
    <row r="75" customFormat="false" ht="15" hidden="false" customHeight="false" outlineLevel="0" collapsed="false">
      <c r="A75" s="9"/>
      <c r="B75" s="9"/>
      <c r="C75" s="9"/>
      <c r="D75" s="16" t="str">
        <f aca="false">IF(C75="","",IFERROR(INDEX(LOOKAHEAD!$B$5:$B$204,MATCH(C75,LOOKAHEAD!$A$5:$A$204,0)),""))</f>
        <v/>
      </c>
      <c r="E75" s="16" t="str">
        <f aca="false">IF(C75="","",IFERROR(INDEX(LOOKAHEAD!$E$5:$E$204,MATCH(C75,LOOKAHEAD!$A$5:$A$204,0)),""))</f>
        <v/>
      </c>
      <c r="F75" s="16" t="str">
        <f aca="false">IF(C75="","",IFERROR(INDEX(LOOKAHEAD!$M$5:$M$204,MATCH(C75,LOOKAHEAD!$A$5:$A$204,0)),""))</f>
        <v/>
      </c>
      <c r="G75" s="9"/>
      <c r="H75" s="9"/>
      <c r="I75" s="16" t="str">
        <f aca="false">IF(C75="","",IFERROR(INDEX(LOOKAHEAD!$G$5:$G$204,MATCH(C75,LOOKAHEAD!$A$5:$A$204,0)),""))</f>
        <v/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36" t="str">
        <f aca="false">IF(C75="","",SUM(J75:O75))</f>
        <v/>
      </c>
      <c r="W75" s="36" t="str">
        <f aca="false">IF(C75="","",SUM(P75:U75))</f>
        <v/>
      </c>
      <c r="X75" s="19" t="str">
        <f aca="false">IF(OR(C75="",V75=0),"",W75/V75)</f>
        <v/>
      </c>
      <c r="Y75" s="16" t="str">
        <f aca="false">IF(OR(C75="",V75=0),"",IF(W75&gt;=V75,"Sí","No"))</f>
        <v/>
      </c>
      <c r="Z75" s="9"/>
      <c r="AA75" s="9"/>
    </row>
    <row r="76" customFormat="false" ht="15" hidden="false" customHeight="false" outlineLevel="0" collapsed="false">
      <c r="A76" s="9"/>
      <c r="B76" s="9"/>
      <c r="C76" s="9"/>
      <c r="D76" s="16" t="str">
        <f aca="false">IF(C76="","",IFERROR(INDEX(LOOKAHEAD!$B$5:$B$204,MATCH(C76,LOOKAHEAD!$A$5:$A$204,0)),""))</f>
        <v/>
      </c>
      <c r="E76" s="16" t="str">
        <f aca="false">IF(C76="","",IFERROR(INDEX(LOOKAHEAD!$E$5:$E$204,MATCH(C76,LOOKAHEAD!$A$5:$A$204,0)),""))</f>
        <v/>
      </c>
      <c r="F76" s="16" t="str">
        <f aca="false">IF(C76="","",IFERROR(INDEX(LOOKAHEAD!$M$5:$M$204,MATCH(C76,LOOKAHEAD!$A$5:$A$204,0)),""))</f>
        <v/>
      </c>
      <c r="G76" s="9"/>
      <c r="H76" s="9"/>
      <c r="I76" s="16" t="str">
        <f aca="false">IF(C76="","",IFERROR(INDEX(LOOKAHEAD!$G$5:$G$204,MATCH(C76,LOOKAHEAD!$A$5:$A$204,0)),""))</f>
        <v/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36" t="str">
        <f aca="false">IF(C76="","",SUM(J76:O76))</f>
        <v/>
      </c>
      <c r="W76" s="36" t="str">
        <f aca="false">IF(C76="","",SUM(P76:U76))</f>
        <v/>
      </c>
      <c r="X76" s="19" t="str">
        <f aca="false">IF(OR(C76="",V76=0),"",W76/V76)</f>
        <v/>
      </c>
      <c r="Y76" s="16" t="str">
        <f aca="false">IF(OR(C76="",V76=0),"",IF(W76&gt;=V76,"Sí","No"))</f>
        <v/>
      </c>
      <c r="Z76" s="9"/>
      <c r="AA76" s="9"/>
    </row>
    <row r="77" customFormat="false" ht="15" hidden="false" customHeight="false" outlineLevel="0" collapsed="false">
      <c r="A77" s="9"/>
      <c r="B77" s="9"/>
      <c r="C77" s="9"/>
      <c r="D77" s="16" t="str">
        <f aca="false">IF(C77="","",IFERROR(INDEX(LOOKAHEAD!$B$5:$B$204,MATCH(C77,LOOKAHEAD!$A$5:$A$204,0)),""))</f>
        <v/>
      </c>
      <c r="E77" s="16" t="str">
        <f aca="false">IF(C77="","",IFERROR(INDEX(LOOKAHEAD!$E$5:$E$204,MATCH(C77,LOOKAHEAD!$A$5:$A$204,0)),""))</f>
        <v/>
      </c>
      <c r="F77" s="16" t="str">
        <f aca="false">IF(C77="","",IFERROR(INDEX(LOOKAHEAD!$M$5:$M$204,MATCH(C77,LOOKAHEAD!$A$5:$A$204,0)),""))</f>
        <v/>
      </c>
      <c r="G77" s="9"/>
      <c r="H77" s="9"/>
      <c r="I77" s="16" t="str">
        <f aca="false">IF(C77="","",IFERROR(INDEX(LOOKAHEAD!$G$5:$G$204,MATCH(C77,LOOKAHEAD!$A$5:$A$204,0)),""))</f>
        <v/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36" t="str">
        <f aca="false">IF(C77="","",SUM(J77:O77))</f>
        <v/>
      </c>
      <c r="W77" s="36" t="str">
        <f aca="false">IF(C77="","",SUM(P77:U77))</f>
        <v/>
      </c>
      <c r="X77" s="19" t="str">
        <f aca="false">IF(OR(C77="",V77=0),"",W77/V77)</f>
        <v/>
      </c>
      <c r="Y77" s="16" t="str">
        <f aca="false">IF(OR(C77="",V77=0),"",IF(W77&gt;=V77,"Sí","No"))</f>
        <v/>
      </c>
      <c r="Z77" s="9"/>
      <c r="AA77" s="9"/>
    </row>
    <row r="78" customFormat="false" ht="15" hidden="false" customHeight="false" outlineLevel="0" collapsed="false">
      <c r="A78" s="9"/>
      <c r="B78" s="9"/>
      <c r="C78" s="9"/>
      <c r="D78" s="16" t="str">
        <f aca="false">IF(C78="","",IFERROR(INDEX(LOOKAHEAD!$B$5:$B$204,MATCH(C78,LOOKAHEAD!$A$5:$A$204,0)),""))</f>
        <v/>
      </c>
      <c r="E78" s="16" t="str">
        <f aca="false">IF(C78="","",IFERROR(INDEX(LOOKAHEAD!$E$5:$E$204,MATCH(C78,LOOKAHEAD!$A$5:$A$204,0)),""))</f>
        <v/>
      </c>
      <c r="F78" s="16" t="str">
        <f aca="false">IF(C78="","",IFERROR(INDEX(LOOKAHEAD!$M$5:$M$204,MATCH(C78,LOOKAHEAD!$A$5:$A$204,0)),""))</f>
        <v/>
      </c>
      <c r="G78" s="9"/>
      <c r="H78" s="9"/>
      <c r="I78" s="16" t="str">
        <f aca="false">IF(C78="","",IFERROR(INDEX(LOOKAHEAD!$G$5:$G$204,MATCH(C78,LOOKAHEAD!$A$5:$A$204,0)),""))</f>
        <v/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36" t="str">
        <f aca="false">IF(C78="","",SUM(J78:O78))</f>
        <v/>
      </c>
      <c r="W78" s="36" t="str">
        <f aca="false">IF(C78="","",SUM(P78:U78))</f>
        <v/>
      </c>
      <c r="X78" s="19" t="str">
        <f aca="false">IF(OR(C78="",V78=0),"",W78/V78)</f>
        <v/>
      </c>
      <c r="Y78" s="16" t="str">
        <f aca="false">IF(OR(C78="",V78=0),"",IF(W78&gt;=V78,"Sí","No"))</f>
        <v/>
      </c>
      <c r="Z78" s="9"/>
      <c r="AA78" s="9"/>
    </row>
    <row r="79" customFormat="false" ht="15" hidden="false" customHeight="false" outlineLevel="0" collapsed="false">
      <c r="A79" s="9"/>
      <c r="B79" s="9"/>
      <c r="C79" s="9"/>
      <c r="D79" s="16" t="str">
        <f aca="false">IF(C79="","",IFERROR(INDEX(LOOKAHEAD!$B$5:$B$204,MATCH(C79,LOOKAHEAD!$A$5:$A$204,0)),""))</f>
        <v/>
      </c>
      <c r="E79" s="16" t="str">
        <f aca="false">IF(C79="","",IFERROR(INDEX(LOOKAHEAD!$E$5:$E$204,MATCH(C79,LOOKAHEAD!$A$5:$A$204,0)),""))</f>
        <v/>
      </c>
      <c r="F79" s="16" t="str">
        <f aca="false">IF(C79="","",IFERROR(INDEX(LOOKAHEAD!$M$5:$M$204,MATCH(C79,LOOKAHEAD!$A$5:$A$204,0)),""))</f>
        <v/>
      </c>
      <c r="G79" s="9"/>
      <c r="H79" s="9"/>
      <c r="I79" s="16" t="str">
        <f aca="false">IF(C79="","",IFERROR(INDEX(LOOKAHEAD!$G$5:$G$204,MATCH(C79,LOOKAHEAD!$A$5:$A$204,0)),""))</f>
        <v/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36" t="str">
        <f aca="false">IF(C79="","",SUM(J79:O79))</f>
        <v/>
      </c>
      <c r="W79" s="36" t="str">
        <f aca="false">IF(C79="","",SUM(P79:U79))</f>
        <v/>
      </c>
      <c r="X79" s="19" t="str">
        <f aca="false">IF(OR(C79="",V79=0),"",W79/V79)</f>
        <v/>
      </c>
      <c r="Y79" s="16" t="str">
        <f aca="false">IF(OR(C79="",V79=0),"",IF(W79&gt;=V79,"Sí","No"))</f>
        <v/>
      </c>
      <c r="Z79" s="9"/>
      <c r="AA79" s="9"/>
    </row>
    <row r="80" customFormat="false" ht="15" hidden="false" customHeight="false" outlineLevel="0" collapsed="false">
      <c r="A80" s="9"/>
      <c r="B80" s="9"/>
      <c r="C80" s="9"/>
      <c r="D80" s="16" t="str">
        <f aca="false">IF(C80="","",IFERROR(INDEX(LOOKAHEAD!$B$5:$B$204,MATCH(C80,LOOKAHEAD!$A$5:$A$204,0)),""))</f>
        <v/>
      </c>
      <c r="E80" s="16" t="str">
        <f aca="false">IF(C80="","",IFERROR(INDEX(LOOKAHEAD!$E$5:$E$204,MATCH(C80,LOOKAHEAD!$A$5:$A$204,0)),""))</f>
        <v/>
      </c>
      <c r="F80" s="16" t="str">
        <f aca="false">IF(C80="","",IFERROR(INDEX(LOOKAHEAD!$M$5:$M$204,MATCH(C80,LOOKAHEAD!$A$5:$A$204,0)),""))</f>
        <v/>
      </c>
      <c r="G80" s="9"/>
      <c r="H80" s="9"/>
      <c r="I80" s="16" t="str">
        <f aca="false">IF(C80="","",IFERROR(INDEX(LOOKAHEAD!$G$5:$G$204,MATCH(C80,LOOKAHEAD!$A$5:$A$204,0)),""))</f>
        <v/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36" t="str">
        <f aca="false">IF(C80="","",SUM(J80:O80))</f>
        <v/>
      </c>
      <c r="W80" s="36" t="str">
        <f aca="false">IF(C80="","",SUM(P80:U80))</f>
        <v/>
      </c>
      <c r="X80" s="19" t="str">
        <f aca="false">IF(OR(C80="",V80=0),"",W80/V80)</f>
        <v/>
      </c>
      <c r="Y80" s="16" t="str">
        <f aca="false">IF(OR(C80="",V80=0),"",IF(W80&gt;=V80,"Sí","No"))</f>
        <v/>
      </c>
      <c r="Z80" s="9"/>
      <c r="AA80" s="9"/>
    </row>
    <row r="81" customFormat="false" ht="15" hidden="false" customHeight="false" outlineLevel="0" collapsed="false">
      <c r="A81" s="9"/>
      <c r="B81" s="9"/>
      <c r="C81" s="9"/>
      <c r="D81" s="16" t="str">
        <f aca="false">IF(C81="","",IFERROR(INDEX(LOOKAHEAD!$B$5:$B$204,MATCH(C81,LOOKAHEAD!$A$5:$A$204,0)),""))</f>
        <v/>
      </c>
      <c r="E81" s="16" t="str">
        <f aca="false">IF(C81="","",IFERROR(INDEX(LOOKAHEAD!$E$5:$E$204,MATCH(C81,LOOKAHEAD!$A$5:$A$204,0)),""))</f>
        <v/>
      </c>
      <c r="F81" s="16" t="str">
        <f aca="false">IF(C81="","",IFERROR(INDEX(LOOKAHEAD!$M$5:$M$204,MATCH(C81,LOOKAHEAD!$A$5:$A$204,0)),""))</f>
        <v/>
      </c>
      <c r="G81" s="9"/>
      <c r="H81" s="9"/>
      <c r="I81" s="16" t="str">
        <f aca="false">IF(C81="","",IFERROR(INDEX(LOOKAHEAD!$G$5:$G$204,MATCH(C81,LOOKAHEAD!$A$5:$A$204,0)),""))</f>
        <v/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36" t="str">
        <f aca="false">IF(C81="","",SUM(J81:O81))</f>
        <v/>
      </c>
      <c r="W81" s="36" t="str">
        <f aca="false">IF(C81="","",SUM(P81:U81))</f>
        <v/>
      </c>
      <c r="X81" s="19" t="str">
        <f aca="false">IF(OR(C81="",V81=0),"",W81/V81)</f>
        <v/>
      </c>
      <c r="Y81" s="16" t="str">
        <f aca="false">IF(OR(C81="",V81=0),"",IF(W81&gt;=V81,"Sí","No"))</f>
        <v/>
      </c>
      <c r="Z81" s="9"/>
      <c r="AA81" s="9"/>
    </row>
    <row r="82" customFormat="false" ht="15" hidden="false" customHeight="false" outlineLevel="0" collapsed="false">
      <c r="A82" s="9"/>
      <c r="B82" s="9"/>
      <c r="C82" s="9"/>
      <c r="D82" s="16" t="str">
        <f aca="false">IF(C82="","",IFERROR(INDEX(LOOKAHEAD!$B$5:$B$204,MATCH(C82,LOOKAHEAD!$A$5:$A$204,0)),""))</f>
        <v/>
      </c>
      <c r="E82" s="16" t="str">
        <f aca="false">IF(C82="","",IFERROR(INDEX(LOOKAHEAD!$E$5:$E$204,MATCH(C82,LOOKAHEAD!$A$5:$A$204,0)),""))</f>
        <v/>
      </c>
      <c r="F82" s="16" t="str">
        <f aca="false">IF(C82="","",IFERROR(INDEX(LOOKAHEAD!$M$5:$M$204,MATCH(C82,LOOKAHEAD!$A$5:$A$204,0)),""))</f>
        <v/>
      </c>
      <c r="G82" s="9"/>
      <c r="H82" s="9"/>
      <c r="I82" s="16" t="str">
        <f aca="false">IF(C82="","",IFERROR(INDEX(LOOKAHEAD!$G$5:$G$204,MATCH(C82,LOOKAHEAD!$A$5:$A$204,0)),""))</f>
        <v/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36" t="str">
        <f aca="false">IF(C82="","",SUM(J82:O82))</f>
        <v/>
      </c>
      <c r="W82" s="36" t="str">
        <f aca="false">IF(C82="","",SUM(P82:U82))</f>
        <v/>
      </c>
      <c r="X82" s="19" t="str">
        <f aca="false">IF(OR(C82="",V82=0),"",W82/V82)</f>
        <v/>
      </c>
      <c r="Y82" s="16" t="str">
        <f aca="false">IF(OR(C82="",V82=0),"",IF(W82&gt;=V82,"Sí","No"))</f>
        <v/>
      </c>
      <c r="Z82" s="9"/>
      <c r="AA82" s="9"/>
    </row>
    <row r="83" customFormat="false" ht="15" hidden="false" customHeight="false" outlineLevel="0" collapsed="false">
      <c r="A83" s="9"/>
      <c r="B83" s="9"/>
      <c r="C83" s="9"/>
      <c r="D83" s="16" t="str">
        <f aca="false">IF(C83="","",IFERROR(INDEX(LOOKAHEAD!$B$5:$B$204,MATCH(C83,LOOKAHEAD!$A$5:$A$204,0)),""))</f>
        <v/>
      </c>
      <c r="E83" s="16" t="str">
        <f aca="false">IF(C83="","",IFERROR(INDEX(LOOKAHEAD!$E$5:$E$204,MATCH(C83,LOOKAHEAD!$A$5:$A$204,0)),""))</f>
        <v/>
      </c>
      <c r="F83" s="16" t="str">
        <f aca="false">IF(C83="","",IFERROR(INDEX(LOOKAHEAD!$M$5:$M$204,MATCH(C83,LOOKAHEAD!$A$5:$A$204,0)),""))</f>
        <v/>
      </c>
      <c r="G83" s="9"/>
      <c r="H83" s="9"/>
      <c r="I83" s="16" t="str">
        <f aca="false">IF(C83="","",IFERROR(INDEX(LOOKAHEAD!$G$5:$G$204,MATCH(C83,LOOKAHEAD!$A$5:$A$204,0)),""))</f>
        <v/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36" t="str">
        <f aca="false">IF(C83="","",SUM(J83:O83))</f>
        <v/>
      </c>
      <c r="W83" s="36" t="str">
        <f aca="false">IF(C83="","",SUM(P83:U83))</f>
        <v/>
      </c>
      <c r="X83" s="19" t="str">
        <f aca="false">IF(OR(C83="",V83=0),"",W83/V83)</f>
        <v/>
      </c>
      <c r="Y83" s="16" t="str">
        <f aca="false">IF(OR(C83="",V83=0),"",IF(W83&gt;=V83,"Sí","No"))</f>
        <v/>
      </c>
      <c r="Z83" s="9"/>
      <c r="AA83" s="9"/>
    </row>
    <row r="84" customFormat="false" ht="15" hidden="false" customHeight="false" outlineLevel="0" collapsed="false">
      <c r="A84" s="9"/>
      <c r="B84" s="9"/>
      <c r="C84" s="9"/>
      <c r="D84" s="16" t="str">
        <f aca="false">IF(C84="","",IFERROR(INDEX(LOOKAHEAD!$B$5:$B$204,MATCH(C84,LOOKAHEAD!$A$5:$A$204,0)),""))</f>
        <v/>
      </c>
      <c r="E84" s="16" t="str">
        <f aca="false">IF(C84="","",IFERROR(INDEX(LOOKAHEAD!$E$5:$E$204,MATCH(C84,LOOKAHEAD!$A$5:$A$204,0)),""))</f>
        <v/>
      </c>
      <c r="F84" s="16" t="str">
        <f aca="false">IF(C84="","",IFERROR(INDEX(LOOKAHEAD!$M$5:$M$204,MATCH(C84,LOOKAHEAD!$A$5:$A$204,0)),""))</f>
        <v/>
      </c>
      <c r="G84" s="9"/>
      <c r="H84" s="9"/>
      <c r="I84" s="16" t="str">
        <f aca="false">IF(C84="","",IFERROR(INDEX(LOOKAHEAD!$G$5:$G$204,MATCH(C84,LOOKAHEAD!$A$5:$A$204,0)),""))</f>
        <v/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36" t="str">
        <f aca="false">IF(C84="","",SUM(J84:O84))</f>
        <v/>
      </c>
      <c r="W84" s="36" t="str">
        <f aca="false">IF(C84="","",SUM(P84:U84))</f>
        <v/>
      </c>
      <c r="X84" s="19" t="str">
        <f aca="false">IF(OR(C84="",V84=0),"",W84/V84)</f>
        <v/>
      </c>
      <c r="Y84" s="16" t="str">
        <f aca="false">IF(OR(C84="",V84=0),"",IF(W84&gt;=V84,"Sí","No"))</f>
        <v/>
      </c>
      <c r="Z84" s="9"/>
      <c r="AA84" s="9"/>
    </row>
    <row r="85" customFormat="false" ht="15" hidden="false" customHeight="false" outlineLevel="0" collapsed="false">
      <c r="A85" s="9"/>
      <c r="B85" s="9"/>
      <c r="C85" s="9"/>
      <c r="D85" s="16" t="str">
        <f aca="false">IF(C85="","",IFERROR(INDEX(LOOKAHEAD!$B$5:$B$204,MATCH(C85,LOOKAHEAD!$A$5:$A$204,0)),""))</f>
        <v/>
      </c>
      <c r="E85" s="16" t="str">
        <f aca="false">IF(C85="","",IFERROR(INDEX(LOOKAHEAD!$E$5:$E$204,MATCH(C85,LOOKAHEAD!$A$5:$A$204,0)),""))</f>
        <v/>
      </c>
      <c r="F85" s="16" t="str">
        <f aca="false">IF(C85="","",IFERROR(INDEX(LOOKAHEAD!$M$5:$M$204,MATCH(C85,LOOKAHEAD!$A$5:$A$204,0)),""))</f>
        <v/>
      </c>
      <c r="G85" s="9"/>
      <c r="H85" s="9"/>
      <c r="I85" s="16" t="str">
        <f aca="false">IF(C85="","",IFERROR(INDEX(LOOKAHEAD!$G$5:$G$204,MATCH(C85,LOOKAHEAD!$A$5:$A$204,0)),""))</f>
        <v/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36" t="str">
        <f aca="false">IF(C85="","",SUM(J85:O85))</f>
        <v/>
      </c>
      <c r="W85" s="36" t="str">
        <f aca="false">IF(C85="","",SUM(P85:U85))</f>
        <v/>
      </c>
      <c r="X85" s="19" t="str">
        <f aca="false">IF(OR(C85="",V85=0),"",W85/V85)</f>
        <v/>
      </c>
      <c r="Y85" s="16" t="str">
        <f aca="false">IF(OR(C85="",V85=0),"",IF(W85&gt;=V85,"Sí","No"))</f>
        <v/>
      </c>
      <c r="Z85" s="9"/>
      <c r="AA85" s="9"/>
    </row>
    <row r="86" customFormat="false" ht="15" hidden="false" customHeight="false" outlineLevel="0" collapsed="false">
      <c r="A86" s="9"/>
      <c r="B86" s="9"/>
      <c r="C86" s="9"/>
      <c r="D86" s="16" t="str">
        <f aca="false">IF(C86="","",IFERROR(INDEX(LOOKAHEAD!$B$5:$B$204,MATCH(C86,LOOKAHEAD!$A$5:$A$204,0)),""))</f>
        <v/>
      </c>
      <c r="E86" s="16" t="str">
        <f aca="false">IF(C86="","",IFERROR(INDEX(LOOKAHEAD!$E$5:$E$204,MATCH(C86,LOOKAHEAD!$A$5:$A$204,0)),""))</f>
        <v/>
      </c>
      <c r="F86" s="16" t="str">
        <f aca="false">IF(C86="","",IFERROR(INDEX(LOOKAHEAD!$M$5:$M$204,MATCH(C86,LOOKAHEAD!$A$5:$A$204,0)),""))</f>
        <v/>
      </c>
      <c r="G86" s="9"/>
      <c r="H86" s="9"/>
      <c r="I86" s="16" t="str">
        <f aca="false">IF(C86="","",IFERROR(INDEX(LOOKAHEAD!$G$5:$G$204,MATCH(C86,LOOKAHEAD!$A$5:$A$204,0)),""))</f>
        <v/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36" t="str">
        <f aca="false">IF(C86="","",SUM(J86:O86))</f>
        <v/>
      </c>
      <c r="W86" s="36" t="str">
        <f aca="false">IF(C86="","",SUM(P86:U86))</f>
        <v/>
      </c>
      <c r="X86" s="19" t="str">
        <f aca="false">IF(OR(C86="",V86=0),"",W86/V86)</f>
        <v/>
      </c>
      <c r="Y86" s="16" t="str">
        <f aca="false">IF(OR(C86="",V86=0),"",IF(W86&gt;=V86,"Sí","No"))</f>
        <v/>
      </c>
      <c r="Z86" s="9"/>
      <c r="AA86" s="9"/>
    </row>
    <row r="87" customFormat="false" ht="15" hidden="false" customHeight="false" outlineLevel="0" collapsed="false">
      <c r="A87" s="9"/>
      <c r="B87" s="9"/>
      <c r="C87" s="9"/>
      <c r="D87" s="16" t="str">
        <f aca="false">IF(C87="","",IFERROR(INDEX(LOOKAHEAD!$B$5:$B$204,MATCH(C87,LOOKAHEAD!$A$5:$A$204,0)),""))</f>
        <v/>
      </c>
      <c r="E87" s="16" t="str">
        <f aca="false">IF(C87="","",IFERROR(INDEX(LOOKAHEAD!$E$5:$E$204,MATCH(C87,LOOKAHEAD!$A$5:$A$204,0)),""))</f>
        <v/>
      </c>
      <c r="F87" s="16" t="str">
        <f aca="false">IF(C87="","",IFERROR(INDEX(LOOKAHEAD!$M$5:$M$204,MATCH(C87,LOOKAHEAD!$A$5:$A$204,0)),""))</f>
        <v/>
      </c>
      <c r="G87" s="9"/>
      <c r="H87" s="9"/>
      <c r="I87" s="16" t="str">
        <f aca="false">IF(C87="","",IFERROR(INDEX(LOOKAHEAD!$G$5:$G$204,MATCH(C87,LOOKAHEAD!$A$5:$A$204,0)),""))</f>
        <v/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36" t="str">
        <f aca="false">IF(C87="","",SUM(J87:O87))</f>
        <v/>
      </c>
      <c r="W87" s="36" t="str">
        <f aca="false">IF(C87="","",SUM(P87:U87))</f>
        <v/>
      </c>
      <c r="X87" s="19" t="str">
        <f aca="false">IF(OR(C87="",V87=0),"",W87/V87)</f>
        <v/>
      </c>
      <c r="Y87" s="16" t="str">
        <f aca="false">IF(OR(C87="",V87=0),"",IF(W87&gt;=V87,"Sí","No"))</f>
        <v/>
      </c>
      <c r="Z87" s="9"/>
      <c r="AA87" s="9"/>
    </row>
    <row r="88" customFormat="false" ht="15" hidden="false" customHeight="false" outlineLevel="0" collapsed="false">
      <c r="A88" s="9"/>
      <c r="B88" s="9"/>
      <c r="C88" s="9"/>
      <c r="D88" s="16" t="str">
        <f aca="false">IF(C88="","",IFERROR(INDEX(LOOKAHEAD!$B$5:$B$204,MATCH(C88,LOOKAHEAD!$A$5:$A$204,0)),""))</f>
        <v/>
      </c>
      <c r="E88" s="16" t="str">
        <f aca="false">IF(C88="","",IFERROR(INDEX(LOOKAHEAD!$E$5:$E$204,MATCH(C88,LOOKAHEAD!$A$5:$A$204,0)),""))</f>
        <v/>
      </c>
      <c r="F88" s="16" t="str">
        <f aca="false">IF(C88="","",IFERROR(INDEX(LOOKAHEAD!$M$5:$M$204,MATCH(C88,LOOKAHEAD!$A$5:$A$204,0)),""))</f>
        <v/>
      </c>
      <c r="G88" s="9"/>
      <c r="H88" s="9"/>
      <c r="I88" s="16" t="str">
        <f aca="false">IF(C88="","",IFERROR(INDEX(LOOKAHEAD!$G$5:$G$204,MATCH(C88,LOOKAHEAD!$A$5:$A$204,0)),""))</f>
        <v/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36" t="str">
        <f aca="false">IF(C88="","",SUM(J88:O88))</f>
        <v/>
      </c>
      <c r="W88" s="36" t="str">
        <f aca="false">IF(C88="","",SUM(P88:U88))</f>
        <v/>
      </c>
      <c r="X88" s="19" t="str">
        <f aca="false">IF(OR(C88="",V88=0),"",W88/V88)</f>
        <v/>
      </c>
      <c r="Y88" s="16" t="str">
        <f aca="false">IF(OR(C88="",V88=0),"",IF(W88&gt;=V88,"Sí","No"))</f>
        <v/>
      </c>
      <c r="Z88" s="9"/>
      <c r="AA88" s="9"/>
    </row>
    <row r="89" customFormat="false" ht="15" hidden="false" customHeight="false" outlineLevel="0" collapsed="false">
      <c r="A89" s="9"/>
      <c r="B89" s="9"/>
      <c r="C89" s="9"/>
      <c r="D89" s="16" t="str">
        <f aca="false">IF(C89="","",IFERROR(INDEX(LOOKAHEAD!$B$5:$B$204,MATCH(C89,LOOKAHEAD!$A$5:$A$204,0)),""))</f>
        <v/>
      </c>
      <c r="E89" s="16" t="str">
        <f aca="false">IF(C89="","",IFERROR(INDEX(LOOKAHEAD!$E$5:$E$204,MATCH(C89,LOOKAHEAD!$A$5:$A$204,0)),""))</f>
        <v/>
      </c>
      <c r="F89" s="16" t="str">
        <f aca="false">IF(C89="","",IFERROR(INDEX(LOOKAHEAD!$M$5:$M$204,MATCH(C89,LOOKAHEAD!$A$5:$A$204,0)),""))</f>
        <v/>
      </c>
      <c r="G89" s="9"/>
      <c r="H89" s="9"/>
      <c r="I89" s="16" t="str">
        <f aca="false">IF(C89="","",IFERROR(INDEX(LOOKAHEAD!$G$5:$G$204,MATCH(C89,LOOKAHEAD!$A$5:$A$204,0)),""))</f>
        <v/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36" t="str">
        <f aca="false">IF(C89="","",SUM(J89:O89))</f>
        <v/>
      </c>
      <c r="W89" s="36" t="str">
        <f aca="false">IF(C89="","",SUM(P89:U89))</f>
        <v/>
      </c>
      <c r="X89" s="19" t="str">
        <f aca="false">IF(OR(C89="",V89=0),"",W89/V89)</f>
        <v/>
      </c>
      <c r="Y89" s="16" t="str">
        <f aca="false">IF(OR(C89="",V89=0),"",IF(W89&gt;=V89,"Sí","No"))</f>
        <v/>
      </c>
      <c r="Z89" s="9"/>
      <c r="AA89" s="9"/>
    </row>
    <row r="90" customFormat="false" ht="15" hidden="false" customHeight="false" outlineLevel="0" collapsed="false">
      <c r="A90" s="9"/>
      <c r="B90" s="9"/>
      <c r="C90" s="9"/>
      <c r="D90" s="16" t="str">
        <f aca="false">IF(C90="","",IFERROR(INDEX(LOOKAHEAD!$B$5:$B$204,MATCH(C90,LOOKAHEAD!$A$5:$A$204,0)),""))</f>
        <v/>
      </c>
      <c r="E90" s="16" t="str">
        <f aca="false">IF(C90="","",IFERROR(INDEX(LOOKAHEAD!$E$5:$E$204,MATCH(C90,LOOKAHEAD!$A$5:$A$204,0)),""))</f>
        <v/>
      </c>
      <c r="F90" s="16" t="str">
        <f aca="false">IF(C90="","",IFERROR(INDEX(LOOKAHEAD!$M$5:$M$204,MATCH(C90,LOOKAHEAD!$A$5:$A$204,0)),""))</f>
        <v/>
      </c>
      <c r="G90" s="9"/>
      <c r="H90" s="9"/>
      <c r="I90" s="16" t="str">
        <f aca="false">IF(C90="","",IFERROR(INDEX(LOOKAHEAD!$G$5:$G$204,MATCH(C90,LOOKAHEAD!$A$5:$A$204,0)),""))</f>
        <v/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36" t="str">
        <f aca="false">IF(C90="","",SUM(J90:O90))</f>
        <v/>
      </c>
      <c r="W90" s="36" t="str">
        <f aca="false">IF(C90="","",SUM(P90:U90))</f>
        <v/>
      </c>
      <c r="X90" s="19" t="str">
        <f aca="false">IF(OR(C90="",V90=0),"",W90/V90)</f>
        <v/>
      </c>
      <c r="Y90" s="16" t="str">
        <f aca="false">IF(OR(C90="",V90=0),"",IF(W90&gt;=V90,"Sí","No"))</f>
        <v/>
      </c>
      <c r="Z90" s="9"/>
      <c r="AA90" s="9"/>
    </row>
    <row r="91" customFormat="false" ht="15" hidden="false" customHeight="false" outlineLevel="0" collapsed="false">
      <c r="A91" s="9"/>
      <c r="B91" s="9"/>
      <c r="C91" s="9"/>
      <c r="D91" s="16" t="str">
        <f aca="false">IF(C91="","",IFERROR(INDEX(LOOKAHEAD!$B$5:$B$204,MATCH(C91,LOOKAHEAD!$A$5:$A$204,0)),""))</f>
        <v/>
      </c>
      <c r="E91" s="16" t="str">
        <f aca="false">IF(C91="","",IFERROR(INDEX(LOOKAHEAD!$E$5:$E$204,MATCH(C91,LOOKAHEAD!$A$5:$A$204,0)),""))</f>
        <v/>
      </c>
      <c r="F91" s="16" t="str">
        <f aca="false">IF(C91="","",IFERROR(INDEX(LOOKAHEAD!$M$5:$M$204,MATCH(C91,LOOKAHEAD!$A$5:$A$204,0)),""))</f>
        <v/>
      </c>
      <c r="G91" s="9"/>
      <c r="H91" s="9"/>
      <c r="I91" s="16" t="str">
        <f aca="false">IF(C91="","",IFERROR(INDEX(LOOKAHEAD!$G$5:$G$204,MATCH(C91,LOOKAHEAD!$A$5:$A$204,0)),""))</f>
        <v/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36" t="str">
        <f aca="false">IF(C91="","",SUM(J91:O91))</f>
        <v/>
      </c>
      <c r="W91" s="36" t="str">
        <f aca="false">IF(C91="","",SUM(P91:U91))</f>
        <v/>
      </c>
      <c r="X91" s="19" t="str">
        <f aca="false">IF(OR(C91="",V91=0),"",W91/V91)</f>
        <v/>
      </c>
      <c r="Y91" s="16" t="str">
        <f aca="false">IF(OR(C91="",V91=0),"",IF(W91&gt;=V91,"Sí","No"))</f>
        <v/>
      </c>
      <c r="Z91" s="9"/>
      <c r="AA91" s="9"/>
    </row>
    <row r="92" customFormat="false" ht="15" hidden="false" customHeight="false" outlineLevel="0" collapsed="false">
      <c r="A92" s="9"/>
      <c r="B92" s="9"/>
      <c r="C92" s="9"/>
      <c r="D92" s="16" t="str">
        <f aca="false">IF(C92="","",IFERROR(INDEX(LOOKAHEAD!$B$5:$B$204,MATCH(C92,LOOKAHEAD!$A$5:$A$204,0)),""))</f>
        <v/>
      </c>
      <c r="E92" s="16" t="str">
        <f aca="false">IF(C92="","",IFERROR(INDEX(LOOKAHEAD!$E$5:$E$204,MATCH(C92,LOOKAHEAD!$A$5:$A$204,0)),""))</f>
        <v/>
      </c>
      <c r="F92" s="16" t="str">
        <f aca="false">IF(C92="","",IFERROR(INDEX(LOOKAHEAD!$M$5:$M$204,MATCH(C92,LOOKAHEAD!$A$5:$A$204,0)),""))</f>
        <v/>
      </c>
      <c r="G92" s="9"/>
      <c r="H92" s="9"/>
      <c r="I92" s="16" t="str">
        <f aca="false">IF(C92="","",IFERROR(INDEX(LOOKAHEAD!$G$5:$G$204,MATCH(C92,LOOKAHEAD!$A$5:$A$204,0)),""))</f>
        <v/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36" t="str">
        <f aca="false">IF(C92="","",SUM(J92:O92))</f>
        <v/>
      </c>
      <c r="W92" s="36" t="str">
        <f aca="false">IF(C92="","",SUM(P92:U92))</f>
        <v/>
      </c>
      <c r="X92" s="19" t="str">
        <f aca="false">IF(OR(C92="",V92=0),"",W92/V92)</f>
        <v/>
      </c>
      <c r="Y92" s="16" t="str">
        <f aca="false">IF(OR(C92="",V92=0),"",IF(W92&gt;=V92,"Sí","No"))</f>
        <v/>
      </c>
      <c r="Z92" s="9"/>
      <c r="AA92" s="9"/>
    </row>
    <row r="93" customFormat="false" ht="15" hidden="false" customHeight="false" outlineLevel="0" collapsed="false">
      <c r="A93" s="9"/>
      <c r="B93" s="9"/>
      <c r="C93" s="9"/>
      <c r="D93" s="16" t="str">
        <f aca="false">IF(C93="","",IFERROR(INDEX(LOOKAHEAD!$B$5:$B$204,MATCH(C93,LOOKAHEAD!$A$5:$A$204,0)),""))</f>
        <v/>
      </c>
      <c r="E93" s="16" t="str">
        <f aca="false">IF(C93="","",IFERROR(INDEX(LOOKAHEAD!$E$5:$E$204,MATCH(C93,LOOKAHEAD!$A$5:$A$204,0)),""))</f>
        <v/>
      </c>
      <c r="F93" s="16" t="str">
        <f aca="false">IF(C93="","",IFERROR(INDEX(LOOKAHEAD!$M$5:$M$204,MATCH(C93,LOOKAHEAD!$A$5:$A$204,0)),""))</f>
        <v/>
      </c>
      <c r="G93" s="9"/>
      <c r="H93" s="9"/>
      <c r="I93" s="16" t="str">
        <f aca="false">IF(C93="","",IFERROR(INDEX(LOOKAHEAD!$G$5:$G$204,MATCH(C93,LOOKAHEAD!$A$5:$A$204,0)),""))</f>
        <v/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36" t="str">
        <f aca="false">IF(C93="","",SUM(J93:O93))</f>
        <v/>
      </c>
      <c r="W93" s="36" t="str">
        <f aca="false">IF(C93="","",SUM(P93:U93))</f>
        <v/>
      </c>
      <c r="X93" s="19" t="str">
        <f aca="false">IF(OR(C93="",V93=0),"",W93/V93)</f>
        <v/>
      </c>
      <c r="Y93" s="16" t="str">
        <f aca="false">IF(OR(C93="",V93=0),"",IF(W93&gt;=V93,"Sí","No"))</f>
        <v/>
      </c>
      <c r="Z93" s="9"/>
      <c r="AA93" s="9"/>
    </row>
    <row r="94" customFormat="false" ht="15" hidden="false" customHeight="false" outlineLevel="0" collapsed="false">
      <c r="A94" s="9"/>
      <c r="B94" s="9"/>
      <c r="C94" s="9"/>
      <c r="D94" s="16" t="str">
        <f aca="false">IF(C94="","",IFERROR(INDEX(LOOKAHEAD!$B$5:$B$204,MATCH(C94,LOOKAHEAD!$A$5:$A$204,0)),""))</f>
        <v/>
      </c>
      <c r="E94" s="16" t="str">
        <f aca="false">IF(C94="","",IFERROR(INDEX(LOOKAHEAD!$E$5:$E$204,MATCH(C94,LOOKAHEAD!$A$5:$A$204,0)),""))</f>
        <v/>
      </c>
      <c r="F94" s="16" t="str">
        <f aca="false">IF(C94="","",IFERROR(INDEX(LOOKAHEAD!$M$5:$M$204,MATCH(C94,LOOKAHEAD!$A$5:$A$204,0)),""))</f>
        <v/>
      </c>
      <c r="G94" s="9"/>
      <c r="H94" s="9"/>
      <c r="I94" s="16" t="str">
        <f aca="false">IF(C94="","",IFERROR(INDEX(LOOKAHEAD!$G$5:$G$204,MATCH(C94,LOOKAHEAD!$A$5:$A$204,0)),""))</f>
        <v/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36" t="str">
        <f aca="false">IF(C94="","",SUM(J94:O94))</f>
        <v/>
      </c>
      <c r="W94" s="36" t="str">
        <f aca="false">IF(C94="","",SUM(P94:U94))</f>
        <v/>
      </c>
      <c r="X94" s="19" t="str">
        <f aca="false">IF(OR(C94="",V94=0),"",W94/V94)</f>
        <v/>
      </c>
      <c r="Y94" s="16" t="str">
        <f aca="false">IF(OR(C94="",V94=0),"",IF(W94&gt;=V94,"Sí","No"))</f>
        <v/>
      </c>
      <c r="Z94" s="9"/>
      <c r="AA94" s="9"/>
    </row>
    <row r="95" customFormat="false" ht="15" hidden="false" customHeight="false" outlineLevel="0" collapsed="false">
      <c r="A95" s="9"/>
      <c r="B95" s="9"/>
      <c r="C95" s="9"/>
      <c r="D95" s="16" t="str">
        <f aca="false">IF(C95="","",IFERROR(INDEX(LOOKAHEAD!$B$5:$B$204,MATCH(C95,LOOKAHEAD!$A$5:$A$204,0)),""))</f>
        <v/>
      </c>
      <c r="E95" s="16" t="str">
        <f aca="false">IF(C95="","",IFERROR(INDEX(LOOKAHEAD!$E$5:$E$204,MATCH(C95,LOOKAHEAD!$A$5:$A$204,0)),""))</f>
        <v/>
      </c>
      <c r="F95" s="16" t="str">
        <f aca="false">IF(C95="","",IFERROR(INDEX(LOOKAHEAD!$M$5:$M$204,MATCH(C95,LOOKAHEAD!$A$5:$A$204,0)),""))</f>
        <v/>
      </c>
      <c r="G95" s="9"/>
      <c r="H95" s="9"/>
      <c r="I95" s="16" t="str">
        <f aca="false">IF(C95="","",IFERROR(INDEX(LOOKAHEAD!$G$5:$G$204,MATCH(C95,LOOKAHEAD!$A$5:$A$204,0)),""))</f>
        <v/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36" t="str">
        <f aca="false">IF(C95="","",SUM(J95:O95))</f>
        <v/>
      </c>
      <c r="W95" s="36" t="str">
        <f aca="false">IF(C95="","",SUM(P95:U95))</f>
        <v/>
      </c>
      <c r="X95" s="19" t="str">
        <f aca="false">IF(OR(C95="",V95=0),"",W95/V95)</f>
        <v/>
      </c>
      <c r="Y95" s="16" t="str">
        <f aca="false">IF(OR(C95="",V95=0),"",IF(W95&gt;=V95,"Sí","No"))</f>
        <v/>
      </c>
      <c r="Z95" s="9"/>
      <c r="AA95" s="9"/>
    </row>
    <row r="96" customFormat="false" ht="15" hidden="false" customHeight="false" outlineLevel="0" collapsed="false">
      <c r="A96" s="9"/>
      <c r="B96" s="9"/>
      <c r="C96" s="9"/>
      <c r="D96" s="16" t="str">
        <f aca="false">IF(C96="","",IFERROR(INDEX(LOOKAHEAD!$B$5:$B$204,MATCH(C96,LOOKAHEAD!$A$5:$A$204,0)),""))</f>
        <v/>
      </c>
      <c r="E96" s="16" t="str">
        <f aca="false">IF(C96="","",IFERROR(INDEX(LOOKAHEAD!$E$5:$E$204,MATCH(C96,LOOKAHEAD!$A$5:$A$204,0)),""))</f>
        <v/>
      </c>
      <c r="F96" s="16" t="str">
        <f aca="false">IF(C96="","",IFERROR(INDEX(LOOKAHEAD!$M$5:$M$204,MATCH(C96,LOOKAHEAD!$A$5:$A$204,0)),""))</f>
        <v/>
      </c>
      <c r="G96" s="9"/>
      <c r="H96" s="9"/>
      <c r="I96" s="16" t="str">
        <f aca="false">IF(C96="","",IFERROR(INDEX(LOOKAHEAD!$G$5:$G$204,MATCH(C96,LOOKAHEAD!$A$5:$A$204,0)),""))</f>
        <v/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36" t="str">
        <f aca="false">IF(C96="","",SUM(J96:O96))</f>
        <v/>
      </c>
      <c r="W96" s="36" t="str">
        <f aca="false">IF(C96="","",SUM(P96:U96))</f>
        <v/>
      </c>
      <c r="X96" s="19" t="str">
        <f aca="false">IF(OR(C96="",V96=0),"",W96/V96)</f>
        <v/>
      </c>
      <c r="Y96" s="16" t="str">
        <f aca="false">IF(OR(C96="",V96=0),"",IF(W96&gt;=V96,"Sí","No"))</f>
        <v/>
      </c>
      <c r="Z96" s="9"/>
      <c r="AA96" s="9"/>
    </row>
    <row r="97" customFormat="false" ht="15" hidden="false" customHeight="false" outlineLevel="0" collapsed="false">
      <c r="A97" s="9"/>
      <c r="B97" s="9"/>
      <c r="C97" s="9"/>
      <c r="D97" s="16" t="str">
        <f aca="false">IF(C97="","",IFERROR(INDEX(LOOKAHEAD!$B$5:$B$204,MATCH(C97,LOOKAHEAD!$A$5:$A$204,0)),""))</f>
        <v/>
      </c>
      <c r="E97" s="16" t="str">
        <f aca="false">IF(C97="","",IFERROR(INDEX(LOOKAHEAD!$E$5:$E$204,MATCH(C97,LOOKAHEAD!$A$5:$A$204,0)),""))</f>
        <v/>
      </c>
      <c r="F97" s="16" t="str">
        <f aca="false">IF(C97="","",IFERROR(INDEX(LOOKAHEAD!$M$5:$M$204,MATCH(C97,LOOKAHEAD!$A$5:$A$204,0)),""))</f>
        <v/>
      </c>
      <c r="G97" s="9"/>
      <c r="H97" s="9"/>
      <c r="I97" s="16" t="str">
        <f aca="false">IF(C97="","",IFERROR(INDEX(LOOKAHEAD!$G$5:$G$204,MATCH(C97,LOOKAHEAD!$A$5:$A$204,0)),""))</f>
        <v/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36" t="str">
        <f aca="false">IF(C97="","",SUM(J97:O97))</f>
        <v/>
      </c>
      <c r="W97" s="36" t="str">
        <f aca="false">IF(C97="","",SUM(P97:U97))</f>
        <v/>
      </c>
      <c r="X97" s="19" t="str">
        <f aca="false">IF(OR(C97="",V97=0),"",W97/V97)</f>
        <v/>
      </c>
      <c r="Y97" s="16" t="str">
        <f aca="false">IF(OR(C97="",V97=0),"",IF(W97&gt;=V97,"Sí","No"))</f>
        <v/>
      </c>
      <c r="Z97" s="9"/>
      <c r="AA97" s="9"/>
    </row>
    <row r="98" customFormat="false" ht="15" hidden="false" customHeight="false" outlineLevel="0" collapsed="false">
      <c r="A98" s="9"/>
      <c r="B98" s="9"/>
      <c r="C98" s="9"/>
      <c r="D98" s="16" t="str">
        <f aca="false">IF(C98="","",IFERROR(INDEX(LOOKAHEAD!$B$5:$B$204,MATCH(C98,LOOKAHEAD!$A$5:$A$204,0)),""))</f>
        <v/>
      </c>
      <c r="E98" s="16" t="str">
        <f aca="false">IF(C98="","",IFERROR(INDEX(LOOKAHEAD!$E$5:$E$204,MATCH(C98,LOOKAHEAD!$A$5:$A$204,0)),""))</f>
        <v/>
      </c>
      <c r="F98" s="16" t="str">
        <f aca="false">IF(C98="","",IFERROR(INDEX(LOOKAHEAD!$M$5:$M$204,MATCH(C98,LOOKAHEAD!$A$5:$A$204,0)),""))</f>
        <v/>
      </c>
      <c r="G98" s="9"/>
      <c r="H98" s="9"/>
      <c r="I98" s="16" t="str">
        <f aca="false">IF(C98="","",IFERROR(INDEX(LOOKAHEAD!$G$5:$G$204,MATCH(C98,LOOKAHEAD!$A$5:$A$204,0)),""))</f>
        <v/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36" t="str">
        <f aca="false">IF(C98="","",SUM(J98:O98))</f>
        <v/>
      </c>
      <c r="W98" s="36" t="str">
        <f aca="false">IF(C98="","",SUM(P98:U98))</f>
        <v/>
      </c>
      <c r="X98" s="19" t="str">
        <f aca="false">IF(OR(C98="",V98=0),"",W98/V98)</f>
        <v/>
      </c>
      <c r="Y98" s="16" t="str">
        <f aca="false">IF(OR(C98="",V98=0),"",IF(W98&gt;=V98,"Sí","No"))</f>
        <v/>
      </c>
      <c r="Z98" s="9"/>
      <c r="AA98" s="9"/>
    </row>
    <row r="99" customFormat="false" ht="15" hidden="false" customHeight="false" outlineLevel="0" collapsed="false">
      <c r="A99" s="9"/>
      <c r="B99" s="9"/>
      <c r="C99" s="9"/>
      <c r="D99" s="16" t="str">
        <f aca="false">IF(C99="","",IFERROR(INDEX(LOOKAHEAD!$B$5:$B$204,MATCH(C99,LOOKAHEAD!$A$5:$A$204,0)),""))</f>
        <v/>
      </c>
      <c r="E99" s="16" t="str">
        <f aca="false">IF(C99="","",IFERROR(INDEX(LOOKAHEAD!$E$5:$E$204,MATCH(C99,LOOKAHEAD!$A$5:$A$204,0)),""))</f>
        <v/>
      </c>
      <c r="F99" s="16" t="str">
        <f aca="false">IF(C99="","",IFERROR(INDEX(LOOKAHEAD!$M$5:$M$204,MATCH(C99,LOOKAHEAD!$A$5:$A$204,0)),""))</f>
        <v/>
      </c>
      <c r="G99" s="9"/>
      <c r="H99" s="9"/>
      <c r="I99" s="16" t="str">
        <f aca="false">IF(C99="","",IFERROR(INDEX(LOOKAHEAD!$G$5:$G$204,MATCH(C99,LOOKAHEAD!$A$5:$A$204,0)),""))</f>
        <v/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36" t="str">
        <f aca="false">IF(C99="","",SUM(J99:O99))</f>
        <v/>
      </c>
      <c r="W99" s="36" t="str">
        <f aca="false">IF(C99="","",SUM(P99:U99))</f>
        <v/>
      </c>
      <c r="X99" s="19" t="str">
        <f aca="false">IF(OR(C99="",V99=0),"",W99/V99)</f>
        <v/>
      </c>
      <c r="Y99" s="16" t="str">
        <f aca="false">IF(OR(C99="",V99=0),"",IF(W99&gt;=V99,"Sí","No"))</f>
        <v/>
      </c>
      <c r="Z99" s="9"/>
      <c r="AA99" s="9"/>
    </row>
    <row r="100" customFormat="false" ht="15" hidden="false" customHeight="false" outlineLevel="0" collapsed="false">
      <c r="A100" s="9"/>
      <c r="B100" s="9"/>
      <c r="C100" s="9"/>
      <c r="D100" s="16" t="str">
        <f aca="false">IF(C100="","",IFERROR(INDEX(LOOKAHEAD!$B$5:$B$204,MATCH(C100,LOOKAHEAD!$A$5:$A$204,0)),""))</f>
        <v/>
      </c>
      <c r="E100" s="16" t="str">
        <f aca="false">IF(C100="","",IFERROR(INDEX(LOOKAHEAD!$E$5:$E$204,MATCH(C100,LOOKAHEAD!$A$5:$A$204,0)),""))</f>
        <v/>
      </c>
      <c r="F100" s="16" t="str">
        <f aca="false">IF(C100="","",IFERROR(INDEX(LOOKAHEAD!$M$5:$M$204,MATCH(C100,LOOKAHEAD!$A$5:$A$204,0)),""))</f>
        <v/>
      </c>
      <c r="G100" s="9"/>
      <c r="H100" s="9"/>
      <c r="I100" s="16" t="str">
        <f aca="false">IF(C100="","",IFERROR(INDEX(LOOKAHEAD!$G$5:$G$204,MATCH(C100,LOOKAHEAD!$A$5:$A$204,0)),""))</f>
        <v/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36" t="str">
        <f aca="false">IF(C100="","",SUM(J100:O100))</f>
        <v/>
      </c>
      <c r="W100" s="36" t="str">
        <f aca="false">IF(C100="","",SUM(P100:U100))</f>
        <v/>
      </c>
      <c r="X100" s="19" t="str">
        <f aca="false">IF(OR(C100="",V100=0),"",W100/V100)</f>
        <v/>
      </c>
      <c r="Y100" s="16" t="str">
        <f aca="false">IF(OR(C100="",V100=0),"",IF(W100&gt;=V100,"Sí","No"))</f>
        <v/>
      </c>
      <c r="Z100" s="9"/>
      <c r="AA100" s="9"/>
    </row>
    <row r="101" customFormat="false" ht="15" hidden="false" customHeight="false" outlineLevel="0" collapsed="false">
      <c r="A101" s="9"/>
      <c r="B101" s="9"/>
      <c r="C101" s="9"/>
      <c r="D101" s="16" t="str">
        <f aca="false">IF(C101="","",IFERROR(INDEX(LOOKAHEAD!$B$5:$B$204,MATCH(C101,LOOKAHEAD!$A$5:$A$204,0)),""))</f>
        <v/>
      </c>
      <c r="E101" s="16" t="str">
        <f aca="false">IF(C101="","",IFERROR(INDEX(LOOKAHEAD!$E$5:$E$204,MATCH(C101,LOOKAHEAD!$A$5:$A$204,0)),""))</f>
        <v/>
      </c>
      <c r="F101" s="16" t="str">
        <f aca="false">IF(C101="","",IFERROR(INDEX(LOOKAHEAD!$M$5:$M$204,MATCH(C101,LOOKAHEAD!$A$5:$A$204,0)),""))</f>
        <v/>
      </c>
      <c r="G101" s="9"/>
      <c r="H101" s="9"/>
      <c r="I101" s="16" t="str">
        <f aca="false">IF(C101="","",IFERROR(INDEX(LOOKAHEAD!$G$5:$G$204,MATCH(C101,LOOKAHEAD!$A$5:$A$204,0)),""))</f>
        <v/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36" t="str">
        <f aca="false">IF(C101="","",SUM(J101:O101))</f>
        <v/>
      </c>
      <c r="W101" s="36" t="str">
        <f aca="false">IF(C101="","",SUM(P101:U101))</f>
        <v/>
      </c>
      <c r="X101" s="19" t="str">
        <f aca="false">IF(OR(C101="",V101=0),"",W101/V101)</f>
        <v/>
      </c>
      <c r="Y101" s="16" t="str">
        <f aca="false">IF(OR(C101="",V101=0),"",IF(W101&gt;=V101,"Sí","No"))</f>
        <v/>
      </c>
      <c r="Z101" s="9"/>
      <c r="AA101" s="9"/>
    </row>
    <row r="102" customFormat="false" ht="15" hidden="false" customHeight="false" outlineLevel="0" collapsed="false">
      <c r="A102" s="9"/>
      <c r="B102" s="9"/>
      <c r="C102" s="9"/>
      <c r="D102" s="16" t="str">
        <f aca="false">IF(C102="","",IFERROR(INDEX(LOOKAHEAD!$B$5:$B$204,MATCH(C102,LOOKAHEAD!$A$5:$A$204,0)),""))</f>
        <v/>
      </c>
      <c r="E102" s="16" t="str">
        <f aca="false">IF(C102="","",IFERROR(INDEX(LOOKAHEAD!$E$5:$E$204,MATCH(C102,LOOKAHEAD!$A$5:$A$204,0)),""))</f>
        <v/>
      </c>
      <c r="F102" s="16" t="str">
        <f aca="false">IF(C102="","",IFERROR(INDEX(LOOKAHEAD!$M$5:$M$204,MATCH(C102,LOOKAHEAD!$A$5:$A$204,0)),""))</f>
        <v/>
      </c>
      <c r="G102" s="9"/>
      <c r="H102" s="9"/>
      <c r="I102" s="16" t="str">
        <f aca="false">IF(C102="","",IFERROR(INDEX(LOOKAHEAD!$G$5:$G$204,MATCH(C102,LOOKAHEAD!$A$5:$A$204,0)),""))</f>
        <v/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36" t="str">
        <f aca="false">IF(C102="","",SUM(J102:O102))</f>
        <v/>
      </c>
      <c r="W102" s="36" t="str">
        <f aca="false">IF(C102="","",SUM(P102:U102))</f>
        <v/>
      </c>
      <c r="X102" s="19" t="str">
        <f aca="false">IF(OR(C102="",V102=0),"",W102/V102)</f>
        <v/>
      </c>
      <c r="Y102" s="16" t="str">
        <f aca="false">IF(OR(C102="",V102=0),"",IF(W102&gt;=V102,"Sí","No"))</f>
        <v/>
      </c>
      <c r="Z102" s="9"/>
      <c r="AA102" s="9"/>
    </row>
    <row r="103" customFormat="false" ht="15" hidden="false" customHeight="false" outlineLevel="0" collapsed="false">
      <c r="A103" s="9"/>
      <c r="B103" s="9"/>
      <c r="C103" s="9"/>
      <c r="D103" s="16" t="str">
        <f aca="false">IF(C103="","",IFERROR(INDEX(LOOKAHEAD!$B$5:$B$204,MATCH(C103,LOOKAHEAD!$A$5:$A$204,0)),""))</f>
        <v/>
      </c>
      <c r="E103" s="16" t="str">
        <f aca="false">IF(C103="","",IFERROR(INDEX(LOOKAHEAD!$E$5:$E$204,MATCH(C103,LOOKAHEAD!$A$5:$A$204,0)),""))</f>
        <v/>
      </c>
      <c r="F103" s="16" t="str">
        <f aca="false">IF(C103="","",IFERROR(INDEX(LOOKAHEAD!$M$5:$M$204,MATCH(C103,LOOKAHEAD!$A$5:$A$204,0)),""))</f>
        <v/>
      </c>
      <c r="G103" s="9"/>
      <c r="H103" s="9"/>
      <c r="I103" s="16" t="str">
        <f aca="false">IF(C103="","",IFERROR(INDEX(LOOKAHEAD!$G$5:$G$204,MATCH(C103,LOOKAHEAD!$A$5:$A$204,0)),""))</f>
        <v/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36" t="str">
        <f aca="false">IF(C103="","",SUM(J103:O103))</f>
        <v/>
      </c>
      <c r="W103" s="36" t="str">
        <f aca="false">IF(C103="","",SUM(P103:U103))</f>
        <v/>
      </c>
      <c r="X103" s="19" t="str">
        <f aca="false">IF(OR(C103="",V103=0),"",W103/V103)</f>
        <v/>
      </c>
      <c r="Y103" s="16" t="str">
        <f aca="false">IF(OR(C103="",V103=0),"",IF(W103&gt;=V103,"Sí","No"))</f>
        <v/>
      </c>
      <c r="Z103" s="9"/>
      <c r="AA103" s="9"/>
    </row>
    <row r="104" customFormat="false" ht="15" hidden="false" customHeight="false" outlineLevel="0" collapsed="false">
      <c r="A104" s="9"/>
      <c r="B104" s="9"/>
      <c r="C104" s="9"/>
      <c r="D104" s="16" t="str">
        <f aca="false">IF(C104="","",IFERROR(INDEX(LOOKAHEAD!$B$5:$B$204,MATCH(C104,LOOKAHEAD!$A$5:$A$204,0)),""))</f>
        <v/>
      </c>
      <c r="E104" s="16" t="str">
        <f aca="false">IF(C104="","",IFERROR(INDEX(LOOKAHEAD!$E$5:$E$204,MATCH(C104,LOOKAHEAD!$A$5:$A$204,0)),""))</f>
        <v/>
      </c>
      <c r="F104" s="16" t="str">
        <f aca="false">IF(C104="","",IFERROR(INDEX(LOOKAHEAD!$M$5:$M$204,MATCH(C104,LOOKAHEAD!$A$5:$A$204,0)),""))</f>
        <v/>
      </c>
      <c r="G104" s="9"/>
      <c r="H104" s="9"/>
      <c r="I104" s="16" t="str">
        <f aca="false">IF(C104="","",IFERROR(INDEX(LOOKAHEAD!$G$5:$G$204,MATCH(C104,LOOKAHEAD!$A$5:$A$204,0)),""))</f>
        <v/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36" t="str">
        <f aca="false">IF(C104="","",SUM(J104:O104))</f>
        <v/>
      </c>
      <c r="W104" s="36" t="str">
        <f aca="false">IF(C104="","",SUM(P104:U104))</f>
        <v/>
      </c>
      <c r="X104" s="19" t="str">
        <f aca="false">IF(OR(C104="",V104=0),"",W104/V104)</f>
        <v/>
      </c>
      <c r="Y104" s="16" t="str">
        <f aca="false">IF(OR(C104="",V104=0),"",IF(W104&gt;=V104,"Sí","No"))</f>
        <v/>
      </c>
      <c r="Z104" s="9"/>
      <c r="AA104" s="9"/>
    </row>
    <row r="105" customFormat="false" ht="15" hidden="false" customHeight="false" outlineLevel="0" collapsed="false">
      <c r="A105" s="9"/>
      <c r="B105" s="9"/>
      <c r="C105" s="9"/>
      <c r="D105" s="16" t="str">
        <f aca="false">IF(C105="","",IFERROR(INDEX(LOOKAHEAD!$B$5:$B$204,MATCH(C105,LOOKAHEAD!$A$5:$A$204,0)),""))</f>
        <v/>
      </c>
      <c r="E105" s="16" t="str">
        <f aca="false">IF(C105="","",IFERROR(INDEX(LOOKAHEAD!$E$5:$E$204,MATCH(C105,LOOKAHEAD!$A$5:$A$204,0)),""))</f>
        <v/>
      </c>
      <c r="F105" s="16" t="str">
        <f aca="false">IF(C105="","",IFERROR(INDEX(LOOKAHEAD!$M$5:$M$204,MATCH(C105,LOOKAHEAD!$A$5:$A$204,0)),""))</f>
        <v/>
      </c>
      <c r="G105" s="9"/>
      <c r="H105" s="9"/>
      <c r="I105" s="16" t="str">
        <f aca="false">IF(C105="","",IFERROR(INDEX(LOOKAHEAD!$G$5:$G$204,MATCH(C105,LOOKAHEAD!$A$5:$A$204,0)),""))</f>
        <v/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36" t="str">
        <f aca="false">IF(C105="","",SUM(J105:O105))</f>
        <v/>
      </c>
      <c r="W105" s="36" t="str">
        <f aca="false">IF(C105="","",SUM(P105:U105))</f>
        <v/>
      </c>
      <c r="X105" s="19" t="str">
        <f aca="false">IF(OR(C105="",V105=0),"",W105/V105)</f>
        <v/>
      </c>
      <c r="Y105" s="16" t="str">
        <f aca="false">IF(OR(C105="",V105=0),"",IF(W105&gt;=V105,"Sí","No"))</f>
        <v/>
      </c>
      <c r="Z105" s="9"/>
      <c r="AA105" s="9"/>
    </row>
    <row r="106" customFormat="false" ht="15" hidden="false" customHeight="false" outlineLevel="0" collapsed="false">
      <c r="A106" s="9"/>
      <c r="B106" s="9"/>
      <c r="C106" s="9"/>
      <c r="D106" s="16" t="str">
        <f aca="false">IF(C106="","",IFERROR(INDEX(LOOKAHEAD!$B$5:$B$204,MATCH(C106,LOOKAHEAD!$A$5:$A$204,0)),""))</f>
        <v/>
      </c>
      <c r="E106" s="16" t="str">
        <f aca="false">IF(C106="","",IFERROR(INDEX(LOOKAHEAD!$E$5:$E$204,MATCH(C106,LOOKAHEAD!$A$5:$A$204,0)),""))</f>
        <v/>
      </c>
      <c r="F106" s="16" t="str">
        <f aca="false">IF(C106="","",IFERROR(INDEX(LOOKAHEAD!$M$5:$M$204,MATCH(C106,LOOKAHEAD!$A$5:$A$204,0)),""))</f>
        <v/>
      </c>
      <c r="G106" s="9"/>
      <c r="H106" s="9"/>
      <c r="I106" s="16" t="str">
        <f aca="false">IF(C106="","",IFERROR(INDEX(LOOKAHEAD!$G$5:$G$204,MATCH(C106,LOOKAHEAD!$A$5:$A$204,0)),""))</f>
        <v/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36" t="str">
        <f aca="false">IF(C106="","",SUM(J106:O106))</f>
        <v/>
      </c>
      <c r="W106" s="36" t="str">
        <f aca="false">IF(C106="","",SUM(P106:U106))</f>
        <v/>
      </c>
      <c r="X106" s="19" t="str">
        <f aca="false">IF(OR(C106="",V106=0),"",W106/V106)</f>
        <v/>
      </c>
      <c r="Y106" s="16" t="str">
        <f aca="false">IF(OR(C106="",V106=0),"",IF(W106&gt;=V106,"Sí","No"))</f>
        <v/>
      </c>
      <c r="Z106" s="9"/>
      <c r="AA106" s="9"/>
    </row>
    <row r="107" customFormat="false" ht="15" hidden="false" customHeight="false" outlineLevel="0" collapsed="false">
      <c r="A107" s="9"/>
      <c r="B107" s="9"/>
      <c r="C107" s="9"/>
      <c r="D107" s="16" t="str">
        <f aca="false">IF(C107="","",IFERROR(INDEX(LOOKAHEAD!$B$5:$B$204,MATCH(C107,LOOKAHEAD!$A$5:$A$204,0)),""))</f>
        <v/>
      </c>
      <c r="E107" s="16" t="str">
        <f aca="false">IF(C107="","",IFERROR(INDEX(LOOKAHEAD!$E$5:$E$204,MATCH(C107,LOOKAHEAD!$A$5:$A$204,0)),""))</f>
        <v/>
      </c>
      <c r="F107" s="16" t="str">
        <f aca="false">IF(C107="","",IFERROR(INDEX(LOOKAHEAD!$M$5:$M$204,MATCH(C107,LOOKAHEAD!$A$5:$A$204,0)),""))</f>
        <v/>
      </c>
      <c r="G107" s="9"/>
      <c r="H107" s="9"/>
      <c r="I107" s="16" t="str">
        <f aca="false">IF(C107="","",IFERROR(INDEX(LOOKAHEAD!$G$5:$G$204,MATCH(C107,LOOKAHEAD!$A$5:$A$204,0)),""))</f>
        <v/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36" t="str">
        <f aca="false">IF(C107="","",SUM(J107:O107))</f>
        <v/>
      </c>
      <c r="W107" s="36" t="str">
        <f aca="false">IF(C107="","",SUM(P107:U107))</f>
        <v/>
      </c>
      <c r="X107" s="19" t="str">
        <f aca="false">IF(OR(C107="",V107=0),"",W107/V107)</f>
        <v/>
      </c>
      <c r="Y107" s="16" t="str">
        <f aca="false">IF(OR(C107="",V107=0),"",IF(W107&gt;=V107,"Sí","No"))</f>
        <v/>
      </c>
      <c r="Z107" s="9"/>
      <c r="AA107" s="9"/>
    </row>
    <row r="108" customFormat="false" ht="15" hidden="false" customHeight="false" outlineLevel="0" collapsed="false">
      <c r="A108" s="9"/>
      <c r="B108" s="9"/>
      <c r="C108" s="9"/>
      <c r="D108" s="16" t="str">
        <f aca="false">IF(C108="","",IFERROR(INDEX(LOOKAHEAD!$B$5:$B$204,MATCH(C108,LOOKAHEAD!$A$5:$A$204,0)),""))</f>
        <v/>
      </c>
      <c r="E108" s="16" t="str">
        <f aca="false">IF(C108="","",IFERROR(INDEX(LOOKAHEAD!$E$5:$E$204,MATCH(C108,LOOKAHEAD!$A$5:$A$204,0)),""))</f>
        <v/>
      </c>
      <c r="F108" s="16" t="str">
        <f aca="false">IF(C108="","",IFERROR(INDEX(LOOKAHEAD!$M$5:$M$204,MATCH(C108,LOOKAHEAD!$A$5:$A$204,0)),""))</f>
        <v/>
      </c>
      <c r="G108" s="9"/>
      <c r="H108" s="9"/>
      <c r="I108" s="16" t="str">
        <f aca="false">IF(C108="","",IFERROR(INDEX(LOOKAHEAD!$G$5:$G$204,MATCH(C108,LOOKAHEAD!$A$5:$A$204,0)),""))</f>
        <v/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36" t="str">
        <f aca="false">IF(C108="","",SUM(J108:O108))</f>
        <v/>
      </c>
      <c r="W108" s="36" t="str">
        <f aca="false">IF(C108="","",SUM(P108:U108))</f>
        <v/>
      </c>
      <c r="X108" s="19" t="str">
        <f aca="false">IF(OR(C108="",V108=0),"",W108/V108)</f>
        <v/>
      </c>
      <c r="Y108" s="16" t="str">
        <f aca="false">IF(OR(C108="",V108=0),"",IF(W108&gt;=V108,"Sí","No"))</f>
        <v/>
      </c>
      <c r="Z108" s="9"/>
      <c r="AA108" s="9"/>
    </row>
    <row r="109" customFormat="false" ht="15" hidden="false" customHeight="false" outlineLevel="0" collapsed="false">
      <c r="A109" s="9"/>
      <c r="B109" s="9"/>
      <c r="C109" s="9"/>
      <c r="D109" s="16" t="str">
        <f aca="false">IF(C109="","",IFERROR(INDEX(LOOKAHEAD!$B$5:$B$204,MATCH(C109,LOOKAHEAD!$A$5:$A$204,0)),""))</f>
        <v/>
      </c>
      <c r="E109" s="16" t="str">
        <f aca="false">IF(C109="","",IFERROR(INDEX(LOOKAHEAD!$E$5:$E$204,MATCH(C109,LOOKAHEAD!$A$5:$A$204,0)),""))</f>
        <v/>
      </c>
      <c r="F109" s="16" t="str">
        <f aca="false">IF(C109="","",IFERROR(INDEX(LOOKAHEAD!$M$5:$M$204,MATCH(C109,LOOKAHEAD!$A$5:$A$204,0)),""))</f>
        <v/>
      </c>
      <c r="G109" s="9"/>
      <c r="H109" s="9"/>
      <c r="I109" s="16" t="str">
        <f aca="false">IF(C109="","",IFERROR(INDEX(LOOKAHEAD!$G$5:$G$204,MATCH(C109,LOOKAHEAD!$A$5:$A$204,0)),""))</f>
        <v/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36" t="str">
        <f aca="false">IF(C109="","",SUM(J109:O109))</f>
        <v/>
      </c>
      <c r="W109" s="36" t="str">
        <f aca="false">IF(C109="","",SUM(P109:U109))</f>
        <v/>
      </c>
      <c r="X109" s="19" t="str">
        <f aca="false">IF(OR(C109="",V109=0),"",W109/V109)</f>
        <v/>
      </c>
      <c r="Y109" s="16" t="str">
        <f aca="false">IF(OR(C109="",V109=0),"",IF(W109&gt;=V109,"Sí","No"))</f>
        <v/>
      </c>
      <c r="Z109" s="9"/>
      <c r="AA109" s="9"/>
    </row>
    <row r="110" customFormat="false" ht="15" hidden="false" customHeight="false" outlineLevel="0" collapsed="false">
      <c r="A110" s="9"/>
      <c r="B110" s="9"/>
      <c r="C110" s="9"/>
      <c r="D110" s="16" t="str">
        <f aca="false">IF(C110="","",IFERROR(INDEX(LOOKAHEAD!$B$5:$B$204,MATCH(C110,LOOKAHEAD!$A$5:$A$204,0)),""))</f>
        <v/>
      </c>
      <c r="E110" s="16" t="str">
        <f aca="false">IF(C110="","",IFERROR(INDEX(LOOKAHEAD!$E$5:$E$204,MATCH(C110,LOOKAHEAD!$A$5:$A$204,0)),""))</f>
        <v/>
      </c>
      <c r="F110" s="16" t="str">
        <f aca="false">IF(C110="","",IFERROR(INDEX(LOOKAHEAD!$M$5:$M$204,MATCH(C110,LOOKAHEAD!$A$5:$A$204,0)),""))</f>
        <v/>
      </c>
      <c r="G110" s="9"/>
      <c r="H110" s="9"/>
      <c r="I110" s="16" t="str">
        <f aca="false">IF(C110="","",IFERROR(INDEX(LOOKAHEAD!$G$5:$G$204,MATCH(C110,LOOKAHEAD!$A$5:$A$204,0)),""))</f>
        <v/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36" t="str">
        <f aca="false">IF(C110="","",SUM(J110:O110))</f>
        <v/>
      </c>
      <c r="W110" s="36" t="str">
        <f aca="false">IF(C110="","",SUM(P110:U110))</f>
        <v/>
      </c>
      <c r="X110" s="19" t="str">
        <f aca="false">IF(OR(C110="",V110=0),"",W110/V110)</f>
        <v/>
      </c>
      <c r="Y110" s="16" t="str">
        <f aca="false">IF(OR(C110="",V110=0),"",IF(W110&gt;=V110,"Sí","No"))</f>
        <v/>
      </c>
      <c r="Z110" s="9"/>
      <c r="AA110" s="9"/>
    </row>
    <row r="111" customFormat="false" ht="15" hidden="false" customHeight="false" outlineLevel="0" collapsed="false">
      <c r="A111" s="9"/>
      <c r="B111" s="9"/>
      <c r="C111" s="9"/>
      <c r="D111" s="16" t="str">
        <f aca="false">IF(C111="","",IFERROR(INDEX(LOOKAHEAD!$B$5:$B$204,MATCH(C111,LOOKAHEAD!$A$5:$A$204,0)),""))</f>
        <v/>
      </c>
      <c r="E111" s="16" t="str">
        <f aca="false">IF(C111="","",IFERROR(INDEX(LOOKAHEAD!$E$5:$E$204,MATCH(C111,LOOKAHEAD!$A$5:$A$204,0)),""))</f>
        <v/>
      </c>
      <c r="F111" s="16" t="str">
        <f aca="false">IF(C111="","",IFERROR(INDEX(LOOKAHEAD!$M$5:$M$204,MATCH(C111,LOOKAHEAD!$A$5:$A$204,0)),""))</f>
        <v/>
      </c>
      <c r="G111" s="9"/>
      <c r="H111" s="9"/>
      <c r="I111" s="16" t="str">
        <f aca="false">IF(C111="","",IFERROR(INDEX(LOOKAHEAD!$G$5:$G$204,MATCH(C111,LOOKAHEAD!$A$5:$A$204,0)),""))</f>
        <v/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36" t="str">
        <f aca="false">IF(C111="","",SUM(J111:O111))</f>
        <v/>
      </c>
      <c r="W111" s="36" t="str">
        <f aca="false">IF(C111="","",SUM(P111:U111))</f>
        <v/>
      </c>
      <c r="X111" s="19" t="str">
        <f aca="false">IF(OR(C111="",V111=0),"",W111/V111)</f>
        <v/>
      </c>
      <c r="Y111" s="16" t="str">
        <f aca="false">IF(OR(C111="",V111=0),"",IF(W111&gt;=V111,"Sí","No"))</f>
        <v/>
      </c>
      <c r="Z111" s="9"/>
      <c r="AA111" s="9"/>
    </row>
    <row r="112" customFormat="false" ht="15" hidden="false" customHeight="false" outlineLevel="0" collapsed="false">
      <c r="A112" s="9"/>
      <c r="B112" s="9"/>
      <c r="C112" s="9"/>
      <c r="D112" s="16" t="str">
        <f aca="false">IF(C112="","",IFERROR(INDEX(LOOKAHEAD!$B$5:$B$204,MATCH(C112,LOOKAHEAD!$A$5:$A$204,0)),""))</f>
        <v/>
      </c>
      <c r="E112" s="16" t="str">
        <f aca="false">IF(C112="","",IFERROR(INDEX(LOOKAHEAD!$E$5:$E$204,MATCH(C112,LOOKAHEAD!$A$5:$A$204,0)),""))</f>
        <v/>
      </c>
      <c r="F112" s="16" t="str">
        <f aca="false">IF(C112="","",IFERROR(INDEX(LOOKAHEAD!$M$5:$M$204,MATCH(C112,LOOKAHEAD!$A$5:$A$204,0)),""))</f>
        <v/>
      </c>
      <c r="G112" s="9"/>
      <c r="H112" s="9"/>
      <c r="I112" s="16" t="str">
        <f aca="false">IF(C112="","",IFERROR(INDEX(LOOKAHEAD!$G$5:$G$204,MATCH(C112,LOOKAHEAD!$A$5:$A$204,0)),""))</f>
        <v/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36" t="str">
        <f aca="false">IF(C112="","",SUM(J112:O112))</f>
        <v/>
      </c>
      <c r="W112" s="36" t="str">
        <f aca="false">IF(C112="","",SUM(P112:U112))</f>
        <v/>
      </c>
      <c r="X112" s="19" t="str">
        <f aca="false">IF(OR(C112="",V112=0),"",W112/V112)</f>
        <v/>
      </c>
      <c r="Y112" s="16" t="str">
        <f aca="false">IF(OR(C112="",V112=0),"",IF(W112&gt;=V112,"Sí","No"))</f>
        <v/>
      </c>
      <c r="Z112" s="9"/>
      <c r="AA112" s="9"/>
    </row>
    <row r="113" customFormat="false" ht="15" hidden="false" customHeight="false" outlineLevel="0" collapsed="false">
      <c r="A113" s="9"/>
      <c r="B113" s="9"/>
      <c r="C113" s="9"/>
      <c r="D113" s="16" t="str">
        <f aca="false">IF(C113="","",IFERROR(INDEX(LOOKAHEAD!$B$5:$B$204,MATCH(C113,LOOKAHEAD!$A$5:$A$204,0)),""))</f>
        <v/>
      </c>
      <c r="E113" s="16" t="str">
        <f aca="false">IF(C113="","",IFERROR(INDEX(LOOKAHEAD!$E$5:$E$204,MATCH(C113,LOOKAHEAD!$A$5:$A$204,0)),""))</f>
        <v/>
      </c>
      <c r="F113" s="16" t="str">
        <f aca="false">IF(C113="","",IFERROR(INDEX(LOOKAHEAD!$M$5:$M$204,MATCH(C113,LOOKAHEAD!$A$5:$A$204,0)),""))</f>
        <v/>
      </c>
      <c r="G113" s="9"/>
      <c r="H113" s="9"/>
      <c r="I113" s="16" t="str">
        <f aca="false">IF(C113="","",IFERROR(INDEX(LOOKAHEAD!$G$5:$G$204,MATCH(C113,LOOKAHEAD!$A$5:$A$204,0)),""))</f>
        <v/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36" t="str">
        <f aca="false">IF(C113="","",SUM(J113:O113))</f>
        <v/>
      </c>
      <c r="W113" s="36" t="str">
        <f aca="false">IF(C113="","",SUM(P113:U113))</f>
        <v/>
      </c>
      <c r="X113" s="19" t="str">
        <f aca="false">IF(OR(C113="",V113=0),"",W113/V113)</f>
        <v/>
      </c>
      <c r="Y113" s="16" t="str">
        <f aca="false">IF(OR(C113="",V113=0),"",IF(W113&gt;=V113,"Sí","No"))</f>
        <v/>
      </c>
      <c r="Z113" s="9"/>
      <c r="AA113" s="9"/>
    </row>
    <row r="114" customFormat="false" ht="15" hidden="false" customHeight="false" outlineLevel="0" collapsed="false">
      <c r="A114" s="9"/>
      <c r="B114" s="9"/>
      <c r="C114" s="9"/>
      <c r="D114" s="16" t="str">
        <f aca="false">IF(C114="","",IFERROR(INDEX(LOOKAHEAD!$B$5:$B$204,MATCH(C114,LOOKAHEAD!$A$5:$A$204,0)),""))</f>
        <v/>
      </c>
      <c r="E114" s="16" t="str">
        <f aca="false">IF(C114="","",IFERROR(INDEX(LOOKAHEAD!$E$5:$E$204,MATCH(C114,LOOKAHEAD!$A$5:$A$204,0)),""))</f>
        <v/>
      </c>
      <c r="F114" s="16" t="str">
        <f aca="false">IF(C114="","",IFERROR(INDEX(LOOKAHEAD!$M$5:$M$204,MATCH(C114,LOOKAHEAD!$A$5:$A$204,0)),""))</f>
        <v/>
      </c>
      <c r="G114" s="9"/>
      <c r="H114" s="9"/>
      <c r="I114" s="16" t="str">
        <f aca="false">IF(C114="","",IFERROR(INDEX(LOOKAHEAD!$G$5:$G$204,MATCH(C114,LOOKAHEAD!$A$5:$A$204,0)),""))</f>
        <v/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36" t="str">
        <f aca="false">IF(C114="","",SUM(J114:O114))</f>
        <v/>
      </c>
      <c r="W114" s="36" t="str">
        <f aca="false">IF(C114="","",SUM(P114:U114))</f>
        <v/>
      </c>
      <c r="X114" s="19" t="str">
        <f aca="false">IF(OR(C114="",V114=0),"",W114/V114)</f>
        <v/>
      </c>
      <c r="Y114" s="16" t="str">
        <f aca="false">IF(OR(C114="",V114=0),"",IF(W114&gt;=V114,"Sí","No"))</f>
        <v/>
      </c>
      <c r="Z114" s="9"/>
      <c r="AA114" s="9"/>
    </row>
    <row r="115" customFormat="false" ht="15" hidden="false" customHeight="false" outlineLevel="0" collapsed="false">
      <c r="A115" s="9"/>
      <c r="B115" s="9"/>
      <c r="C115" s="9"/>
      <c r="D115" s="16" t="str">
        <f aca="false">IF(C115="","",IFERROR(INDEX(LOOKAHEAD!$B$5:$B$204,MATCH(C115,LOOKAHEAD!$A$5:$A$204,0)),""))</f>
        <v/>
      </c>
      <c r="E115" s="16" t="str">
        <f aca="false">IF(C115="","",IFERROR(INDEX(LOOKAHEAD!$E$5:$E$204,MATCH(C115,LOOKAHEAD!$A$5:$A$204,0)),""))</f>
        <v/>
      </c>
      <c r="F115" s="16" t="str">
        <f aca="false">IF(C115="","",IFERROR(INDEX(LOOKAHEAD!$M$5:$M$204,MATCH(C115,LOOKAHEAD!$A$5:$A$204,0)),""))</f>
        <v/>
      </c>
      <c r="G115" s="9"/>
      <c r="H115" s="9"/>
      <c r="I115" s="16" t="str">
        <f aca="false">IF(C115="","",IFERROR(INDEX(LOOKAHEAD!$G$5:$G$204,MATCH(C115,LOOKAHEAD!$A$5:$A$204,0)),""))</f>
        <v/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36" t="str">
        <f aca="false">IF(C115="","",SUM(J115:O115))</f>
        <v/>
      </c>
      <c r="W115" s="36" t="str">
        <f aca="false">IF(C115="","",SUM(P115:U115))</f>
        <v/>
      </c>
      <c r="X115" s="19" t="str">
        <f aca="false">IF(OR(C115="",V115=0),"",W115/V115)</f>
        <v/>
      </c>
      <c r="Y115" s="16" t="str">
        <f aca="false">IF(OR(C115="",V115=0),"",IF(W115&gt;=V115,"Sí","No"))</f>
        <v/>
      </c>
      <c r="Z115" s="9"/>
      <c r="AA115" s="9"/>
    </row>
    <row r="116" customFormat="false" ht="15" hidden="false" customHeight="false" outlineLevel="0" collapsed="false">
      <c r="A116" s="9"/>
      <c r="B116" s="9"/>
      <c r="C116" s="9"/>
      <c r="D116" s="16" t="str">
        <f aca="false">IF(C116="","",IFERROR(INDEX(LOOKAHEAD!$B$5:$B$204,MATCH(C116,LOOKAHEAD!$A$5:$A$204,0)),""))</f>
        <v/>
      </c>
      <c r="E116" s="16" t="str">
        <f aca="false">IF(C116="","",IFERROR(INDEX(LOOKAHEAD!$E$5:$E$204,MATCH(C116,LOOKAHEAD!$A$5:$A$204,0)),""))</f>
        <v/>
      </c>
      <c r="F116" s="16" t="str">
        <f aca="false">IF(C116="","",IFERROR(INDEX(LOOKAHEAD!$M$5:$M$204,MATCH(C116,LOOKAHEAD!$A$5:$A$204,0)),""))</f>
        <v/>
      </c>
      <c r="G116" s="9"/>
      <c r="H116" s="9"/>
      <c r="I116" s="16" t="str">
        <f aca="false">IF(C116="","",IFERROR(INDEX(LOOKAHEAD!$G$5:$G$204,MATCH(C116,LOOKAHEAD!$A$5:$A$204,0)),""))</f>
        <v/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36" t="str">
        <f aca="false">IF(C116="","",SUM(J116:O116))</f>
        <v/>
      </c>
      <c r="W116" s="36" t="str">
        <f aca="false">IF(C116="","",SUM(P116:U116))</f>
        <v/>
      </c>
      <c r="X116" s="19" t="str">
        <f aca="false">IF(OR(C116="",V116=0),"",W116/V116)</f>
        <v/>
      </c>
      <c r="Y116" s="16" t="str">
        <f aca="false">IF(OR(C116="",V116=0),"",IF(W116&gt;=V116,"Sí","No"))</f>
        <v/>
      </c>
      <c r="Z116" s="9"/>
      <c r="AA116" s="9"/>
    </row>
    <row r="117" customFormat="false" ht="15" hidden="false" customHeight="false" outlineLevel="0" collapsed="false">
      <c r="A117" s="9"/>
      <c r="B117" s="9"/>
      <c r="C117" s="9"/>
      <c r="D117" s="16" t="str">
        <f aca="false">IF(C117="","",IFERROR(INDEX(LOOKAHEAD!$B$5:$B$204,MATCH(C117,LOOKAHEAD!$A$5:$A$204,0)),""))</f>
        <v/>
      </c>
      <c r="E117" s="16" t="str">
        <f aca="false">IF(C117="","",IFERROR(INDEX(LOOKAHEAD!$E$5:$E$204,MATCH(C117,LOOKAHEAD!$A$5:$A$204,0)),""))</f>
        <v/>
      </c>
      <c r="F117" s="16" t="str">
        <f aca="false">IF(C117="","",IFERROR(INDEX(LOOKAHEAD!$M$5:$M$204,MATCH(C117,LOOKAHEAD!$A$5:$A$204,0)),""))</f>
        <v/>
      </c>
      <c r="G117" s="9"/>
      <c r="H117" s="9"/>
      <c r="I117" s="16" t="str">
        <f aca="false">IF(C117="","",IFERROR(INDEX(LOOKAHEAD!$G$5:$G$204,MATCH(C117,LOOKAHEAD!$A$5:$A$204,0)),""))</f>
        <v/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36" t="str">
        <f aca="false">IF(C117="","",SUM(J117:O117))</f>
        <v/>
      </c>
      <c r="W117" s="36" t="str">
        <f aca="false">IF(C117="","",SUM(P117:U117))</f>
        <v/>
      </c>
      <c r="X117" s="19" t="str">
        <f aca="false">IF(OR(C117="",V117=0),"",W117/V117)</f>
        <v/>
      </c>
      <c r="Y117" s="16" t="str">
        <f aca="false">IF(OR(C117="",V117=0),"",IF(W117&gt;=V117,"Sí","No"))</f>
        <v/>
      </c>
      <c r="Z117" s="9"/>
      <c r="AA117" s="9"/>
    </row>
    <row r="118" customFormat="false" ht="15" hidden="false" customHeight="false" outlineLevel="0" collapsed="false">
      <c r="A118" s="9"/>
      <c r="B118" s="9"/>
      <c r="C118" s="9"/>
      <c r="D118" s="16" t="str">
        <f aca="false">IF(C118="","",IFERROR(INDEX(LOOKAHEAD!$B$5:$B$204,MATCH(C118,LOOKAHEAD!$A$5:$A$204,0)),""))</f>
        <v/>
      </c>
      <c r="E118" s="16" t="str">
        <f aca="false">IF(C118="","",IFERROR(INDEX(LOOKAHEAD!$E$5:$E$204,MATCH(C118,LOOKAHEAD!$A$5:$A$204,0)),""))</f>
        <v/>
      </c>
      <c r="F118" s="16" t="str">
        <f aca="false">IF(C118="","",IFERROR(INDEX(LOOKAHEAD!$M$5:$M$204,MATCH(C118,LOOKAHEAD!$A$5:$A$204,0)),""))</f>
        <v/>
      </c>
      <c r="G118" s="9"/>
      <c r="H118" s="9"/>
      <c r="I118" s="16" t="str">
        <f aca="false">IF(C118="","",IFERROR(INDEX(LOOKAHEAD!$G$5:$G$204,MATCH(C118,LOOKAHEAD!$A$5:$A$204,0)),""))</f>
        <v/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36" t="str">
        <f aca="false">IF(C118="","",SUM(J118:O118))</f>
        <v/>
      </c>
      <c r="W118" s="36" t="str">
        <f aca="false">IF(C118="","",SUM(P118:U118))</f>
        <v/>
      </c>
      <c r="X118" s="19" t="str">
        <f aca="false">IF(OR(C118="",V118=0),"",W118/V118)</f>
        <v/>
      </c>
      <c r="Y118" s="16" t="str">
        <f aca="false">IF(OR(C118="",V118=0),"",IF(W118&gt;=V118,"Sí","No"))</f>
        <v/>
      </c>
      <c r="Z118" s="9"/>
      <c r="AA118" s="9"/>
    </row>
    <row r="119" customFormat="false" ht="15" hidden="false" customHeight="false" outlineLevel="0" collapsed="false">
      <c r="A119" s="9"/>
      <c r="B119" s="9"/>
      <c r="C119" s="9"/>
      <c r="D119" s="16" t="str">
        <f aca="false">IF(C119="","",IFERROR(INDEX(LOOKAHEAD!$B$5:$B$204,MATCH(C119,LOOKAHEAD!$A$5:$A$204,0)),""))</f>
        <v/>
      </c>
      <c r="E119" s="16" t="str">
        <f aca="false">IF(C119="","",IFERROR(INDEX(LOOKAHEAD!$E$5:$E$204,MATCH(C119,LOOKAHEAD!$A$5:$A$204,0)),""))</f>
        <v/>
      </c>
      <c r="F119" s="16" t="str">
        <f aca="false">IF(C119="","",IFERROR(INDEX(LOOKAHEAD!$M$5:$M$204,MATCH(C119,LOOKAHEAD!$A$5:$A$204,0)),""))</f>
        <v/>
      </c>
      <c r="G119" s="9"/>
      <c r="H119" s="9"/>
      <c r="I119" s="16" t="str">
        <f aca="false">IF(C119="","",IFERROR(INDEX(LOOKAHEAD!$G$5:$G$204,MATCH(C119,LOOKAHEAD!$A$5:$A$204,0)),""))</f>
        <v/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36" t="str">
        <f aca="false">IF(C119="","",SUM(J119:O119))</f>
        <v/>
      </c>
      <c r="W119" s="36" t="str">
        <f aca="false">IF(C119="","",SUM(P119:U119))</f>
        <v/>
      </c>
      <c r="X119" s="19" t="str">
        <f aca="false">IF(OR(C119="",V119=0),"",W119/V119)</f>
        <v/>
      </c>
      <c r="Y119" s="16" t="str">
        <f aca="false">IF(OR(C119="",V119=0),"",IF(W119&gt;=V119,"Sí","No"))</f>
        <v/>
      </c>
      <c r="Z119" s="9"/>
      <c r="AA119" s="9"/>
    </row>
    <row r="120" customFormat="false" ht="15" hidden="false" customHeight="false" outlineLevel="0" collapsed="false">
      <c r="A120" s="9"/>
      <c r="B120" s="9"/>
      <c r="C120" s="9"/>
      <c r="D120" s="16" t="str">
        <f aca="false">IF(C120="","",IFERROR(INDEX(LOOKAHEAD!$B$5:$B$204,MATCH(C120,LOOKAHEAD!$A$5:$A$204,0)),""))</f>
        <v/>
      </c>
      <c r="E120" s="16" t="str">
        <f aca="false">IF(C120="","",IFERROR(INDEX(LOOKAHEAD!$E$5:$E$204,MATCH(C120,LOOKAHEAD!$A$5:$A$204,0)),""))</f>
        <v/>
      </c>
      <c r="F120" s="16" t="str">
        <f aca="false">IF(C120="","",IFERROR(INDEX(LOOKAHEAD!$M$5:$M$204,MATCH(C120,LOOKAHEAD!$A$5:$A$204,0)),""))</f>
        <v/>
      </c>
      <c r="G120" s="9"/>
      <c r="H120" s="9"/>
      <c r="I120" s="16" t="str">
        <f aca="false">IF(C120="","",IFERROR(INDEX(LOOKAHEAD!$G$5:$G$204,MATCH(C120,LOOKAHEAD!$A$5:$A$204,0)),""))</f>
        <v/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36" t="str">
        <f aca="false">IF(C120="","",SUM(J120:O120))</f>
        <v/>
      </c>
      <c r="W120" s="36" t="str">
        <f aca="false">IF(C120="","",SUM(P120:U120))</f>
        <v/>
      </c>
      <c r="X120" s="19" t="str">
        <f aca="false">IF(OR(C120="",V120=0),"",W120/V120)</f>
        <v/>
      </c>
      <c r="Y120" s="16" t="str">
        <f aca="false">IF(OR(C120="",V120=0),"",IF(W120&gt;=V120,"Sí","No"))</f>
        <v/>
      </c>
      <c r="Z120" s="9"/>
      <c r="AA120" s="9"/>
    </row>
    <row r="121" customFormat="false" ht="15" hidden="false" customHeight="false" outlineLevel="0" collapsed="false">
      <c r="A121" s="9"/>
      <c r="B121" s="9"/>
      <c r="C121" s="9"/>
      <c r="D121" s="16" t="str">
        <f aca="false">IF(C121="","",IFERROR(INDEX(LOOKAHEAD!$B$5:$B$204,MATCH(C121,LOOKAHEAD!$A$5:$A$204,0)),""))</f>
        <v/>
      </c>
      <c r="E121" s="16" t="str">
        <f aca="false">IF(C121="","",IFERROR(INDEX(LOOKAHEAD!$E$5:$E$204,MATCH(C121,LOOKAHEAD!$A$5:$A$204,0)),""))</f>
        <v/>
      </c>
      <c r="F121" s="16" t="str">
        <f aca="false">IF(C121="","",IFERROR(INDEX(LOOKAHEAD!$M$5:$M$204,MATCH(C121,LOOKAHEAD!$A$5:$A$204,0)),""))</f>
        <v/>
      </c>
      <c r="G121" s="9"/>
      <c r="H121" s="9"/>
      <c r="I121" s="16" t="str">
        <f aca="false">IF(C121="","",IFERROR(INDEX(LOOKAHEAD!$G$5:$G$204,MATCH(C121,LOOKAHEAD!$A$5:$A$204,0)),""))</f>
        <v/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36" t="str">
        <f aca="false">IF(C121="","",SUM(J121:O121))</f>
        <v/>
      </c>
      <c r="W121" s="36" t="str">
        <f aca="false">IF(C121="","",SUM(P121:U121))</f>
        <v/>
      </c>
      <c r="X121" s="19" t="str">
        <f aca="false">IF(OR(C121="",V121=0),"",W121/V121)</f>
        <v/>
      </c>
      <c r="Y121" s="16" t="str">
        <f aca="false">IF(OR(C121="",V121=0),"",IF(W121&gt;=V121,"Sí","No"))</f>
        <v/>
      </c>
      <c r="Z121" s="9"/>
      <c r="AA121" s="9"/>
    </row>
    <row r="122" customFormat="false" ht="15" hidden="false" customHeight="false" outlineLevel="0" collapsed="false">
      <c r="A122" s="9"/>
      <c r="B122" s="9"/>
      <c r="C122" s="9"/>
      <c r="D122" s="16" t="str">
        <f aca="false">IF(C122="","",IFERROR(INDEX(LOOKAHEAD!$B$5:$B$204,MATCH(C122,LOOKAHEAD!$A$5:$A$204,0)),""))</f>
        <v/>
      </c>
      <c r="E122" s="16" t="str">
        <f aca="false">IF(C122="","",IFERROR(INDEX(LOOKAHEAD!$E$5:$E$204,MATCH(C122,LOOKAHEAD!$A$5:$A$204,0)),""))</f>
        <v/>
      </c>
      <c r="F122" s="16" t="str">
        <f aca="false">IF(C122="","",IFERROR(INDEX(LOOKAHEAD!$M$5:$M$204,MATCH(C122,LOOKAHEAD!$A$5:$A$204,0)),""))</f>
        <v/>
      </c>
      <c r="G122" s="9"/>
      <c r="H122" s="9"/>
      <c r="I122" s="16" t="str">
        <f aca="false">IF(C122="","",IFERROR(INDEX(LOOKAHEAD!$G$5:$G$204,MATCH(C122,LOOKAHEAD!$A$5:$A$204,0)),""))</f>
        <v/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36" t="str">
        <f aca="false">IF(C122="","",SUM(J122:O122))</f>
        <v/>
      </c>
      <c r="W122" s="36" t="str">
        <f aca="false">IF(C122="","",SUM(P122:U122))</f>
        <v/>
      </c>
      <c r="X122" s="19" t="str">
        <f aca="false">IF(OR(C122="",V122=0),"",W122/V122)</f>
        <v/>
      </c>
      <c r="Y122" s="16" t="str">
        <f aca="false">IF(OR(C122="",V122=0),"",IF(W122&gt;=V122,"Sí","No"))</f>
        <v/>
      </c>
      <c r="Z122" s="9"/>
      <c r="AA122" s="9"/>
    </row>
    <row r="123" customFormat="false" ht="15" hidden="false" customHeight="false" outlineLevel="0" collapsed="false">
      <c r="A123" s="9"/>
      <c r="B123" s="9"/>
      <c r="C123" s="9"/>
      <c r="D123" s="16" t="str">
        <f aca="false">IF(C123="","",IFERROR(INDEX(LOOKAHEAD!$B$5:$B$204,MATCH(C123,LOOKAHEAD!$A$5:$A$204,0)),""))</f>
        <v/>
      </c>
      <c r="E123" s="16" t="str">
        <f aca="false">IF(C123="","",IFERROR(INDEX(LOOKAHEAD!$E$5:$E$204,MATCH(C123,LOOKAHEAD!$A$5:$A$204,0)),""))</f>
        <v/>
      </c>
      <c r="F123" s="16" t="str">
        <f aca="false">IF(C123="","",IFERROR(INDEX(LOOKAHEAD!$M$5:$M$204,MATCH(C123,LOOKAHEAD!$A$5:$A$204,0)),""))</f>
        <v/>
      </c>
      <c r="G123" s="9"/>
      <c r="H123" s="9"/>
      <c r="I123" s="16" t="str">
        <f aca="false">IF(C123="","",IFERROR(INDEX(LOOKAHEAD!$G$5:$G$204,MATCH(C123,LOOKAHEAD!$A$5:$A$204,0)),""))</f>
        <v/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36" t="str">
        <f aca="false">IF(C123="","",SUM(J123:O123))</f>
        <v/>
      </c>
      <c r="W123" s="36" t="str">
        <f aca="false">IF(C123="","",SUM(P123:U123))</f>
        <v/>
      </c>
      <c r="X123" s="19" t="str">
        <f aca="false">IF(OR(C123="",V123=0),"",W123/V123)</f>
        <v/>
      </c>
      <c r="Y123" s="16" t="str">
        <f aca="false">IF(OR(C123="",V123=0),"",IF(W123&gt;=V123,"Sí","No"))</f>
        <v/>
      </c>
      <c r="Z123" s="9"/>
      <c r="AA123" s="9"/>
    </row>
    <row r="124" customFormat="false" ht="15" hidden="false" customHeight="false" outlineLevel="0" collapsed="false">
      <c r="A124" s="9"/>
      <c r="B124" s="9"/>
      <c r="C124" s="9"/>
      <c r="D124" s="16" t="str">
        <f aca="false">IF(C124="","",IFERROR(INDEX(LOOKAHEAD!$B$5:$B$204,MATCH(C124,LOOKAHEAD!$A$5:$A$204,0)),""))</f>
        <v/>
      </c>
      <c r="E124" s="16" t="str">
        <f aca="false">IF(C124="","",IFERROR(INDEX(LOOKAHEAD!$E$5:$E$204,MATCH(C124,LOOKAHEAD!$A$5:$A$204,0)),""))</f>
        <v/>
      </c>
      <c r="F124" s="16" t="str">
        <f aca="false">IF(C124="","",IFERROR(INDEX(LOOKAHEAD!$M$5:$M$204,MATCH(C124,LOOKAHEAD!$A$5:$A$204,0)),""))</f>
        <v/>
      </c>
      <c r="G124" s="9"/>
      <c r="H124" s="9"/>
      <c r="I124" s="16" t="str">
        <f aca="false">IF(C124="","",IFERROR(INDEX(LOOKAHEAD!$G$5:$G$204,MATCH(C124,LOOKAHEAD!$A$5:$A$204,0)),""))</f>
        <v/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36" t="str">
        <f aca="false">IF(C124="","",SUM(J124:O124))</f>
        <v/>
      </c>
      <c r="W124" s="36" t="str">
        <f aca="false">IF(C124="","",SUM(P124:U124))</f>
        <v/>
      </c>
      <c r="X124" s="19" t="str">
        <f aca="false">IF(OR(C124="",V124=0),"",W124/V124)</f>
        <v/>
      </c>
      <c r="Y124" s="16" t="str">
        <f aca="false">IF(OR(C124="",V124=0),"",IF(W124&gt;=V124,"Sí","No"))</f>
        <v/>
      </c>
      <c r="Z124" s="9"/>
      <c r="AA124" s="9"/>
    </row>
    <row r="125" customFormat="false" ht="15" hidden="false" customHeight="false" outlineLevel="0" collapsed="false">
      <c r="A125" s="9"/>
      <c r="B125" s="9"/>
      <c r="C125" s="9"/>
      <c r="D125" s="16" t="str">
        <f aca="false">IF(C125="","",IFERROR(INDEX(LOOKAHEAD!$B$5:$B$204,MATCH(C125,LOOKAHEAD!$A$5:$A$204,0)),""))</f>
        <v/>
      </c>
      <c r="E125" s="16" t="str">
        <f aca="false">IF(C125="","",IFERROR(INDEX(LOOKAHEAD!$E$5:$E$204,MATCH(C125,LOOKAHEAD!$A$5:$A$204,0)),""))</f>
        <v/>
      </c>
      <c r="F125" s="16" t="str">
        <f aca="false">IF(C125="","",IFERROR(INDEX(LOOKAHEAD!$M$5:$M$204,MATCH(C125,LOOKAHEAD!$A$5:$A$204,0)),""))</f>
        <v/>
      </c>
      <c r="G125" s="9"/>
      <c r="H125" s="9"/>
      <c r="I125" s="16" t="str">
        <f aca="false">IF(C125="","",IFERROR(INDEX(LOOKAHEAD!$G$5:$G$204,MATCH(C125,LOOKAHEAD!$A$5:$A$204,0)),""))</f>
        <v/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36" t="str">
        <f aca="false">IF(C125="","",SUM(J125:O125))</f>
        <v/>
      </c>
      <c r="W125" s="36" t="str">
        <f aca="false">IF(C125="","",SUM(P125:U125))</f>
        <v/>
      </c>
      <c r="X125" s="19" t="str">
        <f aca="false">IF(OR(C125="",V125=0),"",W125/V125)</f>
        <v/>
      </c>
      <c r="Y125" s="16" t="str">
        <f aca="false">IF(OR(C125="",V125=0),"",IF(W125&gt;=V125,"Sí","No"))</f>
        <v/>
      </c>
      <c r="Z125" s="9"/>
      <c r="AA125" s="9"/>
    </row>
    <row r="126" customFormat="false" ht="15" hidden="false" customHeight="false" outlineLevel="0" collapsed="false">
      <c r="A126" s="9"/>
      <c r="B126" s="9"/>
      <c r="C126" s="9"/>
      <c r="D126" s="16" t="str">
        <f aca="false">IF(C126="","",IFERROR(INDEX(LOOKAHEAD!$B$5:$B$204,MATCH(C126,LOOKAHEAD!$A$5:$A$204,0)),""))</f>
        <v/>
      </c>
      <c r="E126" s="16" t="str">
        <f aca="false">IF(C126="","",IFERROR(INDEX(LOOKAHEAD!$E$5:$E$204,MATCH(C126,LOOKAHEAD!$A$5:$A$204,0)),""))</f>
        <v/>
      </c>
      <c r="F126" s="16" t="str">
        <f aca="false">IF(C126="","",IFERROR(INDEX(LOOKAHEAD!$M$5:$M$204,MATCH(C126,LOOKAHEAD!$A$5:$A$204,0)),""))</f>
        <v/>
      </c>
      <c r="G126" s="9"/>
      <c r="H126" s="9"/>
      <c r="I126" s="16" t="str">
        <f aca="false">IF(C126="","",IFERROR(INDEX(LOOKAHEAD!$G$5:$G$204,MATCH(C126,LOOKAHEAD!$A$5:$A$204,0)),""))</f>
        <v/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36" t="str">
        <f aca="false">IF(C126="","",SUM(J126:O126))</f>
        <v/>
      </c>
      <c r="W126" s="36" t="str">
        <f aca="false">IF(C126="","",SUM(P126:U126))</f>
        <v/>
      </c>
      <c r="X126" s="19" t="str">
        <f aca="false">IF(OR(C126="",V126=0),"",W126/V126)</f>
        <v/>
      </c>
      <c r="Y126" s="16" t="str">
        <f aca="false">IF(OR(C126="",V126=0),"",IF(W126&gt;=V126,"Sí","No"))</f>
        <v/>
      </c>
      <c r="Z126" s="9"/>
      <c r="AA126" s="9"/>
    </row>
    <row r="127" customFormat="false" ht="15" hidden="false" customHeight="false" outlineLevel="0" collapsed="false">
      <c r="A127" s="9"/>
      <c r="B127" s="9"/>
      <c r="C127" s="9"/>
      <c r="D127" s="16" t="str">
        <f aca="false">IF(C127="","",IFERROR(INDEX(LOOKAHEAD!$B$5:$B$204,MATCH(C127,LOOKAHEAD!$A$5:$A$204,0)),""))</f>
        <v/>
      </c>
      <c r="E127" s="16" t="str">
        <f aca="false">IF(C127="","",IFERROR(INDEX(LOOKAHEAD!$E$5:$E$204,MATCH(C127,LOOKAHEAD!$A$5:$A$204,0)),""))</f>
        <v/>
      </c>
      <c r="F127" s="16" t="str">
        <f aca="false">IF(C127="","",IFERROR(INDEX(LOOKAHEAD!$M$5:$M$204,MATCH(C127,LOOKAHEAD!$A$5:$A$204,0)),""))</f>
        <v/>
      </c>
      <c r="G127" s="9"/>
      <c r="H127" s="9"/>
      <c r="I127" s="16" t="str">
        <f aca="false">IF(C127="","",IFERROR(INDEX(LOOKAHEAD!$G$5:$G$204,MATCH(C127,LOOKAHEAD!$A$5:$A$204,0)),""))</f>
        <v/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36" t="str">
        <f aca="false">IF(C127="","",SUM(J127:O127))</f>
        <v/>
      </c>
      <c r="W127" s="36" t="str">
        <f aca="false">IF(C127="","",SUM(P127:U127))</f>
        <v/>
      </c>
      <c r="X127" s="19" t="str">
        <f aca="false">IF(OR(C127="",V127=0),"",W127/V127)</f>
        <v/>
      </c>
      <c r="Y127" s="16" t="str">
        <f aca="false">IF(OR(C127="",V127=0),"",IF(W127&gt;=V127,"Sí","No"))</f>
        <v/>
      </c>
      <c r="Z127" s="9"/>
      <c r="AA127" s="9"/>
    </row>
    <row r="128" customFormat="false" ht="15" hidden="false" customHeight="false" outlineLevel="0" collapsed="false">
      <c r="A128" s="9"/>
      <c r="B128" s="9"/>
      <c r="C128" s="9"/>
      <c r="D128" s="16" t="str">
        <f aca="false">IF(C128="","",IFERROR(INDEX(LOOKAHEAD!$B$5:$B$204,MATCH(C128,LOOKAHEAD!$A$5:$A$204,0)),""))</f>
        <v/>
      </c>
      <c r="E128" s="16" t="str">
        <f aca="false">IF(C128="","",IFERROR(INDEX(LOOKAHEAD!$E$5:$E$204,MATCH(C128,LOOKAHEAD!$A$5:$A$204,0)),""))</f>
        <v/>
      </c>
      <c r="F128" s="16" t="str">
        <f aca="false">IF(C128="","",IFERROR(INDEX(LOOKAHEAD!$M$5:$M$204,MATCH(C128,LOOKAHEAD!$A$5:$A$204,0)),""))</f>
        <v/>
      </c>
      <c r="G128" s="9"/>
      <c r="H128" s="9"/>
      <c r="I128" s="16" t="str">
        <f aca="false">IF(C128="","",IFERROR(INDEX(LOOKAHEAD!$G$5:$G$204,MATCH(C128,LOOKAHEAD!$A$5:$A$204,0)),""))</f>
        <v/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36" t="str">
        <f aca="false">IF(C128="","",SUM(J128:O128))</f>
        <v/>
      </c>
      <c r="W128" s="36" t="str">
        <f aca="false">IF(C128="","",SUM(P128:U128))</f>
        <v/>
      </c>
      <c r="X128" s="19" t="str">
        <f aca="false">IF(OR(C128="",V128=0),"",W128/V128)</f>
        <v/>
      </c>
      <c r="Y128" s="16" t="str">
        <f aca="false">IF(OR(C128="",V128=0),"",IF(W128&gt;=V128,"Sí","No"))</f>
        <v/>
      </c>
      <c r="Z128" s="9"/>
      <c r="AA128" s="9"/>
    </row>
    <row r="129" customFormat="false" ht="15" hidden="false" customHeight="false" outlineLevel="0" collapsed="false">
      <c r="A129" s="9"/>
      <c r="B129" s="9"/>
      <c r="C129" s="9"/>
      <c r="D129" s="16" t="str">
        <f aca="false">IF(C129="","",IFERROR(INDEX(LOOKAHEAD!$B$5:$B$204,MATCH(C129,LOOKAHEAD!$A$5:$A$204,0)),""))</f>
        <v/>
      </c>
      <c r="E129" s="16" t="str">
        <f aca="false">IF(C129="","",IFERROR(INDEX(LOOKAHEAD!$E$5:$E$204,MATCH(C129,LOOKAHEAD!$A$5:$A$204,0)),""))</f>
        <v/>
      </c>
      <c r="F129" s="16" t="str">
        <f aca="false">IF(C129="","",IFERROR(INDEX(LOOKAHEAD!$M$5:$M$204,MATCH(C129,LOOKAHEAD!$A$5:$A$204,0)),""))</f>
        <v/>
      </c>
      <c r="G129" s="9"/>
      <c r="H129" s="9"/>
      <c r="I129" s="16" t="str">
        <f aca="false">IF(C129="","",IFERROR(INDEX(LOOKAHEAD!$G$5:$G$204,MATCH(C129,LOOKAHEAD!$A$5:$A$204,0)),""))</f>
        <v/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36" t="str">
        <f aca="false">IF(C129="","",SUM(J129:O129))</f>
        <v/>
      </c>
      <c r="W129" s="36" t="str">
        <f aca="false">IF(C129="","",SUM(P129:U129))</f>
        <v/>
      </c>
      <c r="X129" s="19" t="str">
        <f aca="false">IF(OR(C129="",V129=0),"",W129/V129)</f>
        <v/>
      </c>
      <c r="Y129" s="16" t="str">
        <f aca="false">IF(OR(C129="",V129=0),"",IF(W129&gt;=V129,"Sí","No"))</f>
        <v/>
      </c>
      <c r="Z129" s="9"/>
      <c r="AA129" s="9"/>
    </row>
    <row r="130" customFormat="false" ht="15" hidden="false" customHeight="false" outlineLevel="0" collapsed="false">
      <c r="A130" s="9"/>
      <c r="B130" s="9"/>
      <c r="C130" s="9"/>
      <c r="D130" s="16" t="str">
        <f aca="false">IF(C130="","",IFERROR(INDEX(LOOKAHEAD!$B$5:$B$204,MATCH(C130,LOOKAHEAD!$A$5:$A$204,0)),""))</f>
        <v/>
      </c>
      <c r="E130" s="16" t="str">
        <f aca="false">IF(C130="","",IFERROR(INDEX(LOOKAHEAD!$E$5:$E$204,MATCH(C130,LOOKAHEAD!$A$5:$A$204,0)),""))</f>
        <v/>
      </c>
      <c r="F130" s="16" t="str">
        <f aca="false">IF(C130="","",IFERROR(INDEX(LOOKAHEAD!$M$5:$M$204,MATCH(C130,LOOKAHEAD!$A$5:$A$204,0)),""))</f>
        <v/>
      </c>
      <c r="G130" s="9"/>
      <c r="H130" s="9"/>
      <c r="I130" s="16" t="str">
        <f aca="false">IF(C130="","",IFERROR(INDEX(LOOKAHEAD!$G$5:$G$204,MATCH(C130,LOOKAHEAD!$A$5:$A$204,0)),""))</f>
        <v/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36" t="str">
        <f aca="false">IF(C130="","",SUM(J130:O130))</f>
        <v/>
      </c>
      <c r="W130" s="36" t="str">
        <f aca="false">IF(C130="","",SUM(P130:U130))</f>
        <v/>
      </c>
      <c r="X130" s="19" t="str">
        <f aca="false">IF(OR(C130="",V130=0),"",W130/V130)</f>
        <v/>
      </c>
      <c r="Y130" s="16" t="str">
        <f aca="false">IF(OR(C130="",V130=0),"",IF(W130&gt;=V130,"Sí","No"))</f>
        <v/>
      </c>
      <c r="Z130" s="9"/>
      <c r="AA130" s="9"/>
    </row>
    <row r="131" customFormat="false" ht="15" hidden="false" customHeight="false" outlineLevel="0" collapsed="false">
      <c r="A131" s="9"/>
      <c r="B131" s="9"/>
      <c r="C131" s="9"/>
      <c r="D131" s="16" t="str">
        <f aca="false">IF(C131="","",IFERROR(INDEX(LOOKAHEAD!$B$5:$B$204,MATCH(C131,LOOKAHEAD!$A$5:$A$204,0)),""))</f>
        <v/>
      </c>
      <c r="E131" s="16" t="str">
        <f aca="false">IF(C131="","",IFERROR(INDEX(LOOKAHEAD!$E$5:$E$204,MATCH(C131,LOOKAHEAD!$A$5:$A$204,0)),""))</f>
        <v/>
      </c>
      <c r="F131" s="16" t="str">
        <f aca="false">IF(C131="","",IFERROR(INDEX(LOOKAHEAD!$M$5:$M$204,MATCH(C131,LOOKAHEAD!$A$5:$A$204,0)),""))</f>
        <v/>
      </c>
      <c r="G131" s="9"/>
      <c r="H131" s="9"/>
      <c r="I131" s="16" t="str">
        <f aca="false">IF(C131="","",IFERROR(INDEX(LOOKAHEAD!$G$5:$G$204,MATCH(C131,LOOKAHEAD!$A$5:$A$204,0)),""))</f>
        <v/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36" t="str">
        <f aca="false">IF(C131="","",SUM(J131:O131))</f>
        <v/>
      </c>
      <c r="W131" s="36" t="str">
        <f aca="false">IF(C131="","",SUM(P131:U131))</f>
        <v/>
      </c>
      <c r="X131" s="19" t="str">
        <f aca="false">IF(OR(C131="",V131=0),"",W131/V131)</f>
        <v/>
      </c>
      <c r="Y131" s="16" t="str">
        <f aca="false">IF(OR(C131="",V131=0),"",IF(W131&gt;=V131,"Sí","No"))</f>
        <v/>
      </c>
      <c r="Z131" s="9"/>
      <c r="AA131" s="9"/>
    </row>
    <row r="132" customFormat="false" ht="15" hidden="false" customHeight="false" outlineLevel="0" collapsed="false">
      <c r="A132" s="9"/>
      <c r="B132" s="9"/>
      <c r="C132" s="9"/>
      <c r="D132" s="16" t="str">
        <f aca="false">IF(C132="","",IFERROR(INDEX(LOOKAHEAD!$B$5:$B$204,MATCH(C132,LOOKAHEAD!$A$5:$A$204,0)),""))</f>
        <v/>
      </c>
      <c r="E132" s="16" t="str">
        <f aca="false">IF(C132="","",IFERROR(INDEX(LOOKAHEAD!$E$5:$E$204,MATCH(C132,LOOKAHEAD!$A$5:$A$204,0)),""))</f>
        <v/>
      </c>
      <c r="F132" s="16" t="str">
        <f aca="false">IF(C132="","",IFERROR(INDEX(LOOKAHEAD!$M$5:$M$204,MATCH(C132,LOOKAHEAD!$A$5:$A$204,0)),""))</f>
        <v/>
      </c>
      <c r="G132" s="9"/>
      <c r="H132" s="9"/>
      <c r="I132" s="16" t="str">
        <f aca="false">IF(C132="","",IFERROR(INDEX(LOOKAHEAD!$G$5:$G$204,MATCH(C132,LOOKAHEAD!$A$5:$A$204,0)),""))</f>
        <v/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36" t="str">
        <f aca="false">IF(C132="","",SUM(J132:O132))</f>
        <v/>
      </c>
      <c r="W132" s="36" t="str">
        <f aca="false">IF(C132="","",SUM(P132:U132))</f>
        <v/>
      </c>
      <c r="X132" s="19" t="str">
        <f aca="false">IF(OR(C132="",V132=0),"",W132/V132)</f>
        <v/>
      </c>
      <c r="Y132" s="16" t="str">
        <f aca="false">IF(OR(C132="",V132=0),"",IF(W132&gt;=V132,"Sí","No"))</f>
        <v/>
      </c>
      <c r="Z132" s="9"/>
      <c r="AA132" s="9"/>
    </row>
    <row r="133" customFormat="false" ht="15" hidden="false" customHeight="false" outlineLevel="0" collapsed="false">
      <c r="A133" s="9"/>
      <c r="B133" s="9"/>
      <c r="C133" s="9"/>
      <c r="D133" s="16" t="str">
        <f aca="false">IF(C133="","",IFERROR(INDEX(LOOKAHEAD!$B$5:$B$204,MATCH(C133,LOOKAHEAD!$A$5:$A$204,0)),""))</f>
        <v/>
      </c>
      <c r="E133" s="16" t="str">
        <f aca="false">IF(C133="","",IFERROR(INDEX(LOOKAHEAD!$E$5:$E$204,MATCH(C133,LOOKAHEAD!$A$5:$A$204,0)),""))</f>
        <v/>
      </c>
      <c r="F133" s="16" t="str">
        <f aca="false">IF(C133="","",IFERROR(INDEX(LOOKAHEAD!$M$5:$M$204,MATCH(C133,LOOKAHEAD!$A$5:$A$204,0)),""))</f>
        <v/>
      </c>
      <c r="G133" s="9"/>
      <c r="H133" s="9"/>
      <c r="I133" s="16" t="str">
        <f aca="false">IF(C133="","",IFERROR(INDEX(LOOKAHEAD!$G$5:$G$204,MATCH(C133,LOOKAHEAD!$A$5:$A$204,0)),""))</f>
        <v/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36" t="str">
        <f aca="false">IF(C133="","",SUM(J133:O133))</f>
        <v/>
      </c>
      <c r="W133" s="36" t="str">
        <f aca="false">IF(C133="","",SUM(P133:U133))</f>
        <v/>
      </c>
      <c r="X133" s="19" t="str">
        <f aca="false">IF(OR(C133="",V133=0),"",W133/V133)</f>
        <v/>
      </c>
      <c r="Y133" s="16" t="str">
        <f aca="false">IF(OR(C133="",V133=0),"",IF(W133&gt;=V133,"Sí","No"))</f>
        <v/>
      </c>
      <c r="Z133" s="9"/>
      <c r="AA133" s="9"/>
    </row>
    <row r="134" customFormat="false" ht="15" hidden="false" customHeight="false" outlineLevel="0" collapsed="false">
      <c r="A134" s="9"/>
      <c r="B134" s="9"/>
      <c r="C134" s="9"/>
      <c r="D134" s="16" t="str">
        <f aca="false">IF(C134="","",IFERROR(INDEX(LOOKAHEAD!$B$5:$B$204,MATCH(C134,LOOKAHEAD!$A$5:$A$204,0)),""))</f>
        <v/>
      </c>
      <c r="E134" s="16" t="str">
        <f aca="false">IF(C134="","",IFERROR(INDEX(LOOKAHEAD!$E$5:$E$204,MATCH(C134,LOOKAHEAD!$A$5:$A$204,0)),""))</f>
        <v/>
      </c>
      <c r="F134" s="16" t="str">
        <f aca="false">IF(C134="","",IFERROR(INDEX(LOOKAHEAD!$M$5:$M$204,MATCH(C134,LOOKAHEAD!$A$5:$A$204,0)),""))</f>
        <v/>
      </c>
      <c r="G134" s="9"/>
      <c r="H134" s="9"/>
      <c r="I134" s="16" t="str">
        <f aca="false">IF(C134="","",IFERROR(INDEX(LOOKAHEAD!$G$5:$G$204,MATCH(C134,LOOKAHEAD!$A$5:$A$204,0)),""))</f>
        <v/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36" t="str">
        <f aca="false">IF(C134="","",SUM(J134:O134))</f>
        <v/>
      </c>
      <c r="W134" s="36" t="str">
        <f aca="false">IF(C134="","",SUM(P134:U134))</f>
        <v/>
      </c>
      <c r="X134" s="19" t="str">
        <f aca="false">IF(OR(C134="",V134=0),"",W134/V134)</f>
        <v/>
      </c>
      <c r="Y134" s="16" t="str">
        <f aca="false">IF(OR(C134="",V134=0),"",IF(W134&gt;=V134,"Sí","No"))</f>
        <v/>
      </c>
      <c r="Z134" s="9"/>
      <c r="AA134" s="9"/>
    </row>
    <row r="135" customFormat="false" ht="15" hidden="false" customHeight="false" outlineLevel="0" collapsed="false">
      <c r="A135" s="9"/>
      <c r="B135" s="9"/>
      <c r="C135" s="9"/>
      <c r="D135" s="16" t="str">
        <f aca="false">IF(C135="","",IFERROR(INDEX(LOOKAHEAD!$B$5:$B$204,MATCH(C135,LOOKAHEAD!$A$5:$A$204,0)),""))</f>
        <v/>
      </c>
      <c r="E135" s="16" t="str">
        <f aca="false">IF(C135="","",IFERROR(INDEX(LOOKAHEAD!$E$5:$E$204,MATCH(C135,LOOKAHEAD!$A$5:$A$204,0)),""))</f>
        <v/>
      </c>
      <c r="F135" s="16" t="str">
        <f aca="false">IF(C135="","",IFERROR(INDEX(LOOKAHEAD!$M$5:$M$204,MATCH(C135,LOOKAHEAD!$A$5:$A$204,0)),""))</f>
        <v/>
      </c>
      <c r="G135" s="9"/>
      <c r="H135" s="9"/>
      <c r="I135" s="16" t="str">
        <f aca="false">IF(C135="","",IFERROR(INDEX(LOOKAHEAD!$G$5:$G$204,MATCH(C135,LOOKAHEAD!$A$5:$A$204,0)),""))</f>
        <v/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36" t="str">
        <f aca="false">IF(C135="","",SUM(J135:O135))</f>
        <v/>
      </c>
      <c r="W135" s="36" t="str">
        <f aca="false">IF(C135="","",SUM(P135:U135))</f>
        <v/>
      </c>
      <c r="X135" s="19" t="str">
        <f aca="false">IF(OR(C135="",V135=0),"",W135/V135)</f>
        <v/>
      </c>
      <c r="Y135" s="16" t="str">
        <f aca="false">IF(OR(C135="",V135=0),"",IF(W135&gt;=V135,"Sí","No"))</f>
        <v/>
      </c>
      <c r="Z135" s="9"/>
      <c r="AA135" s="9"/>
    </row>
    <row r="136" customFormat="false" ht="15" hidden="false" customHeight="false" outlineLevel="0" collapsed="false">
      <c r="A136" s="9"/>
      <c r="B136" s="9"/>
      <c r="C136" s="9"/>
      <c r="D136" s="16" t="str">
        <f aca="false">IF(C136="","",IFERROR(INDEX(LOOKAHEAD!$B$5:$B$204,MATCH(C136,LOOKAHEAD!$A$5:$A$204,0)),""))</f>
        <v/>
      </c>
      <c r="E136" s="16" t="str">
        <f aca="false">IF(C136="","",IFERROR(INDEX(LOOKAHEAD!$E$5:$E$204,MATCH(C136,LOOKAHEAD!$A$5:$A$204,0)),""))</f>
        <v/>
      </c>
      <c r="F136" s="16" t="str">
        <f aca="false">IF(C136="","",IFERROR(INDEX(LOOKAHEAD!$M$5:$M$204,MATCH(C136,LOOKAHEAD!$A$5:$A$204,0)),""))</f>
        <v/>
      </c>
      <c r="G136" s="9"/>
      <c r="H136" s="9"/>
      <c r="I136" s="16" t="str">
        <f aca="false">IF(C136="","",IFERROR(INDEX(LOOKAHEAD!$G$5:$G$204,MATCH(C136,LOOKAHEAD!$A$5:$A$204,0)),""))</f>
        <v/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36" t="str">
        <f aca="false">IF(C136="","",SUM(J136:O136))</f>
        <v/>
      </c>
      <c r="W136" s="36" t="str">
        <f aca="false">IF(C136="","",SUM(P136:U136))</f>
        <v/>
      </c>
      <c r="X136" s="19" t="str">
        <f aca="false">IF(OR(C136="",V136=0),"",W136/V136)</f>
        <v/>
      </c>
      <c r="Y136" s="16" t="str">
        <f aca="false">IF(OR(C136="",V136=0),"",IF(W136&gt;=V136,"Sí","No"))</f>
        <v/>
      </c>
      <c r="Z136" s="9"/>
      <c r="AA136" s="9"/>
    </row>
    <row r="137" customFormat="false" ht="15" hidden="false" customHeight="false" outlineLevel="0" collapsed="false">
      <c r="A137" s="9"/>
      <c r="B137" s="9"/>
      <c r="C137" s="9"/>
      <c r="D137" s="16" t="str">
        <f aca="false">IF(C137="","",IFERROR(INDEX(LOOKAHEAD!$B$5:$B$204,MATCH(C137,LOOKAHEAD!$A$5:$A$204,0)),""))</f>
        <v/>
      </c>
      <c r="E137" s="16" t="str">
        <f aca="false">IF(C137="","",IFERROR(INDEX(LOOKAHEAD!$E$5:$E$204,MATCH(C137,LOOKAHEAD!$A$5:$A$204,0)),""))</f>
        <v/>
      </c>
      <c r="F137" s="16" t="str">
        <f aca="false">IF(C137="","",IFERROR(INDEX(LOOKAHEAD!$M$5:$M$204,MATCH(C137,LOOKAHEAD!$A$5:$A$204,0)),""))</f>
        <v/>
      </c>
      <c r="G137" s="9"/>
      <c r="H137" s="9"/>
      <c r="I137" s="16" t="str">
        <f aca="false">IF(C137="","",IFERROR(INDEX(LOOKAHEAD!$G$5:$G$204,MATCH(C137,LOOKAHEAD!$A$5:$A$204,0)),""))</f>
        <v/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36" t="str">
        <f aca="false">IF(C137="","",SUM(J137:O137))</f>
        <v/>
      </c>
      <c r="W137" s="36" t="str">
        <f aca="false">IF(C137="","",SUM(P137:U137))</f>
        <v/>
      </c>
      <c r="X137" s="19" t="str">
        <f aca="false">IF(OR(C137="",V137=0),"",W137/V137)</f>
        <v/>
      </c>
      <c r="Y137" s="16" t="str">
        <f aca="false">IF(OR(C137="",V137=0),"",IF(W137&gt;=V137,"Sí","No"))</f>
        <v/>
      </c>
      <c r="Z137" s="9"/>
      <c r="AA137" s="9"/>
    </row>
    <row r="138" customFormat="false" ht="15" hidden="false" customHeight="false" outlineLevel="0" collapsed="false">
      <c r="A138" s="9"/>
      <c r="B138" s="9"/>
      <c r="C138" s="9"/>
      <c r="D138" s="16" t="str">
        <f aca="false">IF(C138="","",IFERROR(INDEX(LOOKAHEAD!$B$5:$B$204,MATCH(C138,LOOKAHEAD!$A$5:$A$204,0)),""))</f>
        <v/>
      </c>
      <c r="E138" s="16" t="str">
        <f aca="false">IF(C138="","",IFERROR(INDEX(LOOKAHEAD!$E$5:$E$204,MATCH(C138,LOOKAHEAD!$A$5:$A$204,0)),""))</f>
        <v/>
      </c>
      <c r="F138" s="16" t="str">
        <f aca="false">IF(C138="","",IFERROR(INDEX(LOOKAHEAD!$M$5:$M$204,MATCH(C138,LOOKAHEAD!$A$5:$A$204,0)),""))</f>
        <v/>
      </c>
      <c r="G138" s="9"/>
      <c r="H138" s="9"/>
      <c r="I138" s="16" t="str">
        <f aca="false">IF(C138="","",IFERROR(INDEX(LOOKAHEAD!$G$5:$G$204,MATCH(C138,LOOKAHEAD!$A$5:$A$204,0)),""))</f>
        <v/>
      </c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36" t="str">
        <f aca="false">IF(C138="","",SUM(J138:O138))</f>
        <v/>
      </c>
      <c r="W138" s="36" t="str">
        <f aca="false">IF(C138="","",SUM(P138:U138))</f>
        <v/>
      </c>
      <c r="X138" s="19" t="str">
        <f aca="false">IF(OR(C138="",V138=0),"",W138/V138)</f>
        <v/>
      </c>
      <c r="Y138" s="16" t="str">
        <f aca="false">IF(OR(C138="",V138=0),"",IF(W138&gt;=V138,"Sí","No"))</f>
        <v/>
      </c>
      <c r="Z138" s="9"/>
      <c r="AA138" s="9"/>
    </row>
    <row r="139" customFormat="false" ht="15" hidden="false" customHeight="false" outlineLevel="0" collapsed="false">
      <c r="A139" s="9"/>
      <c r="B139" s="9"/>
      <c r="C139" s="9"/>
      <c r="D139" s="16" t="str">
        <f aca="false">IF(C139="","",IFERROR(INDEX(LOOKAHEAD!$B$5:$B$204,MATCH(C139,LOOKAHEAD!$A$5:$A$204,0)),""))</f>
        <v/>
      </c>
      <c r="E139" s="16" t="str">
        <f aca="false">IF(C139="","",IFERROR(INDEX(LOOKAHEAD!$E$5:$E$204,MATCH(C139,LOOKAHEAD!$A$5:$A$204,0)),""))</f>
        <v/>
      </c>
      <c r="F139" s="16" t="str">
        <f aca="false">IF(C139="","",IFERROR(INDEX(LOOKAHEAD!$M$5:$M$204,MATCH(C139,LOOKAHEAD!$A$5:$A$204,0)),""))</f>
        <v/>
      </c>
      <c r="G139" s="9"/>
      <c r="H139" s="9"/>
      <c r="I139" s="16" t="str">
        <f aca="false">IF(C139="","",IFERROR(INDEX(LOOKAHEAD!$G$5:$G$204,MATCH(C139,LOOKAHEAD!$A$5:$A$204,0)),""))</f>
        <v/>
      </c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36" t="str">
        <f aca="false">IF(C139="","",SUM(J139:O139))</f>
        <v/>
      </c>
      <c r="W139" s="36" t="str">
        <f aca="false">IF(C139="","",SUM(P139:U139))</f>
        <v/>
      </c>
      <c r="X139" s="19" t="str">
        <f aca="false">IF(OR(C139="",V139=0),"",W139/V139)</f>
        <v/>
      </c>
      <c r="Y139" s="16" t="str">
        <f aca="false">IF(OR(C139="",V139=0),"",IF(W139&gt;=V139,"Sí","No"))</f>
        <v/>
      </c>
      <c r="Z139" s="9"/>
      <c r="AA139" s="9"/>
    </row>
    <row r="140" customFormat="false" ht="15" hidden="false" customHeight="false" outlineLevel="0" collapsed="false">
      <c r="A140" s="9"/>
      <c r="B140" s="9"/>
      <c r="C140" s="9"/>
      <c r="D140" s="16" t="str">
        <f aca="false">IF(C140="","",IFERROR(INDEX(LOOKAHEAD!$B$5:$B$204,MATCH(C140,LOOKAHEAD!$A$5:$A$204,0)),""))</f>
        <v/>
      </c>
      <c r="E140" s="16" t="str">
        <f aca="false">IF(C140="","",IFERROR(INDEX(LOOKAHEAD!$E$5:$E$204,MATCH(C140,LOOKAHEAD!$A$5:$A$204,0)),""))</f>
        <v/>
      </c>
      <c r="F140" s="16" t="str">
        <f aca="false">IF(C140="","",IFERROR(INDEX(LOOKAHEAD!$M$5:$M$204,MATCH(C140,LOOKAHEAD!$A$5:$A$204,0)),""))</f>
        <v/>
      </c>
      <c r="G140" s="9"/>
      <c r="H140" s="9"/>
      <c r="I140" s="16" t="str">
        <f aca="false">IF(C140="","",IFERROR(INDEX(LOOKAHEAD!$G$5:$G$204,MATCH(C140,LOOKAHEAD!$A$5:$A$204,0)),""))</f>
        <v/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36" t="str">
        <f aca="false">IF(C140="","",SUM(J140:O140))</f>
        <v/>
      </c>
      <c r="W140" s="36" t="str">
        <f aca="false">IF(C140="","",SUM(P140:U140))</f>
        <v/>
      </c>
      <c r="X140" s="19" t="str">
        <f aca="false">IF(OR(C140="",V140=0),"",W140/V140)</f>
        <v/>
      </c>
      <c r="Y140" s="16" t="str">
        <f aca="false">IF(OR(C140="",V140=0),"",IF(W140&gt;=V140,"Sí","No"))</f>
        <v/>
      </c>
      <c r="Z140" s="9"/>
      <c r="AA140" s="9"/>
    </row>
    <row r="141" customFormat="false" ht="15" hidden="false" customHeight="false" outlineLevel="0" collapsed="false">
      <c r="A141" s="9"/>
      <c r="B141" s="9"/>
      <c r="C141" s="9"/>
      <c r="D141" s="16" t="str">
        <f aca="false">IF(C141="","",IFERROR(INDEX(LOOKAHEAD!$B$5:$B$204,MATCH(C141,LOOKAHEAD!$A$5:$A$204,0)),""))</f>
        <v/>
      </c>
      <c r="E141" s="16" t="str">
        <f aca="false">IF(C141="","",IFERROR(INDEX(LOOKAHEAD!$E$5:$E$204,MATCH(C141,LOOKAHEAD!$A$5:$A$204,0)),""))</f>
        <v/>
      </c>
      <c r="F141" s="16" t="str">
        <f aca="false">IF(C141="","",IFERROR(INDEX(LOOKAHEAD!$M$5:$M$204,MATCH(C141,LOOKAHEAD!$A$5:$A$204,0)),""))</f>
        <v/>
      </c>
      <c r="G141" s="9"/>
      <c r="H141" s="9"/>
      <c r="I141" s="16" t="str">
        <f aca="false">IF(C141="","",IFERROR(INDEX(LOOKAHEAD!$G$5:$G$204,MATCH(C141,LOOKAHEAD!$A$5:$A$204,0)),""))</f>
        <v/>
      </c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36" t="str">
        <f aca="false">IF(C141="","",SUM(J141:O141))</f>
        <v/>
      </c>
      <c r="W141" s="36" t="str">
        <f aca="false">IF(C141="","",SUM(P141:U141))</f>
        <v/>
      </c>
      <c r="X141" s="19" t="str">
        <f aca="false">IF(OR(C141="",V141=0),"",W141/V141)</f>
        <v/>
      </c>
      <c r="Y141" s="16" t="str">
        <f aca="false">IF(OR(C141="",V141=0),"",IF(W141&gt;=V141,"Sí","No"))</f>
        <v/>
      </c>
      <c r="Z141" s="9"/>
      <c r="AA141" s="9"/>
    </row>
    <row r="142" customFormat="false" ht="15" hidden="false" customHeight="false" outlineLevel="0" collapsed="false">
      <c r="A142" s="9"/>
      <c r="B142" s="9"/>
      <c r="C142" s="9"/>
      <c r="D142" s="16" t="str">
        <f aca="false">IF(C142="","",IFERROR(INDEX(LOOKAHEAD!$B$5:$B$204,MATCH(C142,LOOKAHEAD!$A$5:$A$204,0)),""))</f>
        <v/>
      </c>
      <c r="E142" s="16" t="str">
        <f aca="false">IF(C142="","",IFERROR(INDEX(LOOKAHEAD!$E$5:$E$204,MATCH(C142,LOOKAHEAD!$A$5:$A$204,0)),""))</f>
        <v/>
      </c>
      <c r="F142" s="16" t="str">
        <f aca="false">IF(C142="","",IFERROR(INDEX(LOOKAHEAD!$M$5:$M$204,MATCH(C142,LOOKAHEAD!$A$5:$A$204,0)),""))</f>
        <v/>
      </c>
      <c r="G142" s="9"/>
      <c r="H142" s="9"/>
      <c r="I142" s="16" t="str">
        <f aca="false">IF(C142="","",IFERROR(INDEX(LOOKAHEAD!$G$5:$G$204,MATCH(C142,LOOKAHEAD!$A$5:$A$204,0)),""))</f>
        <v/>
      </c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36" t="str">
        <f aca="false">IF(C142="","",SUM(J142:O142))</f>
        <v/>
      </c>
      <c r="W142" s="36" t="str">
        <f aca="false">IF(C142="","",SUM(P142:U142))</f>
        <v/>
      </c>
      <c r="X142" s="19" t="str">
        <f aca="false">IF(OR(C142="",V142=0),"",W142/V142)</f>
        <v/>
      </c>
      <c r="Y142" s="16" t="str">
        <f aca="false">IF(OR(C142="",V142=0),"",IF(W142&gt;=V142,"Sí","No"))</f>
        <v/>
      </c>
      <c r="Z142" s="9"/>
      <c r="AA142" s="9"/>
    </row>
    <row r="143" customFormat="false" ht="15" hidden="false" customHeight="false" outlineLevel="0" collapsed="false">
      <c r="A143" s="9"/>
      <c r="B143" s="9"/>
      <c r="C143" s="9"/>
      <c r="D143" s="16" t="str">
        <f aca="false">IF(C143="","",IFERROR(INDEX(LOOKAHEAD!$B$5:$B$204,MATCH(C143,LOOKAHEAD!$A$5:$A$204,0)),""))</f>
        <v/>
      </c>
      <c r="E143" s="16" t="str">
        <f aca="false">IF(C143="","",IFERROR(INDEX(LOOKAHEAD!$E$5:$E$204,MATCH(C143,LOOKAHEAD!$A$5:$A$204,0)),""))</f>
        <v/>
      </c>
      <c r="F143" s="16" t="str">
        <f aca="false">IF(C143="","",IFERROR(INDEX(LOOKAHEAD!$M$5:$M$204,MATCH(C143,LOOKAHEAD!$A$5:$A$204,0)),""))</f>
        <v/>
      </c>
      <c r="G143" s="9"/>
      <c r="H143" s="9"/>
      <c r="I143" s="16" t="str">
        <f aca="false">IF(C143="","",IFERROR(INDEX(LOOKAHEAD!$G$5:$G$204,MATCH(C143,LOOKAHEAD!$A$5:$A$204,0)),""))</f>
        <v/>
      </c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36" t="str">
        <f aca="false">IF(C143="","",SUM(J143:O143))</f>
        <v/>
      </c>
      <c r="W143" s="36" t="str">
        <f aca="false">IF(C143="","",SUM(P143:U143))</f>
        <v/>
      </c>
      <c r="X143" s="19" t="str">
        <f aca="false">IF(OR(C143="",V143=0),"",W143/V143)</f>
        <v/>
      </c>
      <c r="Y143" s="16" t="str">
        <f aca="false">IF(OR(C143="",V143=0),"",IF(W143&gt;=V143,"Sí","No"))</f>
        <v/>
      </c>
      <c r="Z143" s="9"/>
      <c r="AA143" s="9"/>
    </row>
    <row r="144" customFormat="false" ht="15" hidden="false" customHeight="false" outlineLevel="0" collapsed="false">
      <c r="A144" s="9"/>
      <c r="B144" s="9"/>
      <c r="C144" s="9"/>
      <c r="D144" s="16" t="str">
        <f aca="false">IF(C144="","",IFERROR(INDEX(LOOKAHEAD!$B$5:$B$204,MATCH(C144,LOOKAHEAD!$A$5:$A$204,0)),""))</f>
        <v/>
      </c>
      <c r="E144" s="16" t="str">
        <f aca="false">IF(C144="","",IFERROR(INDEX(LOOKAHEAD!$E$5:$E$204,MATCH(C144,LOOKAHEAD!$A$5:$A$204,0)),""))</f>
        <v/>
      </c>
      <c r="F144" s="16" t="str">
        <f aca="false">IF(C144="","",IFERROR(INDEX(LOOKAHEAD!$M$5:$M$204,MATCH(C144,LOOKAHEAD!$A$5:$A$204,0)),""))</f>
        <v/>
      </c>
      <c r="G144" s="9"/>
      <c r="H144" s="9"/>
      <c r="I144" s="16" t="str">
        <f aca="false">IF(C144="","",IFERROR(INDEX(LOOKAHEAD!$G$5:$G$204,MATCH(C144,LOOKAHEAD!$A$5:$A$204,0)),""))</f>
        <v/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36" t="str">
        <f aca="false">IF(C144="","",SUM(J144:O144))</f>
        <v/>
      </c>
      <c r="W144" s="36" t="str">
        <f aca="false">IF(C144="","",SUM(P144:U144))</f>
        <v/>
      </c>
      <c r="X144" s="19" t="str">
        <f aca="false">IF(OR(C144="",V144=0),"",W144/V144)</f>
        <v/>
      </c>
      <c r="Y144" s="16" t="str">
        <f aca="false">IF(OR(C144="",V144=0),"",IF(W144&gt;=V144,"Sí","No"))</f>
        <v/>
      </c>
      <c r="Z144" s="9"/>
      <c r="AA144" s="9"/>
    </row>
    <row r="145" customFormat="false" ht="15" hidden="false" customHeight="false" outlineLevel="0" collapsed="false">
      <c r="A145" s="9"/>
      <c r="B145" s="9"/>
      <c r="C145" s="9"/>
      <c r="D145" s="16" t="str">
        <f aca="false">IF(C145="","",IFERROR(INDEX(LOOKAHEAD!$B$5:$B$204,MATCH(C145,LOOKAHEAD!$A$5:$A$204,0)),""))</f>
        <v/>
      </c>
      <c r="E145" s="16" t="str">
        <f aca="false">IF(C145="","",IFERROR(INDEX(LOOKAHEAD!$E$5:$E$204,MATCH(C145,LOOKAHEAD!$A$5:$A$204,0)),""))</f>
        <v/>
      </c>
      <c r="F145" s="16" t="str">
        <f aca="false">IF(C145="","",IFERROR(INDEX(LOOKAHEAD!$M$5:$M$204,MATCH(C145,LOOKAHEAD!$A$5:$A$204,0)),""))</f>
        <v/>
      </c>
      <c r="G145" s="9"/>
      <c r="H145" s="9"/>
      <c r="I145" s="16" t="str">
        <f aca="false">IF(C145="","",IFERROR(INDEX(LOOKAHEAD!$G$5:$G$204,MATCH(C145,LOOKAHEAD!$A$5:$A$204,0)),""))</f>
        <v/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36" t="str">
        <f aca="false">IF(C145="","",SUM(J145:O145))</f>
        <v/>
      </c>
      <c r="W145" s="36" t="str">
        <f aca="false">IF(C145="","",SUM(P145:U145))</f>
        <v/>
      </c>
      <c r="X145" s="19" t="str">
        <f aca="false">IF(OR(C145="",V145=0),"",W145/V145)</f>
        <v/>
      </c>
      <c r="Y145" s="16" t="str">
        <f aca="false">IF(OR(C145="",V145=0),"",IF(W145&gt;=V145,"Sí","No"))</f>
        <v/>
      </c>
      <c r="Z145" s="9"/>
      <c r="AA145" s="9"/>
    </row>
    <row r="146" customFormat="false" ht="15" hidden="false" customHeight="false" outlineLevel="0" collapsed="false">
      <c r="A146" s="9"/>
      <c r="B146" s="9"/>
      <c r="C146" s="9"/>
      <c r="D146" s="16" t="str">
        <f aca="false">IF(C146="","",IFERROR(INDEX(LOOKAHEAD!$B$5:$B$204,MATCH(C146,LOOKAHEAD!$A$5:$A$204,0)),""))</f>
        <v/>
      </c>
      <c r="E146" s="16" t="str">
        <f aca="false">IF(C146="","",IFERROR(INDEX(LOOKAHEAD!$E$5:$E$204,MATCH(C146,LOOKAHEAD!$A$5:$A$204,0)),""))</f>
        <v/>
      </c>
      <c r="F146" s="16" t="str">
        <f aca="false">IF(C146="","",IFERROR(INDEX(LOOKAHEAD!$M$5:$M$204,MATCH(C146,LOOKAHEAD!$A$5:$A$204,0)),""))</f>
        <v/>
      </c>
      <c r="G146" s="9"/>
      <c r="H146" s="9"/>
      <c r="I146" s="16" t="str">
        <f aca="false">IF(C146="","",IFERROR(INDEX(LOOKAHEAD!$G$5:$G$204,MATCH(C146,LOOKAHEAD!$A$5:$A$204,0)),""))</f>
        <v/>
      </c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36" t="str">
        <f aca="false">IF(C146="","",SUM(J146:O146))</f>
        <v/>
      </c>
      <c r="W146" s="36" t="str">
        <f aca="false">IF(C146="","",SUM(P146:U146))</f>
        <v/>
      </c>
      <c r="X146" s="19" t="str">
        <f aca="false">IF(OR(C146="",V146=0),"",W146/V146)</f>
        <v/>
      </c>
      <c r="Y146" s="16" t="str">
        <f aca="false">IF(OR(C146="",V146=0),"",IF(W146&gt;=V146,"Sí","No"))</f>
        <v/>
      </c>
      <c r="Z146" s="9"/>
      <c r="AA146" s="9"/>
    </row>
    <row r="147" customFormat="false" ht="15" hidden="false" customHeight="false" outlineLevel="0" collapsed="false">
      <c r="A147" s="9"/>
      <c r="B147" s="9"/>
      <c r="C147" s="9"/>
      <c r="D147" s="16" t="str">
        <f aca="false">IF(C147="","",IFERROR(INDEX(LOOKAHEAD!$B$5:$B$204,MATCH(C147,LOOKAHEAD!$A$5:$A$204,0)),""))</f>
        <v/>
      </c>
      <c r="E147" s="16" t="str">
        <f aca="false">IF(C147="","",IFERROR(INDEX(LOOKAHEAD!$E$5:$E$204,MATCH(C147,LOOKAHEAD!$A$5:$A$204,0)),""))</f>
        <v/>
      </c>
      <c r="F147" s="16" t="str">
        <f aca="false">IF(C147="","",IFERROR(INDEX(LOOKAHEAD!$M$5:$M$204,MATCH(C147,LOOKAHEAD!$A$5:$A$204,0)),""))</f>
        <v/>
      </c>
      <c r="G147" s="9"/>
      <c r="H147" s="9"/>
      <c r="I147" s="16" t="str">
        <f aca="false">IF(C147="","",IFERROR(INDEX(LOOKAHEAD!$G$5:$G$204,MATCH(C147,LOOKAHEAD!$A$5:$A$204,0)),""))</f>
        <v/>
      </c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36" t="str">
        <f aca="false">IF(C147="","",SUM(J147:O147))</f>
        <v/>
      </c>
      <c r="W147" s="36" t="str">
        <f aca="false">IF(C147="","",SUM(P147:U147))</f>
        <v/>
      </c>
      <c r="X147" s="19" t="str">
        <f aca="false">IF(OR(C147="",V147=0),"",W147/V147)</f>
        <v/>
      </c>
      <c r="Y147" s="16" t="str">
        <f aca="false">IF(OR(C147="",V147=0),"",IF(W147&gt;=V147,"Sí","No"))</f>
        <v/>
      </c>
      <c r="Z147" s="9"/>
      <c r="AA147" s="9"/>
    </row>
    <row r="148" customFormat="false" ht="15" hidden="false" customHeight="false" outlineLevel="0" collapsed="false">
      <c r="A148" s="9"/>
      <c r="B148" s="9"/>
      <c r="C148" s="9"/>
      <c r="D148" s="16" t="str">
        <f aca="false">IF(C148="","",IFERROR(INDEX(LOOKAHEAD!$B$5:$B$204,MATCH(C148,LOOKAHEAD!$A$5:$A$204,0)),""))</f>
        <v/>
      </c>
      <c r="E148" s="16" t="str">
        <f aca="false">IF(C148="","",IFERROR(INDEX(LOOKAHEAD!$E$5:$E$204,MATCH(C148,LOOKAHEAD!$A$5:$A$204,0)),""))</f>
        <v/>
      </c>
      <c r="F148" s="16" t="str">
        <f aca="false">IF(C148="","",IFERROR(INDEX(LOOKAHEAD!$M$5:$M$204,MATCH(C148,LOOKAHEAD!$A$5:$A$204,0)),""))</f>
        <v/>
      </c>
      <c r="G148" s="9"/>
      <c r="H148" s="9"/>
      <c r="I148" s="16" t="str">
        <f aca="false">IF(C148="","",IFERROR(INDEX(LOOKAHEAD!$G$5:$G$204,MATCH(C148,LOOKAHEAD!$A$5:$A$204,0)),""))</f>
        <v/>
      </c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36" t="str">
        <f aca="false">IF(C148="","",SUM(J148:O148))</f>
        <v/>
      </c>
      <c r="W148" s="36" t="str">
        <f aca="false">IF(C148="","",SUM(P148:U148))</f>
        <v/>
      </c>
      <c r="X148" s="19" t="str">
        <f aca="false">IF(OR(C148="",V148=0),"",W148/V148)</f>
        <v/>
      </c>
      <c r="Y148" s="16" t="str">
        <f aca="false">IF(OR(C148="",V148=0),"",IF(W148&gt;=V148,"Sí","No"))</f>
        <v/>
      </c>
      <c r="Z148" s="9"/>
      <c r="AA148" s="9"/>
    </row>
    <row r="149" customFormat="false" ht="15" hidden="false" customHeight="false" outlineLevel="0" collapsed="false">
      <c r="A149" s="9"/>
      <c r="B149" s="9"/>
      <c r="C149" s="9"/>
      <c r="D149" s="16" t="str">
        <f aca="false">IF(C149="","",IFERROR(INDEX(LOOKAHEAD!$B$5:$B$204,MATCH(C149,LOOKAHEAD!$A$5:$A$204,0)),""))</f>
        <v/>
      </c>
      <c r="E149" s="16" t="str">
        <f aca="false">IF(C149="","",IFERROR(INDEX(LOOKAHEAD!$E$5:$E$204,MATCH(C149,LOOKAHEAD!$A$5:$A$204,0)),""))</f>
        <v/>
      </c>
      <c r="F149" s="16" t="str">
        <f aca="false">IF(C149="","",IFERROR(INDEX(LOOKAHEAD!$M$5:$M$204,MATCH(C149,LOOKAHEAD!$A$5:$A$204,0)),""))</f>
        <v/>
      </c>
      <c r="G149" s="9"/>
      <c r="H149" s="9"/>
      <c r="I149" s="16" t="str">
        <f aca="false">IF(C149="","",IFERROR(INDEX(LOOKAHEAD!$G$5:$G$204,MATCH(C149,LOOKAHEAD!$A$5:$A$204,0)),""))</f>
        <v/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36" t="str">
        <f aca="false">IF(C149="","",SUM(J149:O149))</f>
        <v/>
      </c>
      <c r="W149" s="36" t="str">
        <f aca="false">IF(C149="","",SUM(P149:U149))</f>
        <v/>
      </c>
      <c r="X149" s="19" t="str">
        <f aca="false">IF(OR(C149="",V149=0),"",W149/V149)</f>
        <v/>
      </c>
      <c r="Y149" s="16" t="str">
        <f aca="false">IF(OR(C149="",V149=0),"",IF(W149&gt;=V149,"Sí","No"))</f>
        <v/>
      </c>
      <c r="Z149" s="9"/>
      <c r="AA149" s="9"/>
    </row>
    <row r="150" customFormat="false" ht="15" hidden="false" customHeight="false" outlineLevel="0" collapsed="false">
      <c r="A150" s="9"/>
      <c r="B150" s="9"/>
      <c r="C150" s="9"/>
      <c r="D150" s="16" t="str">
        <f aca="false">IF(C150="","",IFERROR(INDEX(LOOKAHEAD!$B$5:$B$204,MATCH(C150,LOOKAHEAD!$A$5:$A$204,0)),""))</f>
        <v/>
      </c>
      <c r="E150" s="16" t="str">
        <f aca="false">IF(C150="","",IFERROR(INDEX(LOOKAHEAD!$E$5:$E$204,MATCH(C150,LOOKAHEAD!$A$5:$A$204,0)),""))</f>
        <v/>
      </c>
      <c r="F150" s="16" t="str">
        <f aca="false">IF(C150="","",IFERROR(INDEX(LOOKAHEAD!$M$5:$M$204,MATCH(C150,LOOKAHEAD!$A$5:$A$204,0)),""))</f>
        <v/>
      </c>
      <c r="G150" s="9"/>
      <c r="H150" s="9"/>
      <c r="I150" s="16" t="str">
        <f aca="false">IF(C150="","",IFERROR(INDEX(LOOKAHEAD!$G$5:$G$204,MATCH(C150,LOOKAHEAD!$A$5:$A$204,0)),""))</f>
        <v/>
      </c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36" t="str">
        <f aca="false">IF(C150="","",SUM(J150:O150))</f>
        <v/>
      </c>
      <c r="W150" s="36" t="str">
        <f aca="false">IF(C150="","",SUM(P150:U150))</f>
        <v/>
      </c>
      <c r="X150" s="19" t="str">
        <f aca="false">IF(OR(C150="",V150=0),"",W150/V150)</f>
        <v/>
      </c>
      <c r="Y150" s="16" t="str">
        <f aca="false">IF(OR(C150="",V150=0),"",IF(W150&gt;=V150,"Sí","No"))</f>
        <v/>
      </c>
      <c r="Z150" s="9"/>
      <c r="AA150" s="9"/>
    </row>
    <row r="151" customFormat="false" ht="15" hidden="false" customHeight="false" outlineLevel="0" collapsed="false">
      <c r="A151" s="9"/>
      <c r="B151" s="9"/>
      <c r="C151" s="9"/>
      <c r="D151" s="16" t="str">
        <f aca="false">IF(C151="","",IFERROR(INDEX(LOOKAHEAD!$B$5:$B$204,MATCH(C151,LOOKAHEAD!$A$5:$A$204,0)),""))</f>
        <v/>
      </c>
      <c r="E151" s="16" t="str">
        <f aca="false">IF(C151="","",IFERROR(INDEX(LOOKAHEAD!$E$5:$E$204,MATCH(C151,LOOKAHEAD!$A$5:$A$204,0)),""))</f>
        <v/>
      </c>
      <c r="F151" s="16" t="str">
        <f aca="false">IF(C151="","",IFERROR(INDEX(LOOKAHEAD!$M$5:$M$204,MATCH(C151,LOOKAHEAD!$A$5:$A$204,0)),""))</f>
        <v/>
      </c>
      <c r="G151" s="9"/>
      <c r="H151" s="9"/>
      <c r="I151" s="16" t="str">
        <f aca="false">IF(C151="","",IFERROR(INDEX(LOOKAHEAD!$G$5:$G$204,MATCH(C151,LOOKAHEAD!$A$5:$A$204,0)),""))</f>
        <v/>
      </c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36" t="str">
        <f aca="false">IF(C151="","",SUM(J151:O151))</f>
        <v/>
      </c>
      <c r="W151" s="36" t="str">
        <f aca="false">IF(C151="","",SUM(P151:U151))</f>
        <v/>
      </c>
      <c r="X151" s="19" t="str">
        <f aca="false">IF(OR(C151="",V151=0),"",W151/V151)</f>
        <v/>
      </c>
      <c r="Y151" s="16" t="str">
        <f aca="false">IF(OR(C151="",V151=0),"",IF(W151&gt;=V151,"Sí","No"))</f>
        <v/>
      </c>
      <c r="Z151" s="9"/>
      <c r="AA151" s="9"/>
    </row>
    <row r="152" customFormat="false" ht="15" hidden="false" customHeight="false" outlineLevel="0" collapsed="false">
      <c r="A152" s="9"/>
      <c r="B152" s="9"/>
      <c r="C152" s="9"/>
      <c r="D152" s="16" t="str">
        <f aca="false">IF(C152="","",IFERROR(INDEX(LOOKAHEAD!$B$5:$B$204,MATCH(C152,LOOKAHEAD!$A$5:$A$204,0)),""))</f>
        <v/>
      </c>
      <c r="E152" s="16" t="str">
        <f aca="false">IF(C152="","",IFERROR(INDEX(LOOKAHEAD!$E$5:$E$204,MATCH(C152,LOOKAHEAD!$A$5:$A$204,0)),""))</f>
        <v/>
      </c>
      <c r="F152" s="16" t="str">
        <f aca="false">IF(C152="","",IFERROR(INDEX(LOOKAHEAD!$M$5:$M$204,MATCH(C152,LOOKAHEAD!$A$5:$A$204,0)),""))</f>
        <v/>
      </c>
      <c r="G152" s="9"/>
      <c r="H152" s="9"/>
      <c r="I152" s="16" t="str">
        <f aca="false">IF(C152="","",IFERROR(INDEX(LOOKAHEAD!$G$5:$G$204,MATCH(C152,LOOKAHEAD!$A$5:$A$204,0)),""))</f>
        <v/>
      </c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36" t="str">
        <f aca="false">IF(C152="","",SUM(J152:O152))</f>
        <v/>
      </c>
      <c r="W152" s="36" t="str">
        <f aca="false">IF(C152="","",SUM(P152:U152))</f>
        <v/>
      </c>
      <c r="X152" s="19" t="str">
        <f aca="false">IF(OR(C152="",V152=0),"",W152/V152)</f>
        <v/>
      </c>
      <c r="Y152" s="16" t="str">
        <f aca="false">IF(OR(C152="",V152=0),"",IF(W152&gt;=V152,"Sí","No"))</f>
        <v/>
      </c>
      <c r="Z152" s="9"/>
      <c r="AA152" s="9"/>
    </row>
    <row r="153" customFormat="false" ht="15" hidden="false" customHeight="false" outlineLevel="0" collapsed="false">
      <c r="A153" s="9"/>
      <c r="B153" s="9"/>
      <c r="C153" s="9"/>
      <c r="D153" s="16" t="str">
        <f aca="false">IF(C153="","",IFERROR(INDEX(LOOKAHEAD!$B$5:$B$204,MATCH(C153,LOOKAHEAD!$A$5:$A$204,0)),""))</f>
        <v/>
      </c>
      <c r="E153" s="16" t="str">
        <f aca="false">IF(C153="","",IFERROR(INDEX(LOOKAHEAD!$E$5:$E$204,MATCH(C153,LOOKAHEAD!$A$5:$A$204,0)),""))</f>
        <v/>
      </c>
      <c r="F153" s="16" t="str">
        <f aca="false">IF(C153="","",IFERROR(INDEX(LOOKAHEAD!$M$5:$M$204,MATCH(C153,LOOKAHEAD!$A$5:$A$204,0)),""))</f>
        <v/>
      </c>
      <c r="G153" s="9"/>
      <c r="H153" s="9"/>
      <c r="I153" s="16" t="str">
        <f aca="false">IF(C153="","",IFERROR(INDEX(LOOKAHEAD!$G$5:$G$204,MATCH(C153,LOOKAHEAD!$A$5:$A$204,0)),""))</f>
        <v/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36" t="str">
        <f aca="false">IF(C153="","",SUM(J153:O153))</f>
        <v/>
      </c>
      <c r="W153" s="36" t="str">
        <f aca="false">IF(C153="","",SUM(P153:U153))</f>
        <v/>
      </c>
      <c r="X153" s="19" t="str">
        <f aca="false">IF(OR(C153="",V153=0),"",W153/V153)</f>
        <v/>
      </c>
      <c r="Y153" s="16" t="str">
        <f aca="false">IF(OR(C153="",V153=0),"",IF(W153&gt;=V153,"Sí","No"))</f>
        <v/>
      </c>
      <c r="Z153" s="9"/>
      <c r="AA153" s="9"/>
    </row>
    <row r="154" customFormat="false" ht="15" hidden="false" customHeight="false" outlineLevel="0" collapsed="false">
      <c r="A154" s="9"/>
      <c r="B154" s="9"/>
      <c r="C154" s="9"/>
      <c r="D154" s="16" t="str">
        <f aca="false">IF(C154="","",IFERROR(INDEX(LOOKAHEAD!$B$5:$B$204,MATCH(C154,LOOKAHEAD!$A$5:$A$204,0)),""))</f>
        <v/>
      </c>
      <c r="E154" s="16" t="str">
        <f aca="false">IF(C154="","",IFERROR(INDEX(LOOKAHEAD!$E$5:$E$204,MATCH(C154,LOOKAHEAD!$A$5:$A$204,0)),""))</f>
        <v/>
      </c>
      <c r="F154" s="16" t="str">
        <f aca="false">IF(C154="","",IFERROR(INDEX(LOOKAHEAD!$M$5:$M$204,MATCH(C154,LOOKAHEAD!$A$5:$A$204,0)),""))</f>
        <v/>
      </c>
      <c r="G154" s="9"/>
      <c r="H154" s="9"/>
      <c r="I154" s="16" t="str">
        <f aca="false">IF(C154="","",IFERROR(INDEX(LOOKAHEAD!$G$5:$G$204,MATCH(C154,LOOKAHEAD!$A$5:$A$204,0)),""))</f>
        <v/>
      </c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36" t="str">
        <f aca="false">IF(C154="","",SUM(J154:O154))</f>
        <v/>
      </c>
      <c r="W154" s="36" t="str">
        <f aca="false">IF(C154="","",SUM(P154:U154))</f>
        <v/>
      </c>
      <c r="X154" s="19" t="str">
        <f aca="false">IF(OR(C154="",V154=0),"",W154/V154)</f>
        <v/>
      </c>
      <c r="Y154" s="16" t="str">
        <f aca="false">IF(OR(C154="",V154=0),"",IF(W154&gt;=V154,"Sí","No"))</f>
        <v/>
      </c>
      <c r="Z154" s="9"/>
      <c r="AA154" s="9"/>
    </row>
    <row r="155" customFormat="false" ht="15" hidden="false" customHeight="false" outlineLevel="0" collapsed="false">
      <c r="A155" s="9"/>
      <c r="B155" s="9"/>
      <c r="C155" s="9"/>
      <c r="D155" s="16" t="str">
        <f aca="false">IF(C155="","",IFERROR(INDEX(LOOKAHEAD!$B$5:$B$204,MATCH(C155,LOOKAHEAD!$A$5:$A$204,0)),""))</f>
        <v/>
      </c>
      <c r="E155" s="16" t="str">
        <f aca="false">IF(C155="","",IFERROR(INDEX(LOOKAHEAD!$E$5:$E$204,MATCH(C155,LOOKAHEAD!$A$5:$A$204,0)),""))</f>
        <v/>
      </c>
      <c r="F155" s="16" t="str">
        <f aca="false">IF(C155="","",IFERROR(INDEX(LOOKAHEAD!$M$5:$M$204,MATCH(C155,LOOKAHEAD!$A$5:$A$204,0)),""))</f>
        <v/>
      </c>
      <c r="G155" s="9"/>
      <c r="H155" s="9"/>
      <c r="I155" s="16" t="str">
        <f aca="false">IF(C155="","",IFERROR(INDEX(LOOKAHEAD!$G$5:$G$204,MATCH(C155,LOOKAHEAD!$A$5:$A$204,0)),""))</f>
        <v/>
      </c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36" t="str">
        <f aca="false">IF(C155="","",SUM(J155:O155))</f>
        <v/>
      </c>
      <c r="W155" s="36" t="str">
        <f aca="false">IF(C155="","",SUM(P155:U155))</f>
        <v/>
      </c>
      <c r="X155" s="19" t="str">
        <f aca="false">IF(OR(C155="",V155=0),"",W155/V155)</f>
        <v/>
      </c>
      <c r="Y155" s="16" t="str">
        <f aca="false">IF(OR(C155="",V155=0),"",IF(W155&gt;=V155,"Sí","No"))</f>
        <v/>
      </c>
      <c r="Z155" s="9"/>
      <c r="AA155" s="9"/>
    </row>
    <row r="156" customFormat="false" ht="15" hidden="false" customHeight="false" outlineLevel="0" collapsed="false">
      <c r="A156" s="9"/>
      <c r="B156" s="9"/>
      <c r="C156" s="9"/>
      <c r="D156" s="16" t="str">
        <f aca="false">IF(C156="","",IFERROR(INDEX(LOOKAHEAD!$B$5:$B$204,MATCH(C156,LOOKAHEAD!$A$5:$A$204,0)),""))</f>
        <v/>
      </c>
      <c r="E156" s="16" t="str">
        <f aca="false">IF(C156="","",IFERROR(INDEX(LOOKAHEAD!$E$5:$E$204,MATCH(C156,LOOKAHEAD!$A$5:$A$204,0)),""))</f>
        <v/>
      </c>
      <c r="F156" s="16" t="str">
        <f aca="false">IF(C156="","",IFERROR(INDEX(LOOKAHEAD!$M$5:$M$204,MATCH(C156,LOOKAHEAD!$A$5:$A$204,0)),""))</f>
        <v/>
      </c>
      <c r="G156" s="9"/>
      <c r="H156" s="9"/>
      <c r="I156" s="16" t="str">
        <f aca="false">IF(C156="","",IFERROR(INDEX(LOOKAHEAD!$G$5:$G$204,MATCH(C156,LOOKAHEAD!$A$5:$A$204,0)),""))</f>
        <v/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36" t="str">
        <f aca="false">IF(C156="","",SUM(J156:O156))</f>
        <v/>
      </c>
      <c r="W156" s="36" t="str">
        <f aca="false">IF(C156="","",SUM(P156:U156))</f>
        <v/>
      </c>
      <c r="X156" s="19" t="str">
        <f aca="false">IF(OR(C156="",V156=0),"",W156/V156)</f>
        <v/>
      </c>
      <c r="Y156" s="16" t="str">
        <f aca="false">IF(OR(C156="",V156=0),"",IF(W156&gt;=V156,"Sí","No"))</f>
        <v/>
      </c>
      <c r="Z156" s="9"/>
      <c r="AA156" s="9"/>
    </row>
    <row r="157" customFormat="false" ht="15" hidden="false" customHeight="false" outlineLevel="0" collapsed="false">
      <c r="A157" s="9"/>
      <c r="B157" s="9"/>
      <c r="C157" s="9"/>
      <c r="D157" s="16" t="str">
        <f aca="false">IF(C157="","",IFERROR(INDEX(LOOKAHEAD!$B$5:$B$204,MATCH(C157,LOOKAHEAD!$A$5:$A$204,0)),""))</f>
        <v/>
      </c>
      <c r="E157" s="16" t="str">
        <f aca="false">IF(C157="","",IFERROR(INDEX(LOOKAHEAD!$E$5:$E$204,MATCH(C157,LOOKAHEAD!$A$5:$A$204,0)),""))</f>
        <v/>
      </c>
      <c r="F157" s="16" t="str">
        <f aca="false">IF(C157="","",IFERROR(INDEX(LOOKAHEAD!$M$5:$M$204,MATCH(C157,LOOKAHEAD!$A$5:$A$204,0)),""))</f>
        <v/>
      </c>
      <c r="G157" s="9"/>
      <c r="H157" s="9"/>
      <c r="I157" s="16" t="str">
        <f aca="false">IF(C157="","",IFERROR(INDEX(LOOKAHEAD!$G$5:$G$204,MATCH(C157,LOOKAHEAD!$A$5:$A$204,0)),""))</f>
        <v/>
      </c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36" t="str">
        <f aca="false">IF(C157="","",SUM(J157:O157))</f>
        <v/>
      </c>
      <c r="W157" s="36" t="str">
        <f aca="false">IF(C157="","",SUM(P157:U157))</f>
        <v/>
      </c>
      <c r="X157" s="19" t="str">
        <f aca="false">IF(OR(C157="",V157=0),"",W157/V157)</f>
        <v/>
      </c>
      <c r="Y157" s="16" t="str">
        <f aca="false">IF(OR(C157="",V157=0),"",IF(W157&gt;=V157,"Sí","No"))</f>
        <v/>
      </c>
      <c r="Z157" s="9"/>
      <c r="AA157" s="9"/>
    </row>
    <row r="158" customFormat="false" ht="15" hidden="false" customHeight="false" outlineLevel="0" collapsed="false">
      <c r="A158" s="9"/>
      <c r="B158" s="9"/>
      <c r="C158" s="9"/>
      <c r="D158" s="16" t="str">
        <f aca="false">IF(C158="","",IFERROR(INDEX(LOOKAHEAD!$B$5:$B$204,MATCH(C158,LOOKAHEAD!$A$5:$A$204,0)),""))</f>
        <v/>
      </c>
      <c r="E158" s="16" t="str">
        <f aca="false">IF(C158="","",IFERROR(INDEX(LOOKAHEAD!$E$5:$E$204,MATCH(C158,LOOKAHEAD!$A$5:$A$204,0)),""))</f>
        <v/>
      </c>
      <c r="F158" s="16" t="str">
        <f aca="false">IF(C158="","",IFERROR(INDEX(LOOKAHEAD!$M$5:$M$204,MATCH(C158,LOOKAHEAD!$A$5:$A$204,0)),""))</f>
        <v/>
      </c>
      <c r="G158" s="9"/>
      <c r="H158" s="9"/>
      <c r="I158" s="16" t="str">
        <f aca="false">IF(C158="","",IFERROR(INDEX(LOOKAHEAD!$G$5:$G$204,MATCH(C158,LOOKAHEAD!$A$5:$A$204,0)),""))</f>
        <v/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36" t="str">
        <f aca="false">IF(C158="","",SUM(J158:O158))</f>
        <v/>
      </c>
      <c r="W158" s="36" t="str">
        <f aca="false">IF(C158="","",SUM(P158:U158))</f>
        <v/>
      </c>
      <c r="X158" s="19" t="str">
        <f aca="false">IF(OR(C158="",V158=0),"",W158/V158)</f>
        <v/>
      </c>
      <c r="Y158" s="16" t="str">
        <f aca="false">IF(OR(C158="",V158=0),"",IF(W158&gt;=V158,"Sí","No"))</f>
        <v/>
      </c>
      <c r="Z158" s="9"/>
      <c r="AA158" s="9"/>
    </row>
    <row r="159" customFormat="false" ht="15" hidden="false" customHeight="false" outlineLevel="0" collapsed="false">
      <c r="A159" s="9"/>
      <c r="B159" s="9"/>
      <c r="C159" s="9"/>
      <c r="D159" s="16" t="str">
        <f aca="false">IF(C159="","",IFERROR(INDEX(LOOKAHEAD!$B$5:$B$204,MATCH(C159,LOOKAHEAD!$A$5:$A$204,0)),""))</f>
        <v/>
      </c>
      <c r="E159" s="16" t="str">
        <f aca="false">IF(C159="","",IFERROR(INDEX(LOOKAHEAD!$E$5:$E$204,MATCH(C159,LOOKAHEAD!$A$5:$A$204,0)),""))</f>
        <v/>
      </c>
      <c r="F159" s="16" t="str">
        <f aca="false">IF(C159="","",IFERROR(INDEX(LOOKAHEAD!$M$5:$M$204,MATCH(C159,LOOKAHEAD!$A$5:$A$204,0)),""))</f>
        <v/>
      </c>
      <c r="G159" s="9"/>
      <c r="H159" s="9"/>
      <c r="I159" s="16" t="str">
        <f aca="false">IF(C159="","",IFERROR(INDEX(LOOKAHEAD!$G$5:$G$204,MATCH(C159,LOOKAHEAD!$A$5:$A$204,0)),""))</f>
        <v/>
      </c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36" t="str">
        <f aca="false">IF(C159="","",SUM(J159:O159))</f>
        <v/>
      </c>
      <c r="W159" s="36" t="str">
        <f aca="false">IF(C159="","",SUM(P159:U159))</f>
        <v/>
      </c>
      <c r="X159" s="19" t="str">
        <f aca="false">IF(OR(C159="",V159=0),"",W159/V159)</f>
        <v/>
      </c>
      <c r="Y159" s="16" t="str">
        <f aca="false">IF(OR(C159="",V159=0),"",IF(W159&gt;=V159,"Sí","No"))</f>
        <v/>
      </c>
      <c r="Z159" s="9"/>
      <c r="AA159" s="9"/>
    </row>
    <row r="160" customFormat="false" ht="15" hidden="false" customHeight="false" outlineLevel="0" collapsed="false">
      <c r="A160" s="9"/>
      <c r="B160" s="9"/>
      <c r="C160" s="9"/>
      <c r="D160" s="16" t="str">
        <f aca="false">IF(C160="","",IFERROR(INDEX(LOOKAHEAD!$B$5:$B$204,MATCH(C160,LOOKAHEAD!$A$5:$A$204,0)),""))</f>
        <v/>
      </c>
      <c r="E160" s="16" t="str">
        <f aca="false">IF(C160="","",IFERROR(INDEX(LOOKAHEAD!$E$5:$E$204,MATCH(C160,LOOKAHEAD!$A$5:$A$204,0)),""))</f>
        <v/>
      </c>
      <c r="F160" s="16" t="str">
        <f aca="false">IF(C160="","",IFERROR(INDEX(LOOKAHEAD!$M$5:$M$204,MATCH(C160,LOOKAHEAD!$A$5:$A$204,0)),""))</f>
        <v/>
      </c>
      <c r="G160" s="9"/>
      <c r="H160" s="9"/>
      <c r="I160" s="16" t="str">
        <f aca="false">IF(C160="","",IFERROR(INDEX(LOOKAHEAD!$G$5:$G$204,MATCH(C160,LOOKAHEAD!$A$5:$A$204,0)),""))</f>
        <v/>
      </c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36" t="str">
        <f aca="false">IF(C160="","",SUM(J160:O160))</f>
        <v/>
      </c>
      <c r="W160" s="36" t="str">
        <f aca="false">IF(C160="","",SUM(P160:U160))</f>
        <v/>
      </c>
      <c r="X160" s="19" t="str">
        <f aca="false">IF(OR(C160="",V160=0),"",W160/V160)</f>
        <v/>
      </c>
      <c r="Y160" s="16" t="str">
        <f aca="false">IF(OR(C160="",V160=0),"",IF(W160&gt;=V160,"Sí","No"))</f>
        <v/>
      </c>
      <c r="Z160" s="9"/>
      <c r="AA160" s="9"/>
    </row>
    <row r="161" customFormat="false" ht="15" hidden="false" customHeight="false" outlineLevel="0" collapsed="false">
      <c r="A161" s="9"/>
      <c r="B161" s="9"/>
      <c r="C161" s="9"/>
      <c r="D161" s="16" t="str">
        <f aca="false">IF(C161="","",IFERROR(INDEX(LOOKAHEAD!$B$5:$B$204,MATCH(C161,LOOKAHEAD!$A$5:$A$204,0)),""))</f>
        <v/>
      </c>
      <c r="E161" s="16" t="str">
        <f aca="false">IF(C161="","",IFERROR(INDEX(LOOKAHEAD!$E$5:$E$204,MATCH(C161,LOOKAHEAD!$A$5:$A$204,0)),""))</f>
        <v/>
      </c>
      <c r="F161" s="16" t="str">
        <f aca="false">IF(C161="","",IFERROR(INDEX(LOOKAHEAD!$M$5:$M$204,MATCH(C161,LOOKAHEAD!$A$5:$A$204,0)),""))</f>
        <v/>
      </c>
      <c r="G161" s="9"/>
      <c r="H161" s="9"/>
      <c r="I161" s="16" t="str">
        <f aca="false">IF(C161="","",IFERROR(INDEX(LOOKAHEAD!$G$5:$G$204,MATCH(C161,LOOKAHEAD!$A$5:$A$204,0)),""))</f>
        <v/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36" t="str">
        <f aca="false">IF(C161="","",SUM(J161:O161))</f>
        <v/>
      </c>
      <c r="W161" s="36" t="str">
        <f aca="false">IF(C161="","",SUM(P161:U161))</f>
        <v/>
      </c>
      <c r="X161" s="19" t="str">
        <f aca="false">IF(OR(C161="",V161=0),"",W161/V161)</f>
        <v/>
      </c>
      <c r="Y161" s="16" t="str">
        <f aca="false">IF(OR(C161="",V161=0),"",IF(W161&gt;=V161,"Sí","No"))</f>
        <v/>
      </c>
      <c r="Z161" s="9"/>
      <c r="AA161" s="9"/>
    </row>
    <row r="162" customFormat="false" ht="15" hidden="false" customHeight="false" outlineLevel="0" collapsed="false">
      <c r="A162" s="9"/>
      <c r="B162" s="9"/>
      <c r="C162" s="9"/>
      <c r="D162" s="16" t="str">
        <f aca="false">IF(C162="","",IFERROR(INDEX(LOOKAHEAD!$B$5:$B$204,MATCH(C162,LOOKAHEAD!$A$5:$A$204,0)),""))</f>
        <v/>
      </c>
      <c r="E162" s="16" t="str">
        <f aca="false">IF(C162="","",IFERROR(INDEX(LOOKAHEAD!$E$5:$E$204,MATCH(C162,LOOKAHEAD!$A$5:$A$204,0)),""))</f>
        <v/>
      </c>
      <c r="F162" s="16" t="str">
        <f aca="false">IF(C162="","",IFERROR(INDEX(LOOKAHEAD!$M$5:$M$204,MATCH(C162,LOOKAHEAD!$A$5:$A$204,0)),""))</f>
        <v/>
      </c>
      <c r="G162" s="9"/>
      <c r="H162" s="9"/>
      <c r="I162" s="16" t="str">
        <f aca="false">IF(C162="","",IFERROR(INDEX(LOOKAHEAD!$G$5:$G$204,MATCH(C162,LOOKAHEAD!$A$5:$A$204,0)),""))</f>
        <v/>
      </c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36" t="str">
        <f aca="false">IF(C162="","",SUM(J162:O162))</f>
        <v/>
      </c>
      <c r="W162" s="36" t="str">
        <f aca="false">IF(C162="","",SUM(P162:U162))</f>
        <v/>
      </c>
      <c r="X162" s="19" t="str">
        <f aca="false">IF(OR(C162="",V162=0),"",W162/V162)</f>
        <v/>
      </c>
      <c r="Y162" s="16" t="str">
        <f aca="false">IF(OR(C162="",V162=0),"",IF(W162&gt;=V162,"Sí","No"))</f>
        <v/>
      </c>
      <c r="Z162" s="9"/>
      <c r="AA162" s="9"/>
    </row>
    <row r="163" customFormat="false" ht="15" hidden="false" customHeight="false" outlineLevel="0" collapsed="false">
      <c r="A163" s="9"/>
      <c r="B163" s="9"/>
      <c r="C163" s="9"/>
      <c r="D163" s="16" t="str">
        <f aca="false">IF(C163="","",IFERROR(INDEX(LOOKAHEAD!$B$5:$B$204,MATCH(C163,LOOKAHEAD!$A$5:$A$204,0)),""))</f>
        <v/>
      </c>
      <c r="E163" s="16" t="str">
        <f aca="false">IF(C163="","",IFERROR(INDEX(LOOKAHEAD!$E$5:$E$204,MATCH(C163,LOOKAHEAD!$A$5:$A$204,0)),""))</f>
        <v/>
      </c>
      <c r="F163" s="16" t="str">
        <f aca="false">IF(C163="","",IFERROR(INDEX(LOOKAHEAD!$M$5:$M$204,MATCH(C163,LOOKAHEAD!$A$5:$A$204,0)),""))</f>
        <v/>
      </c>
      <c r="G163" s="9"/>
      <c r="H163" s="9"/>
      <c r="I163" s="16" t="str">
        <f aca="false">IF(C163="","",IFERROR(INDEX(LOOKAHEAD!$G$5:$G$204,MATCH(C163,LOOKAHEAD!$A$5:$A$204,0)),""))</f>
        <v/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36" t="str">
        <f aca="false">IF(C163="","",SUM(J163:O163))</f>
        <v/>
      </c>
      <c r="W163" s="36" t="str">
        <f aca="false">IF(C163="","",SUM(P163:U163))</f>
        <v/>
      </c>
      <c r="X163" s="19" t="str">
        <f aca="false">IF(OR(C163="",V163=0),"",W163/V163)</f>
        <v/>
      </c>
      <c r="Y163" s="16" t="str">
        <f aca="false">IF(OR(C163="",V163=0),"",IF(W163&gt;=V163,"Sí","No"))</f>
        <v/>
      </c>
      <c r="Z163" s="9"/>
      <c r="AA163" s="9"/>
    </row>
    <row r="164" customFormat="false" ht="15" hidden="false" customHeight="false" outlineLevel="0" collapsed="false">
      <c r="A164" s="9"/>
      <c r="B164" s="9"/>
      <c r="C164" s="9"/>
      <c r="D164" s="16" t="str">
        <f aca="false">IF(C164="","",IFERROR(INDEX(LOOKAHEAD!$B$5:$B$204,MATCH(C164,LOOKAHEAD!$A$5:$A$204,0)),""))</f>
        <v/>
      </c>
      <c r="E164" s="16" t="str">
        <f aca="false">IF(C164="","",IFERROR(INDEX(LOOKAHEAD!$E$5:$E$204,MATCH(C164,LOOKAHEAD!$A$5:$A$204,0)),""))</f>
        <v/>
      </c>
      <c r="F164" s="16" t="str">
        <f aca="false">IF(C164="","",IFERROR(INDEX(LOOKAHEAD!$M$5:$M$204,MATCH(C164,LOOKAHEAD!$A$5:$A$204,0)),""))</f>
        <v/>
      </c>
      <c r="G164" s="9"/>
      <c r="H164" s="9"/>
      <c r="I164" s="16" t="str">
        <f aca="false">IF(C164="","",IFERROR(INDEX(LOOKAHEAD!$G$5:$G$204,MATCH(C164,LOOKAHEAD!$A$5:$A$204,0)),""))</f>
        <v/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36" t="str">
        <f aca="false">IF(C164="","",SUM(J164:O164))</f>
        <v/>
      </c>
      <c r="W164" s="36" t="str">
        <f aca="false">IF(C164="","",SUM(P164:U164))</f>
        <v/>
      </c>
      <c r="X164" s="19" t="str">
        <f aca="false">IF(OR(C164="",V164=0),"",W164/V164)</f>
        <v/>
      </c>
      <c r="Y164" s="16" t="str">
        <f aca="false">IF(OR(C164="",V164=0),"",IF(W164&gt;=V164,"Sí","No"))</f>
        <v/>
      </c>
      <c r="Z164" s="9"/>
      <c r="AA164" s="9"/>
    </row>
    <row r="165" customFormat="false" ht="15" hidden="false" customHeight="false" outlineLevel="0" collapsed="false">
      <c r="A165" s="9"/>
      <c r="B165" s="9"/>
      <c r="C165" s="9"/>
      <c r="D165" s="16" t="str">
        <f aca="false">IF(C165="","",IFERROR(INDEX(LOOKAHEAD!$B$5:$B$204,MATCH(C165,LOOKAHEAD!$A$5:$A$204,0)),""))</f>
        <v/>
      </c>
      <c r="E165" s="16" t="str">
        <f aca="false">IF(C165="","",IFERROR(INDEX(LOOKAHEAD!$E$5:$E$204,MATCH(C165,LOOKAHEAD!$A$5:$A$204,0)),""))</f>
        <v/>
      </c>
      <c r="F165" s="16" t="str">
        <f aca="false">IF(C165="","",IFERROR(INDEX(LOOKAHEAD!$M$5:$M$204,MATCH(C165,LOOKAHEAD!$A$5:$A$204,0)),""))</f>
        <v/>
      </c>
      <c r="G165" s="9"/>
      <c r="H165" s="9"/>
      <c r="I165" s="16" t="str">
        <f aca="false">IF(C165="","",IFERROR(INDEX(LOOKAHEAD!$G$5:$G$204,MATCH(C165,LOOKAHEAD!$A$5:$A$204,0)),""))</f>
        <v/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36" t="str">
        <f aca="false">IF(C165="","",SUM(J165:O165))</f>
        <v/>
      </c>
      <c r="W165" s="36" t="str">
        <f aca="false">IF(C165="","",SUM(P165:U165))</f>
        <v/>
      </c>
      <c r="X165" s="19" t="str">
        <f aca="false">IF(OR(C165="",V165=0),"",W165/V165)</f>
        <v/>
      </c>
      <c r="Y165" s="16" t="str">
        <f aca="false">IF(OR(C165="",V165=0),"",IF(W165&gt;=V165,"Sí","No"))</f>
        <v/>
      </c>
      <c r="Z165" s="9"/>
      <c r="AA165" s="9"/>
    </row>
    <row r="166" customFormat="false" ht="15" hidden="false" customHeight="false" outlineLevel="0" collapsed="false">
      <c r="A166" s="9"/>
      <c r="B166" s="9"/>
      <c r="C166" s="9"/>
      <c r="D166" s="16" t="str">
        <f aca="false">IF(C166="","",IFERROR(INDEX(LOOKAHEAD!$B$5:$B$204,MATCH(C166,LOOKAHEAD!$A$5:$A$204,0)),""))</f>
        <v/>
      </c>
      <c r="E166" s="16" t="str">
        <f aca="false">IF(C166="","",IFERROR(INDEX(LOOKAHEAD!$E$5:$E$204,MATCH(C166,LOOKAHEAD!$A$5:$A$204,0)),""))</f>
        <v/>
      </c>
      <c r="F166" s="16" t="str">
        <f aca="false">IF(C166="","",IFERROR(INDEX(LOOKAHEAD!$M$5:$M$204,MATCH(C166,LOOKAHEAD!$A$5:$A$204,0)),""))</f>
        <v/>
      </c>
      <c r="G166" s="9"/>
      <c r="H166" s="9"/>
      <c r="I166" s="16" t="str">
        <f aca="false">IF(C166="","",IFERROR(INDEX(LOOKAHEAD!$G$5:$G$204,MATCH(C166,LOOKAHEAD!$A$5:$A$204,0)),""))</f>
        <v/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36" t="str">
        <f aca="false">IF(C166="","",SUM(J166:O166))</f>
        <v/>
      </c>
      <c r="W166" s="36" t="str">
        <f aca="false">IF(C166="","",SUM(P166:U166))</f>
        <v/>
      </c>
      <c r="X166" s="19" t="str">
        <f aca="false">IF(OR(C166="",V166=0),"",W166/V166)</f>
        <v/>
      </c>
      <c r="Y166" s="16" t="str">
        <f aca="false">IF(OR(C166="",V166=0),"",IF(W166&gt;=V166,"Sí","No"))</f>
        <v/>
      </c>
      <c r="Z166" s="9"/>
      <c r="AA166" s="9"/>
    </row>
    <row r="167" customFormat="false" ht="15" hidden="false" customHeight="false" outlineLevel="0" collapsed="false">
      <c r="A167" s="9"/>
      <c r="B167" s="9"/>
      <c r="C167" s="9"/>
      <c r="D167" s="16" t="str">
        <f aca="false">IF(C167="","",IFERROR(INDEX(LOOKAHEAD!$B$5:$B$204,MATCH(C167,LOOKAHEAD!$A$5:$A$204,0)),""))</f>
        <v/>
      </c>
      <c r="E167" s="16" t="str">
        <f aca="false">IF(C167="","",IFERROR(INDEX(LOOKAHEAD!$E$5:$E$204,MATCH(C167,LOOKAHEAD!$A$5:$A$204,0)),""))</f>
        <v/>
      </c>
      <c r="F167" s="16" t="str">
        <f aca="false">IF(C167="","",IFERROR(INDEX(LOOKAHEAD!$M$5:$M$204,MATCH(C167,LOOKAHEAD!$A$5:$A$204,0)),""))</f>
        <v/>
      </c>
      <c r="G167" s="9"/>
      <c r="H167" s="9"/>
      <c r="I167" s="16" t="str">
        <f aca="false">IF(C167="","",IFERROR(INDEX(LOOKAHEAD!$G$5:$G$204,MATCH(C167,LOOKAHEAD!$A$5:$A$204,0)),""))</f>
        <v/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36" t="str">
        <f aca="false">IF(C167="","",SUM(J167:O167))</f>
        <v/>
      </c>
      <c r="W167" s="36" t="str">
        <f aca="false">IF(C167="","",SUM(P167:U167))</f>
        <v/>
      </c>
      <c r="X167" s="19" t="str">
        <f aca="false">IF(OR(C167="",V167=0),"",W167/V167)</f>
        <v/>
      </c>
      <c r="Y167" s="16" t="str">
        <f aca="false">IF(OR(C167="",V167=0),"",IF(W167&gt;=V167,"Sí","No"))</f>
        <v/>
      </c>
      <c r="Z167" s="9"/>
      <c r="AA167" s="9"/>
    </row>
    <row r="168" customFormat="false" ht="15" hidden="false" customHeight="false" outlineLevel="0" collapsed="false">
      <c r="A168" s="9"/>
      <c r="B168" s="9"/>
      <c r="C168" s="9"/>
      <c r="D168" s="16" t="str">
        <f aca="false">IF(C168="","",IFERROR(INDEX(LOOKAHEAD!$B$5:$B$204,MATCH(C168,LOOKAHEAD!$A$5:$A$204,0)),""))</f>
        <v/>
      </c>
      <c r="E168" s="16" t="str">
        <f aca="false">IF(C168="","",IFERROR(INDEX(LOOKAHEAD!$E$5:$E$204,MATCH(C168,LOOKAHEAD!$A$5:$A$204,0)),""))</f>
        <v/>
      </c>
      <c r="F168" s="16" t="str">
        <f aca="false">IF(C168="","",IFERROR(INDEX(LOOKAHEAD!$M$5:$M$204,MATCH(C168,LOOKAHEAD!$A$5:$A$204,0)),""))</f>
        <v/>
      </c>
      <c r="G168" s="9"/>
      <c r="H168" s="9"/>
      <c r="I168" s="16" t="str">
        <f aca="false">IF(C168="","",IFERROR(INDEX(LOOKAHEAD!$G$5:$G$204,MATCH(C168,LOOKAHEAD!$A$5:$A$204,0)),""))</f>
        <v/>
      </c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36" t="str">
        <f aca="false">IF(C168="","",SUM(J168:O168))</f>
        <v/>
      </c>
      <c r="W168" s="36" t="str">
        <f aca="false">IF(C168="","",SUM(P168:U168))</f>
        <v/>
      </c>
      <c r="X168" s="19" t="str">
        <f aca="false">IF(OR(C168="",V168=0),"",W168/V168)</f>
        <v/>
      </c>
      <c r="Y168" s="16" t="str">
        <f aca="false">IF(OR(C168="",V168=0),"",IF(W168&gt;=V168,"Sí","No"))</f>
        <v/>
      </c>
      <c r="Z168" s="9"/>
      <c r="AA168" s="9"/>
    </row>
    <row r="169" customFormat="false" ht="15" hidden="false" customHeight="false" outlineLevel="0" collapsed="false">
      <c r="A169" s="9"/>
      <c r="B169" s="9"/>
      <c r="C169" s="9"/>
      <c r="D169" s="16" t="str">
        <f aca="false">IF(C169="","",IFERROR(INDEX(LOOKAHEAD!$B$5:$B$204,MATCH(C169,LOOKAHEAD!$A$5:$A$204,0)),""))</f>
        <v/>
      </c>
      <c r="E169" s="16" t="str">
        <f aca="false">IF(C169="","",IFERROR(INDEX(LOOKAHEAD!$E$5:$E$204,MATCH(C169,LOOKAHEAD!$A$5:$A$204,0)),""))</f>
        <v/>
      </c>
      <c r="F169" s="16" t="str">
        <f aca="false">IF(C169="","",IFERROR(INDEX(LOOKAHEAD!$M$5:$M$204,MATCH(C169,LOOKAHEAD!$A$5:$A$204,0)),""))</f>
        <v/>
      </c>
      <c r="G169" s="9"/>
      <c r="H169" s="9"/>
      <c r="I169" s="16" t="str">
        <f aca="false">IF(C169="","",IFERROR(INDEX(LOOKAHEAD!$G$5:$G$204,MATCH(C169,LOOKAHEAD!$A$5:$A$204,0)),""))</f>
        <v/>
      </c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36" t="str">
        <f aca="false">IF(C169="","",SUM(J169:O169))</f>
        <v/>
      </c>
      <c r="W169" s="36" t="str">
        <f aca="false">IF(C169="","",SUM(P169:U169))</f>
        <v/>
      </c>
      <c r="X169" s="19" t="str">
        <f aca="false">IF(OR(C169="",V169=0),"",W169/V169)</f>
        <v/>
      </c>
      <c r="Y169" s="16" t="str">
        <f aca="false">IF(OR(C169="",V169=0),"",IF(W169&gt;=V169,"Sí","No"))</f>
        <v/>
      </c>
      <c r="Z169" s="9"/>
      <c r="AA169" s="9"/>
    </row>
    <row r="170" customFormat="false" ht="15" hidden="false" customHeight="false" outlineLevel="0" collapsed="false">
      <c r="A170" s="9"/>
      <c r="B170" s="9"/>
      <c r="C170" s="9"/>
      <c r="D170" s="16" t="str">
        <f aca="false">IF(C170="","",IFERROR(INDEX(LOOKAHEAD!$B$5:$B$204,MATCH(C170,LOOKAHEAD!$A$5:$A$204,0)),""))</f>
        <v/>
      </c>
      <c r="E170" s="16" t="str">
        <f aca="false">IF(C170="","",IFERROR(INDEX(LOOKAHEAD!$E$5:$E$204,MATCH(C170,LOOKAHEAD!$A$5:$A$204,0)),""))</f>
        <v/>
      </c>
      <c r="F170" s="16" t="str">
        <f aca="false">IF(C170="","",IFERROR(INDEX(LOOKAHEAD!$M$5:$M$204,MATCH(C170,LOOKAHEAD!$A$5:$A$204,0)),""))</f>
        <v/>
      </c>
      <c r="G170" s="9"/>
      <c r="H170" s="9"/>
      <c r="I170" s="16" t="str">
        <f aca="false">IF(C170="","",IFERROR(INDEX(LOOKAHEAD!$G$5:$G$204,MATCH(C170,LOOKAHEAD!$A$5:$A$204,0)),""))</f>
        <v/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36" t="str">
        <f aca="false">IF(C170="","",SUM(J170:O170))</f>
        <v/>
      </c>
      <c r="W170" s="36" t="str">
        <f aca="false">IF(C170="","",SUM(P170:U170))</f>
        <v/>
      </c>
      <c r="X170" s="19" t="str">
        <f aca="false">IF(OR(C170="",V170=0),"",W170/V170)</f>
        <v/>
      </c>
      <c r="Y170" s="16" t="str">
        <f aca="false">IF(OR(C170="",V170=0),"",IF(W170&gt;=V170,"Sí","No"))</f>
        <v/>
      </c>
      <c r="Z170" s="9"/>
      <c r="AA170" s="9"/>
    </row>
    <row r="171" customFormat="false" ht="15" hidden="false" customHeight="false" outlineLevel="0" collapsed="false">
      <c r="A171" s="9"/>
      <c r="B171" s="9"/>
      <c r="C171" s="9"/>
      <c r="D171" s="16" t="str">
        <f aca="false">IF(C171="","",IFERROR(INDEX(LOOKAHEAD!$B$5:$B$204,MATCH(C171,LOOKAHEAD!$A$5:$A$204,0)),""))</f>
        <v/>
      </c>
      <c r="E171" s="16" t="str">
        <f aca="false">IF(C171="","",IFERROR(INDEX(LOOKAHEAD!$E$5:$E$204,MATCH(C171,LOOKAHEAD!$A$5:$A$204,0)),""))</f>
        <v/>
      </c>
      <c r="F171" s="16" t="str">
        <f aca="false">IF(C171="","",IFERROR(INDEX(LOOKAHEAD!$M$5:$M$204,MATCH(C171,LOOKAHEAD!$A$5:$A$204,0)),""))</f>
        <v/>
      </c>
      <c r="G171" s="9"/>
      <c r="H171" s="9"/>
      <c r="I171" s="16" t="str">
        <f aca="false">IF(C171="","",IFERROR(INDEX(LOOKAHEAD!$G$5:$G$204,MATCH(C171,LOOKAHEAD!$A$5:$A$204,0)),""))</f>
        <v/>
      </c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36" t="str">
        <f aca="false">IF(C171="","",SUM(J171:O171))</f>
        <v/>
      </c>
      <c r="W171" s="36" t="str">
        <f aca="false">IF(C171="","",SUM(P171:U171))</f>
        <v/>
      </c>
      <c r="X171" s="19" t="str">
        <f aca="false">IF(OR(C171="",V171=0),"",W171/V171)</f>
        <v/>
      </c>
      <c r="Y171" s="16" t="str">
        <f aca="false">IF(OR(C171="",V171=0),"",IF(W171&gt;=V171,"Sí","No"))</f>
        <v/>
      </c>
      <c r="Z171" s="9"/>
      <c r="AA171" s="9"/>
    </row>
    <row r="172" customFormat="false" ht="15" hidden="false" customHeight="false" outlineLevel="0" collapsed="false">
      <c r="A172" s="9"/>
      <c r="B172" s="9"/>
      <c r="C172" s="9"/>
      <c r="D172" s="16" t="str">
        <f aca="false">IF(C172="","",IFERROR(INDEX(LOOKAHEAD!$B$5:$B$204,MATCH(C172,LOOKAHEAD!$A$5:$A$204,0)),""))</f>
        <v/>
      </c>
      <c r="E172" s="16" t="str">
        <f aca="false">IF(C172="","",IFERROR(INDEX(LOOKAHEAD!$E$5:$E$204,MATCH(C172,LOOKAHEAD!$A$5:$A$204,0)),""))</f>
        <v/>
      </c>
      <c r="F172" s="16" t="str">
        <f aca="false">IF(C172="","",IFERROR(INDEX(LOOKAHEAD!$M$5:$M$204,MATCH(C172,LOOKAHEAD!$A$5:$A$204,0)),""))</f>
        <v/>
      </c>
      <c r="G172" s="9"/>
      <c r="H172" s="9"/>
      <c r="I172" s="16" t="str">
        <f aca="false">IF(C172="","",IFERROR(INDEX(LOOKAHEAD!$G$5:$G$204,MATCH(C172,LOOKAHEAD!$A$5:$A$204,0)),""))</f>
        <v/>
      </c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36" t="str">
        <f aca="false">IF(C172="","",SUM(J172:O172))</f>
        <v/>
      </c>
      <c r="W172" s="36" t="str">
        <f aca="false">IF(C172="","",SUM(P172:U172))</f>
        <v/>
      </c>
      <c r="X172" s="19" t="str">
        <f aca="false">IF(OR(C172="",V172=0),"",W172/V172)</f>
        <v/>
      </c>
      <c r="Y172" s="16" t="str">
        <f aca="false">IF(OR(C172="",V172=0),"",IF(W172&gt;=V172,"Sí","No"))</f>
        <v/>
      </c>
      <c r="Z172" s="9"/>
      <c r="AA172" s="9"/>
    </row>
    <row r="173" customFormat="false" ht="15" hidden="false" customHeight="false" outlineLevel="0" collapsed="false">
      <c r="A173" s="9"/>
      <c r="B173" s="9"/>
      <c r="C173" s="9"/>
      <c r="D173" s="16" t="str">
        <f aca="false">IF(C173="","",IFERROR(INDEX(LOOKAHEAD!$B$5:$B$204,MATCH(C173,LOOKAHEAD!$A$5:$A$204,0)),""))</f>
        <v/>
      </c>
      <c r="E173" s="16" t="str">
        <f aca="false">IF(C173="","",IFERROR(INDEX(LOOKAHEAD!$E$5:$E$204,MATCH(C173,LOOKAHEAD!$A$5:$A$204,0)),""))</f>
        <v/>
      </c>
      <c r="F173" s="16" t="str">
        <f aca="false">IF(C173="","",IFERROR(INDEX(LOOKAHEAD!$M$5:$M$204,MATCH(C173,LOOKAHEAD!$A$5:$A$204,0)),""))</f>
        <v/>
      </c>
      <c r="G173" s="9"/>
      <c r="H173" s="9"/>
      <c r="I173" s="16" t="str">
        <f aca="false">IF(C173="","",IFERROR(INDEX(LOOKAHEAD!$G$5:$G$204,MATCH(C173,LOOKAHEAD!$A$5:$A$204,0)),""))</f>
        <v/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36" t="str">
        <f aca="false">IF(C173="","",SUM(J173:O173))</f>
        <v/>
      </c>
      <c r="W173" s="36" t="str">
        <f aca="false">IF(C173="","",SUM(P173:U173))</f>
        <v/>
      </c>
      <c r="X173" s="19" t="str">
        <f aca="false">IF(OR(C173="",V173=0),"",W173/V173)</f>
        <v/>
      </c>
      <c r="Y173" s="16" t="str">
        <f aca="false">IF(OR(C173="",V173=0),"",IF(W173&gt;=V173,"Sí","No"))</f>
        <v/>
      </c>
      <c r="Z173" s="9"/>
      <c r="AA173" s="9"/>
    </row>
    <row r="174" customFormat="false" ht="15" hidden="false" customHeight="false" outlineLevel="0" collapsed="false">
      <c r="A174" s="9"/>
      <c r="B174" s="9"/>
      <c r="C174" s="9"/>
      <c r="D174" s="16" t="str">
        <f aca="false">IF(C174="","",IFERROR(INDEX(LOOKAHEAD!$B$5:$B$204,MATCH(C174,LOOKAHEAD!$A$5:$A$204,0)),""))</f>
        <v/>
      </c>
      <c r="E174" s="16" t="str">
        <f aca="false">IF(C174="","",IFERROR(INDEX(LOOKAHEAD!$E$5:$E$204,MATCH(C174,LOOKAHEAD!$A$5:$A$204,0)),""))</f>
        <v/>
      </c>
      <c r="F174" s="16" t="str">
        <f aca="false">IF(C174="","",IFERROR(INDEX(LOOKAHEAD!$M$5:$M$204,MATCH(C174,LOOKAHEAD!$A$5:$A$204,0)),""))</f>
        <v/>
      </c>
      <c r="G174" s="9"/>
      <c r="H174" s="9"/>
      <c r="I174" s="16" t="str">
        <f aca="false">IF(C174="","",IFERROR(INDEX(LOOKAHEAD!$G$5:$G$204,MATCH(C174,LOOKAHEAD!$A$5:$A$204,0)),""))</f>
        <v/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36" t="str">
        <f aca="false">IF(C174="","",SUM(J174:O174))</f>
        <v/>
      </c>
      <c r="W174" s="36" t="str">
        <f aca="false">IF(C174="","",SUM(P174:U174))</f>
        <v/>
      </c>
      <c r="X174" s="19" t="str">
        <f aca="false">IF(OR(C174="",V174=0),"",W174/V174)</f>
        <v/>
      </c>
      <c r="Y174" s="16" t="str">
        <f aca="false">IF(OR(C174="",V174=0),"",IF(W174&gt;=V174,"Sí","No"))</f>
        <v/>
      </c>
      <c r="Z174" s="9"/>
      <c r="AA174" s="9"/>
    </row>
    <row r="175" customFormat="false" ht="15" hidden="false" customHeight="false" outlineLevel="0" collapsed="false">
      <c r="A175" s="9"/>
      <c r="B175" s="9"/>
      <c r="C175" s="9"/>
      <c r="D175" s="16" t="str">
        <f aca="false">IF(C175="","",IFERROR(INDEX(LOOKAHEAD!$B$5:$B$204,MATCH(C175,LOOKAHEAD!$A$5:$A$204,0)),""))</f>
        <v/>
      </c>
      <c r="E175" s="16" t="str">
        <f aca="false">IF(C175="","",IFERROR(INDEX(LOOKAHEAD!$E$5:$E$204,MATCH(C175,LOOKAHEAD!$A$5:$A$204,0)),""))</f>
        <v/>
      </c>
      <c r="F175" s="16" t="str">
        <f aca="false">IF(C175="","",IFERROR(INDEX(LOOKAHEAD!$M$5:$M$204,MATCH(C175,LOOKAHEAD!$A$5:$A$204,0)),""))</f>
        <v/>
      </c>
      <c r="G175" s="9"/>
      <c r="H175" s="9"/>
      <c r="I175" s="16" t="str">
        <f aca="false">IF(C175="","",IFERROR(INDEX(LOOKAHEAD!$G$5:$G$204,MATCH(C175,LOOKAHEAD!$A$5:$A$204,0)),""))</f>
        <v/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36" t="str">
        <f aca="false">IF(C175="","",SUM(J175:O175))</f>
        <v/>
      </c>
      <c r="W175" s="36" t="str">
        <f aca="false">IF(C175="","",SUM(P175:U175))</f>
        <v/>
      </c>
      <c r="X175" s="19" t="str">
        <f aca="false">IF(OR(C175="",V175=0),"",W175/V175)</f>
        <v/>
      </c>
      <c r="Y175" s="16" t="str">
        <f aca="false">IF(OR(C175="",V175=0),"",IF(W175&gt;=V175,"Sí","No"))</f>
        <v/>
      </c>
      <c r="Z175" s="9"/>
      <c r="AA175" s="9"/>
    </row>
    <row r="176" customFormat="false" ht="15" hidden="false" customHeight="false" outlineLevel="0" collapsed="false">
      <c r="A176" s="9"/>
      <c r="B176" s="9"/>
      <c r="C176" s="9"/>
      <c r="D176" s="16" t="str">
        <f aca="false">IF(C176="","",IFERROR(INDEX(LOOKAHEAD!$B$5:$B$204,MATCH(C176,LOOKAHEAD!$A$5:$A$204,0)),""))</f>
        <v/>
      </c>
      <c r="E176" s="16" t="str">
        <f aca="false">IF(C176="","",IFERROR(INDEX(LOOKAHEAD!$E$5:$E$204,MATCH(C176,LOOKAHEAD!$A$5:$A$204,0)),""))</f>
        <v/>
      </c>
      <c r="F176" s="16" t="str">
        <f aca="false">IF(C176="","",IFERROR(INDEX(LOOKAHEAD!$M$5:$M$204,MATCH(C176,LOOKAHEAD!$A$5:$A$204,0)),""))</f>
        <v/>
      </c>
      <c r="G176" s="9"/>
      <c r="H176" s="9"/>
      <c r="I176" s="16" t="str">
        <f aca="false">IF(C176="","",IFERROR(INDEX(LOOKAHEAD!$G$5:$G$204,MATCH(C176,LOOKAHEAD!$A$5:$A$204,0)),""))</f>
        <v/>
      </c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36" t="str">
        <f aca="false">IF(C176="","",SUM(J176:O176))</f>
        <v/>
      </c>
      <c r="W176" s="36" t="str">
        <f aca="false">IF(C176="","",SUM(P176:U176))</f>
        <v/>
      </c>
      <c r="X176" s="19" t="str">
        <f aca="false">IF(OR(C176="",V176=0),"",W176/V176)</f>
        <v/>
      </c>
      <c r="Y176" s="16" t="str">
        <f aca="false">IF(OR(C176="",V176=0),"",IF(W176&gt;=V176,"Sí","No"))</f>
        <v/>
      </c>
      <c r="Z176" s="9"/>
      <c r="AA176" s="9"/>
    </row>
    <row r="177" customFormat="false" ht="15" hidden="false" customHeight="false" outlineLevel="0" collapsed="false">
      <c r="A177" s="9"/>
      <c r="B177" s="9"/>
      <c r="C177" s="9"/>
      <c r="D177" s="16" t="str">
        <f aca="false">IF(C177="","",IFERROR(INDEX(LOOKAHEAD!$B$5:$B$204,MATCH(C177,LOOKAHEAD!$A$5:$A$204,0)),""))</f>
        <v/>
      </c>
      <c r="E177" s="16" t="str">
        <f aca="false">IF(C177="","",IFERROR(INDEX(LOOKAHEAD!$E$5:$E$204,MATCH(C177,LOOKAHEAD!$A$5:$A$204,0)),""))</f>
        <v/>
      </c>
      <c r="F177" s="16" t="str">
        <f aca="false">IF(C177="","",IFERROR(INDEX(LOOKAHEAD!$M$5:$M$204,MATCH(C177,LOOKAHEAD!$A$5:$A$204,0)),""))</f>
        <v/>
      </c>
      <c r="G177" s="9"/>
      <c r="H177" s="9"/>
      <c r="I177" s="16" t="str">
        <f aca="false">IF(C177="","",IFERROR(INDEX(LOOKAHEAD!$G$5:$G$204,MATCH(C177,LOOKAHEAD!$A$5:$A$204,0)),""))</f>
        <v/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36" t="str">
        <f aca="false">IF(C177="","",SUM(J177:O177))</f>
        <v/>
      </c>
      <c r="W177" s="36" t="str">
        <f aca="false">IF(C177="","",SUM(P177:U177))</f>
        <v/>
      </c>
      <c r="X177" s="19" t="str">
        <f aca="false">IF(OR(C177="",V177=0),"",W177/V177)</f>
        <v/>
      </c>
      <c r="Y177" s="16" t="str">
        <f aca="false">IF(OR(C177="",V177=0),"",IF(W177&gt;=V177,"Sí","No"))</f>
        <v/>
      </c>
      <c r="Z177" s="9"/>
      <c r="AA177" s="9"/>
    </row>
    <row r="178" customFormat="false" ht="15" hidden="false" customHeight="false" outlineLevel="0" collapsed="false">
      <c r="A178" s="9"/>
      <c r="B178" s="9"/>
      <c r="C178" s="9"/>
      <c r="D178" s="16" t="str">
        <f aca="false">IF(C178="","",IFERROR(INDEX(LOOKAHEAD!$B$5:$B$204,MATCH(C178,LOOKAHEAD!$A$5:$A$204,0)),""))</f>
        <v/>
      </c>
      <c r="E178" s="16" t="str">
        <f aca="false">IF(C178="","",IFERROR(INDEX(LOOKAHEAD!$E$5:$E$204,MATCH(C178,LOOKAHEAD!$A$5:$A$204,0)),""))</f>
        <v/>
      </c>
      <c r="F178" s="16" t="str">
        <f aca="false">IF(C178="","",IFERROR(INDEX(LOOKAHEAD!$M$5:$M$204,MATCH(C178,LOOKAHEAD!$A$5:$A$204,0)),""))</f>
        <v/>
      </c>
      <c r="G178" s="9"/>
      <c r="H178" s="9"/>
      <c r="I178" s="16" t="str">
        <f aca="false">IF(C178="","",IFERROR(INDEX(LOOKAHEAD!$G$5:$G$204,MATCH(C178,LOOKAHEAD!$A$5:$A$204,0)),""))</f>
        <v/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36" t="str">
        <f aca="false">IF(C178="","",SUM(J178:O178))</f>
        <v/>
      </c>
      <c r="W178" s="36" t="str">
        <f aca="false">IF(C178="","",SUM(P178:U178))</f>
        <v/>
      </c>
      <c r="X178" s="19" t="str">
        <f aca="false">IF(OR(C178="",V178=0),"",W178/V178)</f>
        <v/>
      </c>
      <c r="Y178" s="16" t="str">
        <f aca="false">IF(OR(C178="",V178=0),"",IF(W178&gt;=V178,"Sí","No"))</f>
        <v/>
      </c>
      <c r="Z178" s="9"/>
      <c r="AA178" s="9"/>
    </row>
    <row r="179" customFormat="false" ht="15" hidden="false" customHeight="false" outlineLevel="0" collapsed="false">
      <c r="A179" s="9"/>
      <c r="B179" s="9"/>
      <c r="C179" s="9"/>
      <c r="D179" s="16" t="str">
        <f aca="false">IF(C179="","",IFERROR(INDEX(LOOKAHEAD!$B$5:$B$204,MATCH(C179,LOOKAHEAD!$A$5:$A$204,0)),""))</f>
        <v/>
      </c>
      <c r="E179" s="16" t="str">
        <f aca="false">IF(C179="","",IFERROR(INDEX(LOOKAHEAD!$E$5:$E$204,MATCH(C179,LOOKAHEAD!$A$5:$A$204,0)),""))</f>
        <v/>
      </c>
      <c r="F179" s="16" t="str">
        <f aca="false">IF(C179="","",IFERROR(INDEX(LOOKAHEAD!$M$5:$M$204,MATCH(C179,LOOKAHEAD!$A$5:$A$204,0)),""))</f>
        <v/>
      </c>
      <c r="G179" s="9"/>
      <c r="H179" s="9"/>
      <c r="I179" s="16" t="str">
        <f aca="false">IF(C179="","",IFERROR(INDEX(LOOKAHEAD!$G$5:$G$204,MATCH(C179,LOOKAHEAD!$A$5:$A$204,0)),""))</f>
        <v/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36" t="str">
        <f aca="false">IF(C179="","",SUM(J179:O179))</f>
        <v/>
      </c>
      <c r="W179" s="36" t="str">
        <f aca="false">IF(C179="","",SUM(P179:U179))</f>
        <v/>
      </c>
      <c r="X179" s="19" t="str">
        <f aca="false">IF(OR(C179="",V179=0),"",W179/V179)</f>
        <v/>
      </c>
      <c r="Y179" s="16" t="str">
        <f aca="false">IF(OR(C179="",V179=0),"",IF(W179&gt;=V179,"Sí","No"))</f>
        <v/>
      </c>
      <c r="Z179" s="9"/>
      <c r="AA179" s="9"/>
    </row>
    <row r="180" customFormat="false" ht="15" hidden="false" customHeight="false" outlineLevel="0" collapsed="false">
      <c r="A180" s="9"/>
      <c r="B180" s="9"/>
      <c r="C180" s="9"/>
      <c r="D180" s="16" t="str">
        <f aca="false">IF(C180="","",IFERROR(INDEX(LOOKAHEAD!$B$5:$B$204,MATCH(C180,LOOKAHEAD!$A$5:$A$204,0)),""))</f>
        <v/>
      </c>
      <c r="E180" s="16" t="str">
        <f aca="false">IF(C180="","",IFERROR(INDEX(LOOKAHEAD!$E$5:$E$204,MATCH(C180,LOOKAHEAD!$A$5:$A$204,0)),""))</f>
        <v/>
      </c>
      <c r="F180" s="16" t="str">
        <f aca="false">IF(C180="","",IFERROR(INDEX(LOOKAHEAD!$M$5:$M$204,MATCH(C180,LOOKAHEAD!$A$5:$A$204,0)),""))</f>
        <v/>
      </c>
      <c r="G180" s="9"/>
      <c r="H180" s="9"/>
      <c r="I180" s="16" t="str">
        <f aca="false">IF(C180="","",IFERROR(INDEX(LOOKAHEAD!$G$5:$G$204,MATCH(C180,LOOKAHEAD!$A$5:$A$204,0)),""))</f>
        <v/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36" t="str">
        <f aca="false">IF(C180="","",SUM(J180:O180))</f>
        <v/>
      </c>
      <c r="W180" s="36" t="str">
        <f aca="false">IF(C180="","",SUM(P180:U180))</f>
        <v/>
      </c>
      <c r="X180" s="19" t="str">
        <f aca="false">IF(OR(C180="",V180=0),"",W180/V180)</f>
        <v/>
      </c>
      <c r="Y180" s="16" t="str">
        <f aca="false">IF(OR(C180="",V180=0),"",IF(W180&gt;=V180,"Sí","No"))</f>
        <v/>
      </c>
      <c r="Z180" s="9"/>
      <c r="AA180" s="9"/>
    </row>
    <row r="181" customFormat="false" ht="15" hidden="false" customHeight="false" outlineLevel="0" collapsed="false">
      <c r="A181" s="9"/>
      <c r="B181" s="9"/>
      <c r="C181" s="9"/>
      <c r="D181" s="16" t="str">
        <f aca="false">IF(C181="","",IFERROR(INDEX(LOOKAHEAD!$B$5:$B$204,MATCH(C181,LOOKAHEAD!$A$5:$A$204,0)),""))</f>
        <v/>
      </c>
      <c r="E181" s="16" t="str">
        <f aca="false">IF(C181="","",IFERROR(INDEX(LOOKAHEAD!$E$5:$E$204,MATCH(C181,LOOKAHEAD!$A$5:$A$204,0)),""))</f>
        <v/>
      </c>
      <c r="F181" s="16" t="str">
        <f aca="false">IF(C181="","",IFERROR(INDEX(LOOKAHEAD!$M$5:$M$204,MATCH(C181,LOOKAHEAD!$A$5:$A$204,0)),""))</f>
        <v/>
      </c>
      <c r="G181" s="9"/>
      <c r="H181" s="9"/>
      <c r="I181" s="16" t="str">
        <f aca="false">IF(C181="","",IFERROR(INDEX(LOOKAHEAD!$G$5:$G$204,MATCH(C181,LOOKAHEAD!$A$5:$A$204,0)),""))</f>
        <v/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36" t="str">
        <f aca="false">IF(C181="","",SUM(J181:O181))</f>
        <v/>
      </c>
      <c r="W181" s="36" t="str">
        <f aca="false">IF(C181="","",SUM(P181:U181))</f>
        <v/>
      </c>
      <c r="X181" s="19" t="str">
        <f aca="false">IF(OR(C181="",V181=0),"",W181/V181)</f>
        <v/>
      </c>
      <c r="Y181" s="16" t="str">
        <f aca="false">IF(OR(C181="",V181=0),"",IF(W181&gt;=V181,"Sí","No"))</f>
        <v/>
      </c>
      <c r="Z181" s="9"/>
      <c r="AA181" s="9"/>
    </row>
    <row r="182" customFormat="false" ht="15" hidden="false" customHeight="false" outlineLevel="0" collapsed="false">
      <c r="A182" s="9"/>
      <c r="B182" s="9"/>
      <c r="C182" s="9"/>
      <c r="D182" s="16" t="str">
        <f aca="false">IF(C182="","",IFERROR(INDEX(LOOKAHEAD!$B$5:$B$204,MATCH(C182,LOOKAHEAD!$A$5:$A$204,0)),""))</f>
        <v/>
      </c>
      <c r="E182" s="16" t="str">
        <f aca="false">IF(C182="","",IFERROR(INDEX(LOOKAHEAD!$E$5:$E$204,MATCH(C182,LOOKAHEAD!$A$5:$A$204,0)),""))</f>
        <v/>
      </c>
      <c r="F182" s="16" t="str">
        <f aca="false">IF(C182="","",IFERROR(INDEX(LOOKAHEAD!$M$5:$M$204,MATCH(C182,LOOKAHEAD!$A$5:$A$204,0)),""))</f>
        <v/>
      </c>
      <c r="G182" s="9"/>
      <c r="H182" s="9"/>
      <c r="I182" s="16" t="str">
        <f aca="false">IF(C182="","",IFERROR(INDEX(LOOKAHEAD!$G$5:$G$204,MATCH(C182,LOOKAHEAD!$A$5:$A$204,0)),""))</f>
        <v/>
      </c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36" t="str">
        <f aca="false">IF(C182="","",SUM(J182:O182))</f>
        <v/>
      </c>
      <c r="W182" s="36" t="str">
        <f aca="false">IF(C182="","",SUM(P182:U182))</f>
        <v/>
      </c>
      <c r="X182" s="19" t="str">
        <f aca="false">IF(OR(C182="",V182=0),"",W182/V182)</f>
        <v/>
      </c>
      <c r="Y182" s="16" t="str">
        <f aca="false">IF(OR(C182="",V182=0),"",IF(W182&gt;=V182,"Sí","No"))</f>
        <v/>
      </c>
      <c r="Z182" s="9"/>
      <c r="AA182" s="9"/>
    </row>
    <row r="183" customFormat="false" ht="15" hidden="false" customHeight="false" outlineLevel="0" collapsed="false">
      <c r="A183" s="9"/>
      <c r="B183" s="9"/>
      <c r="C183" s="9"/>
      <c r="D183" s="16" t="str">
        <f aca="false">IF(C183="","",IFERROR(INDEX(LOOKAHEAD!$B$5:$B$204,MATCH(C183,LOOKAHEAD!$A$5:$A$204,0)),""))</f>
        <v/>
      </c>
      <c r="E183" s="16" t="str">
        <f aca="false">IF(C183="","",IFERROR(INDEX(LOOKAHEAD!$E$5:$E$204,MATCH(C183,LOOKAHEAD!$A$5:$A$204,0)),""))</f>
        <v/>
      </c>
      <c r="F183" s="16" t="str">
        <f aca="false">IF(C183="","",IFERROR(INDEX(LOOKAHEAD!$M$5:$M$204,MATCH(C183,LOOKAHEAD!$A$5:$A$204,0)),""))</f>
        <v/>
      </c>
      <c r="G183" s="9"/>
      <c r="H183" s="9"/>
      <c r="I183" s="16" t="str">
        <f aca="false">IF(C183="","",IFERROR(INDEX(LOOKAHEAD!$G$5:$G$204,MATCH(C183,LOOKAHEAD!$A$5:$A$204,0)),""))</f>
        <v/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36" t="str">
        <f aca="false">IF(C183="","",SUM(J183:O183))</f>
        <v/>
      </c>
      <c r="W183" s="36" t="str">
        <f aca="false">IF(C183="","",SUM(P183:U183))</f>
        <v/>
      </c>
      <c r="X183" s="19" t="str">
        <f aca="false">IF(OR(C183="",V183=0),"",W183/V183)</f>
        <v/>
      </c>
      <c r="Y183" s="16" t="str">
        <f aca="false">IF(OR(C183="",V183=0),"",IF(W183&gt;=V183,"Sí","No"))</f>
        <v/>
      </c>
      <c r="Z183" s="9"/>
      <c r="AA183" s="9"/>
    </row>
    <row r="184" customFormat="false" ht="15" hidden="false" customHeight="false" outlineLevel="0" collapsed="false">
      <c r="A184" s="9"/>
      <c r="B184" s="9"/>
      <c r="C184" s="9"/>
      <c r="D184" s="16" t="str">
        <f aca="false">IF(C184="","",IFERROR(INDEX(LOOKAHEAD!$B$5:$B$204,MATCH(C184,LOOKAHEAD!$A$5:$A$204,0)),""))</f>
        <v/>
      </c>
      <c r="E184" s="16" t="str">
        <f aca="false">IF(C184="","",IFERROR(INDEX(LOOKAHEAD!$E$5:$E$204,MATCH(C184,LOOKAHEAD!$A$5:$A$204,0)),""))</f>
        <v/>
      </c>
      <c r="F184" s="16" t="str">
        <f aca="false">IF(C184="","",IFERROR(INDEX(LOOKAHEAD!$M$5:$M$204,MATCH(C184,LOOKAHEAD!$A$5:$A$204,0)),""))</f>
        <v/>
      </c>
      <c r="G184" s="9"/>
      <c r="H184" s="9"/>
      <c r="I184" s="16" t="str">
        <f aca="false">IF(C184="","",IFERROR(INDEX(LOOKAHEAD!$G$5:$G$204,MATCH(C184,LOOKAHEAD!$A$5:$A$204,0)),""))</f>
        <v/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36" t="str">
        <f aca="false">IF(C184="","",SUM(J184:O184))</f>
        <v/>
      </c>
      <c r="W184" s="36" t="str">
        <f aca="false">IF(C184="","",SUM(P184:U184))</f>
        <v/>
      </c>
      <c r="X184" s="19" t="str">
        <f aca="false">IF(OR(C184="",V184=0),"",W184/V184)</f>
        <v/>
      </c>
      <c r="Y184" s="16" t="str">
        <f aca="false">IF(OR(C184="",V184=0),"",IF(W184&gt;=V184,"Sí","No"))</f>
        <v/>
      </c>
      <c r="Z184" s="9"/>
      <c r="AA184" s="9"/>
    </row>
    <row r="185" customFormat="false" ht="15" hidden="false" customHeight="false" outlineLevel="0" collapsed="false">
      <c r="A185" s="9"/>
      <c r="B185" s="9"/>
      <c r="C185" s="9"/>
      <c r="D185" s="16" t="str">
        <f aca="false">IF(C185="","",IFERROR(INDEX(LOOKAHEAD!$B$5:$B$204,MATCH(C185,LOOKAHEAD!$A$5:$A$204,0)),""))</f>
        <v/>
      </c>
      <c r="E185" s="16" t="str">
        <f aca="false">IF(C185="","",IFERROR(INDEX(LOOKAHEAD!$E$5:$E$204,MATCH(C185,LOOKAHEAD!$A$5:$A$204,0)),""))</f>
        <v/>
      </c>
      <c r="F185" s="16" t="str">
        <f aca="false">IF(C185="","",IFERROR(INDEX(LOOKAHEAD!$M$5:$M$204,MATCH(C185,LOOKAHEAD!$A$5:$A$204,0)),""))</f>
        <v/>
      </c>
      <c r="G185" s="9"/>
      <c r="H185" s="9"/>
      <c r="I185" s="16" t="str">
        <f aca="false">IF(C185="","",IFERROR(INDEX(LOOKAHEAD!$G$5:$G$204,MATCH(C185,LOOKAHEAD!$A$5:$A$204,0)),""))</f>
        <v/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36" t="str">
        <f aca="false">IF(C185="","",SUM(J185:O185))</f>
        <v/>
      </c>
      <c r="W185" s="36" t="str">
        <f aca="false">IF(C185="","",SUM(P185:U185))</f>
        <v/>
      </c>
      <c r="X185" s="19" t="str">
        <f aca="false">IF(OR(C185="",V185=0),"",W185/V185)</f>
        <v/>
      </c>
      <c r="Y185" s="16" t="str">
        <f aca="false">IF(OR(C185="",V185=0),"",IF(W185&gt;=V185,"Sí","No"))</f>
        <v/>
      </c>
      <c r="Z185" s="9"/>
      <c r="AA185" s="9"/>
    </row>
    <row r="186" customFormat="false" ht="15" hidden="false" customHeight="false" outlineLevel="0" collapsed="false">
      <c r="A186" s="9"/>
      <c r="B186" s="9"/>
      <c r="C186" s="9"/>
      <c r="D186" s="16" t="str">
        <f aca="false">IF(C186="","",IFERROR(INDEX(LOOKAHEAD!$B$5:$B$204,MATCH(C186,LOOKAHEAD!$A$5:$A$204,0)),""))</f>
        <v/>
      </c>
      <c r="E186" s="16" t="str">
        <f aca="false">IF(C186="","",IFERROR(INDEX(LOOKAHEAD!$E$5:$E$204,MATCH(C186,LOOKAHEAD!$A$5:$A$204,0)),""))</f>
        <v/>
      </c>
      <c r="F186" s="16" t="str">
        <f aca="false">IF(C186="","",IFERROR(INDEX(LOOKAHEAD!$M$5:$M$204,MATCH(C186,LOOKAHEAD!$A$5:$A$204,0)),""))</f>
        <v/>
      </c>
      <c r="G186" s="9"/>
      <c r="H186" s="9"/>
      <c r="I186" s="16" t="str">
        <f aca="false">IF(C186="","",IFERROR(INDEX(LOOKAHEAD!$G$5:$G$204,MATCH(C186,LOOKAHEAD!$A$5:$A$204,0)),""))</f>
        <v/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36" t="str">
        <f aca="false">IF(C186="","",SUM(J186:O186))</f>
        <v/>
      </c>
      <c r="W186" s="36" t="str">
        <f aca="false">IF(C186="","",SUM(P186:U186))</f>
        <v/>
      </c>
      <c r="X186" s="19" t="str">
        <f aca="false">IF(OR(C186="",V186=0),"",W186/V186)</f>
        <v/>
      </c>
      <c r="Y186" s="16" t="str">
        <f aca="false">IF(OR(C186="",V186=0),"",IF(W186&gt;=V186,"Sí","No"))</f>
        <v/>
      </c>
      <c r="Z186" s="9"/>
      <c r="AA186" s="9"/>
    </row>
    <row r="187" customFormat="false" ht="15" hidden="false" customHeight="false" outlineLevel="0" collapsed="false">
      <c r="A187" s="9"/>
      <c r="B187" s="9"/>
      <c r="C187" s="9"/>
      <c r="D187" s="16" t="str">
        <f aca="false">IF(C187="","",IFERROR(INDEX(LOOKAHEAD!$B$5:$B$204,MATCH(C187,LOOKAHEAD!$A$5:$A$204,0)),""))</f>
        <v/>
      </c>
      <c r="E187" s="16" t="str">
        <f aca="false">IF(C187="","",IFERROR(INDEX(LOOKAHEAD!$E$5:$E$204,MATCH(C187,LOOKAHEAD!$A$5:$A$204,0)),""))</f>
        <v/>
      </c>
      <c r="F187" s="16" t="str">
        <f aca="false">IF(C187="","",IFERROR(INDEX(LOOKAHEAD!$M$5:$M$204,MATCH(C187,LOOKAHEAD!$A$5:$A$204,0)),""))</f>
        <v/>
      </c>
      <c r="G187" s="9"/>
      <c r="H187" s="9"/>
      <c r="I187" s="16" t="str">
        <f aca="false">IF(C187="","",IFERROR(INDEX(LOOKAHEAD!$G$5:$G$204,MATCH(C187,LOOKAHEAD!$A$5:$A$204,0)),""))</f>
        <v/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36" t="str">
        <f aca="false">IF(C187="","",SUM(J187:O187))</f>
        <v/>
      </c>
      <c r="W187" s="36" t="str">
        <f aca="false">IF(C187="","",SUM(P187:U187))</f>
        <v/>
      </c>
      <c r="X187" s="19" t="str">
        <f aca="false">IF(OR(C187="",V187=0),"",W187/V187)</f>
        <v/>
      </c>
      <c r="Y187" s="16" t="str">
        <f aca="false">IF(OR(C187="",V187=0),"",IF(W187&gt;=V187,"Sí","No"))</f>
        <v/>
      </c>
      <c r="Z187" s="9"/>
      <c r="AA187" s="9"/>
    </row>
    <row r="188" customFormat="false" ht="15" hidden="false" customHeight="false" outlineLevel="0" collapsed="false">
      <c r="A188" s="9"/>
      <c r="B188" s="9"/>
      <c r="C188" s="9"/>
      <c r="D188" s="16" t="str">
        <f aca="false">IF(C188="","",IFERROR(INDEX(LOOKAHEAD!$B$5:$B$204,MATCH(C188,LOOKAHEAD!$A$5:$A$204,0)),""))</f>
        <v/>
      </c>
      <c r="E188" s="16" t="str">
        <f aca="false">IF(C188="","",IFERROR(INDEX(LOOKAHEAD!$E$5:$E$204,MATCH(C188,LOOKAHEAD!$A$5:$A$204,0)),""))</f>
        <v/>
      </c>
      <c r="F188" s="16" t="str">
        <f aca="false">IF(C188="","",IFERROR(INDEX(LOOKAHEAD!$M$5:$M$204,MATCH(C188,LOOKAHEAD!$A$5:$A$204,0)),""))</f>
        <v/>
      </c>
      <c r="G188" s="9"/>
      <c r="H188" s="9"/>
      <c r="I188" s="16" t="str">
        <f aca="false">IF(C188="","",IFERROR(INDEX(LOOKAHEAD!$G$5:$G$204,MATCH(C188,LOOKAHEAD!$A$5:$A$204,0)),""))</f>
        <v/>
      </c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36" t="str">
        <f aca="false">IF(C188="","",SUM(J188:O188))</f>
        <v/>
      </c>
      <c r="W188" s="36" t="str">
        <f aca="false">IF(C188="","",SUM(P188:U188))</f>
        <v/>
      </c>
      <c r="X188" s="19" t="str">
        <f aca="false">IF(OR(C188="",V188=0),"",W188/V188)</f>
        <v/>
      </c>
      <c r="Y188" s="16" t="str">
        <f aca="false">IF(OR(C188="",V188=0),"",IF(W188&gt;=V188,"Sí","No"))</f>
        <v/>
      </c>
      <c r="Z188" s="9"/>
      <c r="AA188" s="9"/>
    </row>
    <row r="189" customFormat="false" ht="15" hidden="false" customHeight="false" outlineLevel="0" collapsed="false">
      <c r="A189" s="9"/>
      <c r="B189" s="9"/>
      <c r="C189" s="9"/>
      <c r="D189" s="16" t="str">
        <f aca="false">IF(C189="","",IFERROR(INDEX(LOOKAHEAD!$B$5:$B$204,MATCH(C189,LOOKAHEAD!$A$5:$A$204,0)),""))</f>
        <v/>
      </c>
      <c r="E189" s="16" t="str">
        <f aca="false">IF(C189="","",IFERROR(INDEX(LOOKAHEAD!$E$5:$E$204,MATCH(C189,LOOKAHEAD!$A$5:$A$204,0)),""))</f>
        <v/>
      </c>
      <c r="F189" s="16" t="str">
        <f aca="false">IF(C189="","",IFERROR(INDEX(LOOKAHEAD!$M$5:$M$204,MATCH(C189,LOOKAHEAD!$A$5:$A$204,0)),""))</f>
        <v/>
      </c>
      <c r="G189" s="9"/>
      <c r="H189" s="9"/>
      <c r="I189" s="16" t="str">
        <f aca="false">IF(C189="","",IFERROR(INDEX(LOOKAHEAD!$G$5:$G$204,MATCH(C189,LOOKAHEAD!$A$5:$A$204,0)),""))</f>
        <v/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36" t="str">
        <f aca="false">IF(C189="","",SUM(J189:O189))</f>
        <v/>
      </c>
      <c r="W189" s="36" t="str">
        <f aca="false">IF(C189="","",SUM(P189:U189))</f>
        <v/>
      </c>
      <c r="X189" s="19" t="str">
        <f aca="false">IF(OR(C189="",V189=0),"",W189/V189)</f>
        <v/>
      </c>
      <c r="Y189" s="16" t="str">
        <f aca="false">IF(OR(C189="",V189=0),"",IF(W189&gt;=V189,"Sí","No"))</f>
        <v/>
      </c>
      <c r="Z189" s="9"/>
      <c r="AA189" s="9"/>
    </row>
    <row r="190" customFormat="false" ht="15" hidden="false" customHeight="false" outlineLevel="0" collapsed="false">
      <c r="A190" s="9"/>
      <c r="B190" s="9"/>
      <c r="C190" s="9"/>
      <c r="D190" s="16" t="str">
        <f aca="false">IF(C190="","",IFERROR(INDEX(LOOKAHEAD!$B$5:$B$204,MATCH(C190,LOOKAHEAD!$A$5:$A$204,0)),""))</f>
        <v/>
      </c>
      <c r="E190" s="16" t="str">
        <f aca="false">IF(C190="","",IFERROR(INDEX(LOOKAHEAD!$E$5:$E$204,MATCH(C190,LOOKAHEAD!$A$5:$A$204,0)),""))</f>
        <v/>
      </c>
      <c r="F190" s="16" t="str">
        <f aca="false">IF(C190="","",IFERROR(INDEX(LOOKAHEAD!$M$5:$M$204,MATCH(C190,LOOKAHEAD!$A$5:$A$204,0)),""))</f>
        <v/>
      </c>
      <c r="G190" s="9"/>
      <c r="H190" s="9"/>
      <c r="I190" s="16" t="str">
        <f aca="false">IF(C190="","",IFERROR(INDEX(LOOKAHEAD!$G$5:$G$204,MATCH(C190,LOOKAHEAD!$A$5:$A$204,0)),""))</f>
        <v/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36" t="str">
        <f aca="false">IF(C190="","",SUM(J190:O190))</f>
        <v/>
      </c>
      <c r="W190" s="36" t="str">
        <f aca="false">IF(C190="","",SUM(P190:U190))</f>
        <v/>
      </c>
      <c r="X190" s="19" t="str">
        <f aca="false">IF(OR(C190="",V190=0),"",W190/V190)</f>
        <v/>
      </c>
      <c r="Y190" s="16" t="str">
        <f aca="false">IF(OR(C190="",V190=0),"",IF(W190&gt;=V190,"Sí","No"))</f>
        <v/>
      </c>
      <c r="Z190" s="9"/>
      <c r="AA190" s="9"/>
    </row>
    <row r="191" customFormat="false" ht="15" hidden="false" customHeight="false" outlineLevel="0" collapsed="false">
      <c r="A191" s="9"/>
      <c r="B191" s="9"/>
      <c r="C191" s="9"/>
      <c r="D191" s="16" t="str">
        <f aca="false">IF(C191="","",IFERROR(INDEX(LOOKAHEAD!$B$5:$B$204,MATCH(C191,LOOKAHEAD!$A$5:$A$204,0)),""))</f>
        <v/>
      </c>
      <c r="E191" s="16" t="str">
        <f aca="false">IF(C191="","",IFERROR(INDEX(LOOKAHEAD!$E$5:$E$204,MATCH(C191,LOOKAHEAD!$A$5:$A$204,0)),""))</f>
        <v/>
      </c>
      <c r="F191" s="16" t="str">
        <f aca="false">IF(C191="","",IFERROR(INDEX(LOOKAHEAD!$M$5:$M$204,MATCH(C191,LOOKAHEAD!$A$5:$A$204,0)),""))</f>
        <v/>
      </c>
      <c r="G191" s="9"/>
      <c r="H191" s="9"/>
      <c r="I191" s="16" t="str">
        <f aca="false">IF(C191="","",IFERROR(INDEX(LOOKAHEAD!$G$5:$G$204,MATCH(C191,LOOKAHEAD!$A$5:$A$204,0)),""))</f>
        <v/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36" t="str">
        <f aca="false">IF(C191="","",SUM(J191:O191))</f>
        <v/>
      </c>
      <c r="W191" s="36" t="str">
        <f aca="false">IF(C191="","",SUM(P191:U191))</f>
        <v/>
      </c>
      <c r="X191" s="19" t="str">
        <f aca="false">IF(OR(C191="",V191=0),"",W191/V191)</f>
        <v/>
      </c>
      <c r="Y191" s="16" t="str">
        <f aca="false">IF(OR(C191="",V191=0),"",IF(W191&gt;=V191,"Sí","No"))</f>
        <v/>
      </c>
      <c r="Z191" s="9"/>
      <c r="AA191" s="9"/>
    </row>
    <row r="192" customFormat="false" ht="15" hidden="false" customHeight="false" outlineLevel="0" collapsed="false">
      <c r="A192" s="9"/>
      <c r="B192" s="9"/>
      <c r="C192" s="9"/>
      <c r="D192" s="16" t="str">
        <f aca="false">IF(C192="","",IFERROR(INDEX(LOOKAHEAD!$B$5:$B$204,MATCH(C192,LOOKAHEAD!$A$5:$A$204,0)),""))</f>
        <v/>
      </c>
      <c r="E192" s="16" t="str">
        <f aca="false">IF(C192="","",IFERROR(INDEX(LOOKAHEAD!$E$5:$E$204,MATCH(C192,LOOKAHEAD!$A$5:$A$204,0)),""))</f>
        <v/>
      </c>
      <c r="F192" s="16" t="str">
        <f aca="false">IF(C192="","",IFERROR(INDEX(LOOKAHEAD!$M$5:$M$204,MATCH(C192,LOOKAHEAD!$A$5:$A$204,0)),""))</f>
        <v/>
      </c>
      <c r="G192" s="9"/>
      <c r="H192" s="9"/>
      <c r="I192" s="16" t="str">
        <f aca="false">IF(C192="","",IFERROR(INDEX(LOOKAHEAD!$G$5:$G$204,MATCH(C192,LOOKAHEAD!$A$5:$A$204,0)),""))</f>
        <v/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36" t="str">
        <f aca="false">IF(C192="","",SUM(J192:O192))</f>
        <v/>
      </c>
      <c r="W192" s="36" t="str">
        <f aca="false">IF(C192="","",SUM(P192:U192))</f>
        <v/>
      </c>
      <c r="X192" s="19" t="str">
        <f aca="false">IF(OR(C192="",V192=0),"",W192/V192)</f>
        <v/>
      </c>
      <c r="Y192" s="16" t="str">
        <f aca="false">IF(OR(C192="",V192=0),"",IF(W192&gt;=V192,"Sí","No"))</f>
        <v/>
      </c>
      <c r="Z192" s="9"/>
      <c r="AA192" s="9"/>
    </row>
    <row r="193" customFormat="false" ht="15" hidden="false" customHeight="false" outlineLevel="0" collapsed="false">
      <c r="A193" s="9"/>
      <c r="B193" s="9"/>
      <c r="C193" s="9"/>
      <c r="D193" s="16" t="str">
        <f aca="false">IF(C193="","",IFERROR(INDEX(LOOKAHEAD!$B$5:$B$204,MATCH(C193,LOOKAHEAD!$A$5:$A$204,0)),""))</f>
        <v/>
      </c>
      <c r="E193" s="16" t="str">
        <f aca="false">IF(C193="","",IFERROR(INDEX(LOOKAHEAD!$E$5:$E$204,MATCH(C193,LOOKAHEAD!$A$5:$A$204,0)),""))</f>
        <v/>
      </c>
      <c r="F193" s="16" t="str">
        <f aca="false">IF(C193="","",IFERROR(INDEX(LOOKAHEAD!$M$5:$M$204,MATCH(C193,LOOKAHEAD!$A$5:$A$204,0)),""))</f>
        <v/>
      </c>
      <c r="G193" s="9"/>
      <c r="H193" s="9"/>
      <c r="I193" s="16" t="str">
        <f aca="false">IF(C193="","",IFERROR(INDEX(LOOKAHEAD!$G$5:$G$204,MATCH(C193,LOOKAHEAD!$A$5:$A$204,0)),""))</f>
        <v/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36" t="str">
        <f aca="false">IF(C193="","",SUM(J193:O193))</f>
        <v/>
      </c>
      <c r="W193" s="36" t="str">
        <f aca="false">IF(C193="","",SUM(P193:U193))</f>
        <v/>
      </c>
      <c r="X193" s="19" t="str">
        <f aca="false">IF(OR(C193="",V193=0),"",W193/V193)</f>
        <v/>
      </c>
      <c r="Y193" s="16" t="str">
        <f aca="false">IF(OR(C193="",V193=0),"",IF(W193&gt;=V193,"Sí","No"))</f>
        <v/>
      </c>
      <c r="Z193" s="9"/>
      <c r="AA193" s="9"/>
    </row>
    <row r="194" customFormat="false" ht="15" hidden="false" customHeight="false" outlineLevel="0" collapsed="false">
      <c r="A194" s="9"/>
      <c r="B194" s="9"/>
      <c r="C194" s="9"/>
      <c r="D194" s="16" t="str">
        <f aca="false">IF(C194="","",IFERROR(INDEX(LOOKAHEAD!$B$5:$B$204,MATCH(C194,LOOKAHEAD!$A$5:$A$204,0)),""))</f>
        <v/>
      </c>
      <c r="E194" s="16" t="str">
        <f aca="false">IF(C194="","",IFERROR(INDEX(LOOKAHEAD!$E$5:$E$204,MATCH(C194,LOOKAHEAD!$A$5:$A$204,0)),""))</f>
        <v/>
      </c>
      <c r="F194" s="16" t="str">
        <f aca="false">IF(C194="","",IFERROR(INDEX(LOOKAHEAD!$M$5:$M$204,MATCH(C194,LOOKAHEAD!$A$5:$A$204,0)),""))</f>
        <v/>
      </c>
      <c r="G194" s="9"/>
      <c r="H194" s="9"/>
      <c r="I194" s="16" t="str">
        <f aca="false">IF(C194="","",IFERROR(INDEX(LOOKAHEAD!$G$5:$G$204,MATCH(C194,LOOKAHEAD!$A$5:$A$204,0)),""))</f>
        <v/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36" t="str">
        <f aca="false">IF(C194="","",SUM(J194:O194))</f>
        <v/>
      </c>
      <c r="W194" s="36" t="str">
        <f aca="false">IF(C194="","",SUM(P194:U194))</f>
        <v/>
      </c>
      <c r="X194" s="19" t="str">
        <f aca="false">IF(OR(C194="",V194=0),"",W194/V194)</f>
        <v/>
      </c>
      <c r="Y194" s="16" t="str">
        <f aca="false">IF(OR(C194="",V194=0),"",IF(W194&gt;=V194,"Sí","No"))</f>
        <v/>
      </c>
      <c r="Z194" s="9"/>
      <c r="AA194" s="9"/>
    </row>
    <row r="195" customFormat="false" ht="15" hidden="false" customHeight="false" outlineLevel="0" collapsed="false">
      <c r="A195" s="9"/>
      <c r="B195" s="9"/>
      <c r="C195" s="9"/>
      <c r="D195" s="16" t="str">
        <f aca="false">IF(C195="","",IFERROR(INDEX(LOOKAHEAD!$B$5:$B$204,MATCH(C195,LOOKAHEAD!$A$5:$A$204,0)),""))</f>
        <v/>
      </c>
      <c r="E195" s="16" t="str">
        <f aca="false">IF(C195="","",IFERROR(INDEX(LOOKAHEAD!$E$5:$E$204,MATCH(C195,LOOKAHEAD!$A$5:$A$204,0)),""))</f>
        <v/>
      </c>
      <c r="F195" s="16" t="str">
        <f aca="false">IF(C195="","",IFERROR(INDEX(LOOKAHEAD!$M$5:$M$204,MATCH(C195,LOOKAHEAD!$A$5:$A$204,0)),""))</f>
        <v/>
      </c>
      <c r="G195" s="9"/>
      <c r="H195" s="9"/>
      <c r="I195" s="16" t="str">
        <f aca="false">IF(C195="","",IFERROR(INDEX(LOOKAHEAD!$G$5:$G$204,MATCH(C195,LOOKAHEAD!$A$5:$A$204,0)),""))</f>
        <v/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36" t="str">
        <f aca="false">IF(C195="","",SUM(J195:O195))</f>
        <v/>
      </c>
      <c r="W195" s="36" t="str">
        <f aca="false">IF(C195="","",SUM(P195:U195))</f>
        <v/>
      </c>
      <c r="X195" s="19" t="str">
        <f aca="false">IF(OR(C195="",V195=0),"",W195/V195)</f>
        <v/>
      </c>
      <c r="Y195" s="16" t="str">
        <f aca="false">IF(OR(C195="",V195=0),"",IF(W195&gt;=V195,"Sí","No"))</f>
        <v/>
      </c>
      <c r="Z195" s="9"/>
      <c r="AA195" s="9"/>
    </row>
    <row r="196" customFormat="false" ht="15" hidden="false" customHeight="false" outlineLevel="0" collapsed="false">
      <c r="A196" s="9"/>
      <c r="B196" s="9"/>
      <c r="C196" s="9"/>
      <c r="D196" s="16" t="str">
        <f aca="false">IF(C196="","",IFERROR(INDEX(LOOKAHEAD!$B$5:$B$204,MATCH(C196,LOOKAHEAD!$A$5:$A$204,0)),""))</f>
        <v/>
      </c>
      <c r="E196" s="16" t="str">
        <f aca="false">IF(C196="","",IFERROR(INDEX(LOOKAHEAD!$E$5:$E$204,MATCH(C196,LOOKAHEAD!$A$5:$A$204,0)),""))</f>
        <v/>
      </c>
      <c r="F196" s="16" t="str">
        <f aca="false">IF(C196="","",IFERROR(INDEX(LOOKAHEAD!$M$5:$M$204,MATCH(C196,LOOKAHEAD!$A$5:$A$204,0)),""))</f>
        <v/>
      </c>
      <c r="G196" s="9"/>
      <c r="H196" s="9"/>
      <c r="I196" s="16" t="str">
        <f aca="false">IF(C196="","",IFERROR(INDEX(LOOKAHEAD!$G$5:$G$204,MATCH(C196,LOOKAHEAD!$A$5:$A$204,0)),""))</f>
        <v/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36" t="str">
        <f aca="false">IF(C196="","",SUM(J196:O196))</f>
        <v/>
      </c>
      <c r="W196" s="36" t="str">
        <f aca="false">IF(C196="","",SUM(P196:U196))</f>
        <v/>
      </c>
      <c r="X196" s="19" t="str">
        <f aca="false">IF(OR(C196="",V196=0),"",W196/V196)</f>
        <v/>
      </c>
      <c r="Y196" s="16" t="str">
        <f aca="false">IF(OR(C196="",V196=0),"",IF(W196&gt;=V196,"Sí","No"))</f>
        <v/>
      </c>
      <c r="Z196" s="9"/>
      <c r="AA196" s="9"/>
    </row>
    <row r="197" customFormat="false" ht="15" hidden="false" customHeight="false" outlineLevel="0" collapsed="false">
      <c r="A197" s="9"/>
      <c r="B197" s="9"/>
      <c r="C197" s="9"/>
      <c r="D197" s="16" t="str">
        <f aca="false">IF(C197="","",IFERROR(INDEX(LOOKAHEAD!$B$5:$B$204,MATCH(C197,LOOKAHEAD!$A$5:$A$204,0)),""))</f>
        <v/>
      </c>
      <c r="E197" s="16" t="str">
        <f aca="false">IF(C197="","",IFERROR(INDEX(LOOKAHEAD!$E$5:$E$204,MATCH(C197,LOOKAHEAD!$A$5:$A$204,0)),""))</f>
        <v/>
      </c>
      <c r="F197" s="16" t="str">
        <f aca="false">IF(C197="","",IFERROR(INDEX(LOOKAHEAD!$M$5:$M$204,MATCH(C197,LOOKAHEAD!$A$5:$A$204,0)),""))</f>
        <v/>
      </c>
      <c r="G197" s="9"/>
      <c r="H197" s="9"/>
      <c r="I197" s="16" t="str">
        <f aca="false">IF(C197="","",IFERROR(INDEX(LOOKAHEAD!$G$5:$G$204,MATCH(C197,LOOKAHEAD!$A$5:$A$204,0)),""))</f>
        <v/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36" t="str">
        <f aca="false">IF(C197="","",SUM(J197:O197))</f>
        <v/>
      </c>
      <c r="W197" s="36" t="str">
        <f aca="false">IF(C197="","",SUM(P197:U197))</f>
        <v/>
      </c>
      <c r="X197" s="19" t="str">
        <f aca="false">IF(OR(C197="",V197=0),"",W197/V197)</f>
        <v/>
      </c>
      <c r="Y197" s="16" t="str">
        <f aca="false">IF(OR(C197="",V197=0),"",IF(W197&gt;=V197,"Sí","No"))</f>
        <v/>
      </c>
      <c r="Z197" s="9"/>
      <c r="AA197" s="9"/>
    </row>
    <row r="198" customFormat="false" ht="15" hidden="false" customHeight="false" outlineLevel="0" collapsed="false">
      <c r="A198" s="9"/>
      <c r="B198" s="9"/>
      <c r="C198" s="9"/>
      <c r="D198" s="16" t="str">
        <f aca="false">IF(C198="","",IFERROR(INDEX(LOOKAHEAD!$B$5:$B$204,MATCH(C198,LOOKAHEAD!$A$5:$A$204,0)),""))</f>
        <v/>
      </c>
      <c r="E198" s="16" t="str">
        <f aca="false">IF(C198="","",IFERROR(INDEX(LOOKAHEAD!$E$5:$E$204,MATCH(C198,LOOKAHEAD!$A$5:$A$204,0)),""))</f>
        <v/>
      </c>
      <c r="F198" s="16" t="str">
        <f aca="false">IF(C198="","",IFERROR(INDEX(LOOKAHEAD!$M$5:$M$204,MATCH(C198,LOOKAHEAD!$A$5:$A$204,0)),""))</f>
        <v/>
      </c>
      <c r="G198" s="9"/>
      <c r="H198" s="9"/>
      <c r="I198" s="16" t="str">
        <f aca="false">IF(C198="","",IFERROR(INDEX(LOOKAHEAD!$G$5:$G$204,MATCH(C198,LOOKAHEAD!$A$5:$A$204,0)),""))</f>
        <v/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36" t="str">
        <f aca="false">IF(C198="","",SUM(J198:O198))</f>
        <v/>
      </c>
      <c r="W198" s="36" t="str">
        <f aca="false">IF(C198="","",SUM(P198:U198))</f>
        <v/>
      </c>
      <c r="X198" s="19" t="str">
        <f aca="false">IF(OR(C198="",V198=0),"",W198/V198)</f>
        <v/>
      </c>
      <c r="Y198" s="16" t="str">
        <f aca="false">IF(OR(C198="",V198=0),"",IF(W198&gt;=V198,"Sí","No"))</f>
        <v/>
      </c>
      <c r="Z198" s="9"/>
      <c r="AA198" s="9"/>
    </row>
    <row r="199" customFormat="false" ht="15" hidden="false" customHeight="false" outlineLevel="0" collapsed="false">
      <c r="A199" s="9"/>
      <c r="B199" s="9"/>
      <c r="C199" s="9"/>
      <c r="D199" s="16" t="str">
        <f aca="false">IF(C199="","",IFERROR(INDEX(LOOKAHEAD!$B$5:$B$204,MATCH(C199,LOOKAHEAD!$A$5:$A$204,0)),""))</f>
        <v/>
      </c>
      <c r="E199" s="16" t="str">
        <f aca="false">IF(C199="","",IFERROR(INDEX(LOOKAHEAD!$E$5:$E$204,MATCH(C199,LOOKAHEAD!$A$5:$A$204,0)),""))</f>
        <v/>
      </c>
      <c r="F199" s="16" t="str">
        <f aca="false">IF(C199="","",IFERROR(INDEX(LOOKAHEAD!$M$5:$M$204,MATCH(C199,LOOKAHEAD!$A$5:$A$204,0)),""))</f>
        <v/>
      </c>
      <c r="G199" s="9"/>
      <c r="H199" s="9"/>
      <c r="I199" s="16" t="str">
        <f aca="false">IF(C199="","",IFERROR(INDEX(LOOKAHEAD!$G$5:$G$204,MATCH(C199,LOOKAHEAD!$A$5:$A$204,0)),""))</f>
        <v/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36" t="str">
        <f aca="false">IF(C199="","",SUM(J199:O199))</f>
        <v/>
      </c>
      <c r="W199" s="36" t="str">
        <f aca="false">IF(C199="","",SUM(P199:U199))</f>
        <v/>
      </c>
      <c r="X199" s="19" t="str">
        <f aca="false">IF(OR(C199="",V199=0),"",W199/V199)</f>
        <v/>
      </c>
      <c r="Y199" s="16" t="str">
        <f aca="false">IF(OR(C199="",V199=0),"",IF(W199&gt;=V199,"Sí","No"))</f>
        <v/>
      </c>
      <c r="Z199" s="9"/>
      <c r="AA199" s="9"/>
    </row>
    <row r="200" customFormat="false" ht="15" hidden="false" customHeight="false" outlineLevel="0" collapsed="false">
      <c r="A200" s="9"/>
      <c r="B200" s="9"/>
      <c r="C200" s="9"/>
      <c r="D200" s="16" t="str">
        <f aca="false">IF(C200="","",IFERROR(INDEX(LOOKAHEAD!$B$5:$B$204,MATCH(C200,LOOKAHEAD!$A$5:$A$204,0)),""))</f>
        <v/>
      </c>
      <c r="E200" s="16" t="str">
        <f aca="false">IF(C200="","",IFERROR(INDEX(LOOKAHEAD!$E$5:$E$204,MATCH(C200,LOOKAHEAD!$A$5:$A$204,0)),""))</f>
        <v/>
      </c>
      <c r="F200" s="16" t="str">
        <f aca="false">IF(C200="","",IFERROR(INDEX(LOOKAHEAD!$M$5:$M$204,MATCH(C200,LOOKAHEAD!$A$5:$A$204,0)),""))</f>
        <v/>
      </c>
      <c r="G200" s="9"/>
      <c r="H200" s="9"/>
      <c r="I200" s="16" t="str">
        <f aca="false">IF(C200="","",IFERROR(INDEX(LOOKAHEAD!$G$5:$G$204,MATCH(C200,LOOKAHEAD!$A$5:$A$204,0)),""))</f>
        <v/>
      </c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36" t="str">
        <f aca="false">IF(C200="","",SUM(J200:O200))</f>
        <v/>
      </c>
      <c r="W200" s="36" t="str">
        <f aca="false">IF(C200="","",SUM(P200:U200))</f>
        <v/>
      </c>
      <c r="X200" s="19" t="str">
        <f aca="false">IF(OR(C200="",V200=0),"",W200/V200)</f>
        <v/>
      </c>
      <c r="Y200" s="16" t="str">
        <f aca="false">IF(OR(C200="",V200=0),"",IF(W200&gt;=V200,"Sí","No"))</f>
        <v/>
      </c>
      <c r="Z200" s="9"/>
      <c r="AA200" s="9"/>
    </row>
    <row r="201" customFormat="false" ht="15" hidden="false" customHeight="false" outlineLevel="0" collapsed="false">
      <c r="A201" s="9"/>
      <c r="B201" s="9"/>
      <c r="C201" s="9"/>
      <c r="D201" s="16" t="str">
        <f aca="false">IF(C201="","",IFERROR(INDEX(LOOKAHEAD!$B$5:$B$204,MATCH(C201,LOOKAHEAD!$A$5:$A$204,0)),""))</f>
        <v/>
      </c>
      <c r="E201" s="16" t="str">
        <f aca="false">IF(C201="","",IFERROR(INDEX(LOOKAHEAD!$E$5:$E$204,MATCH(C201,LOOKAHEAD!$A$5:$A$204,0)),""))</f>
        <v/>
      </c>
      <c r="F201" s="16" t="str">
        <f aca="false">IF(C201="","",IFERROR(INDEX(LOOKAHEAD!$M$5:$M$204,MATCH(C201,LOOKAHEAD!$A$5:$A$204,0)),""))</f>
        <v/>
      </c>
      <c r="G201" s="9"/>
      <c r="H201" s="9"/>
      <c r="I201" s="16" t="str">
        <f aca="false">IF(C201="","",IFERROR(INDEX(LOOKAHEAD!$G$5:$G$204,MATCH(C201,LOOKAHEAD!$A$5:$A$204,0)),""))</f>
        <v/>
      </c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36" t="str">
        <f aca="false">IF(C201="","",SUM(J201:O201))</f>
        <v/>
      </c>
      <c r="W201" s="36" t="str">
        <f aca="false">IF(C201="","",SUM(P201:U201))</f>
        <v/>
      </c>
      <c r="X201" s="19" t="str">
        <f aca="false">IF(OR(C201="",V201=0),"",W201/V201)</f>
        <v/>
      </c>
      <c r="Y201" s="16" t="str">
        <f aca="false">IF(OR(C201="",V201=0),"",IF(W201&gt;=V201,"Sí","No"))</f>
        <v/>
      </c>
      <c r="Z201" s="9"/>
      <c r="AA201" s="9"/>
    </row>
    <row r="202" customFormat="false" ht="15" hidden="false" customHeight="false" outlineLevel="0" collapsed="false">
      <c r="A202" s="9"/>
      <c r="B202" s="9"/>
      <c r="C202" s="9"/>
      <c r="D202" s="16" t="str">
        <f aca="false">IF(C202="","",IFERROR(INDEX(LOOKAHEAD!$B$5:$B$204,MATCH(C202,LOOKAHEAD!$A$5:$A$204,0)),""))</f>
        <v/>
      </c>
      <c r="E202" s="16" t="str">
        <f aca="false">IF(C202="","",IFERROR(INDEX(LOOKAHEAD!$E$5:$E$204,MATCH(C202,LOOKAHEAD!$A$5:$A$204,0)),""))</f>
        <v/>
      </c>
      <c r="F202" s="16" t="str">
        <f aca="false">IF(C202="","",IFERROR(INDEX(LOOKAHEAD!$M$5:$M$204,MATCH(C202,LOOKAHEAD!$A$5:$A$204,0)),""))</f>
        <v/>
      </c>
      <c r="G202" s="9"/>
      <c r="H202" s="9"/>
      <c r="I202" s="16" t="str">
        <f aca="false">IF(C202="","",IFERROR(INDEX(LOOKAHEAD!$G$5:$G$204,MATCH(C202,LOOKAHEAD!$A$5:$A$204,0)),""))</f>
        <v/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36" t="str">
        <f aca="false">IF(C202="","",SUM(J202:O202))</f>
        <v/>
      </c>
      <c r="W202" s="36" t="str">
        <f aca="false">IF(C202="","",SUM(P202:U202))</f>
        <v/>
      </c>
      <c r="X202" s="19" t="str">
        <f aca="false">IF(OR(C202="",V202=0),"",W202/V202)</f>
        <v/>
      </c>
      <c r="Y202" s="16" t="str">
        <f aca="false">IF(OR(C202="",V202=0),"",IF(W202&gt;=V202,"Sí","No"))</f>
        <v/>
      </c>
      <c r="Z202" s="9"/>
      <c r="AA202" s="9"/>
    </row>
    <row r="203" customFormat="false" ht="15" hidden="false" customHeight="false" outlineLevel="0" collapsed="false">
      <c r="A203" s="9"/>
      <c r="B203" s="9"/>
      <c r="C203" s="9"/>
      <c r="D203" s="16" t="str">
        <f aca="false">IF(C203="","",IFERROR(INDEX(LOOKAHEAD!$B$5:$B$204,MATCH(C203,LOOKAHEAD!$A$5:$A$204,0)),""))</f>
        <v/>
      </c>
      <c r="E203" s="16" t="str">
        <f aca="false">IF(C203="","",IFERROR(INDEX(LOOKAHEAD!$E$5:$E$204,MATCH(C203,LOOKAHEAD!$A$5:$A$204,0)),""))</f>
        <v/>
      </c>
      <c r="F203" s="16" t="str">
        <f aca="false">IF(C203="","",IFERROR(INDEX(LOOKAHEAD!$M$5:$M$204,MATCH(C203,LOOKAHEAD!$A$5:$A$204,0)),""))</f>
        <v/>
      </c>
      <c r="G203" s="9"/>
      <c r="H203" s="9"/>
      <c r="I203" s="16" t="str">
        <f aca="false">IF(C203="","",IFERROR(INDEX(LOOKAHEAD!$G$5:$G$204,MATCH(C203,LOOKAHEAD!$A$5:$A$204,0)),""))</f>
        <v/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36" t="str">
        <f aca="false">IF(C203="","",SUM(J203:O203))</f>
        <v/>
      </c>
      <c r="W203" s="36" t="str">
        <f aca="false">IF(C203="","",SUM(P203:U203))</f>
        <v/>
      </c>
      <c r="X203" s="19" t="str">
        <f aca="false">IF(OR(C203="",V203=0),"",W203/V203)</f>
        <v/>
      </c>
      <c r="Y203" s="16" t="str">
        <f aca="false">IF(OR(C203="",V203=0),"",IF(W203&gt;=V203,"Sí","No"))</f>
        <v/>
      </c>
      <c r="Z203" s="9"/>
      <c r="AA203" s="9"/>
    </row>
    <row r="204" customFormat="false" ht="15" hidden="false" customHeight="false" outlineLevel="0" collapsed="false">
      <c r="A204" s="9"/>
      <c r="B204" s="9"/>
      <c r="C204" s="9"/>
      <c r="D204" s="16" t="str">
        <f aca="false">IF(C204="","",IFERROR(INDEX(LOOKAHEAD!$B$5:$B$204,MATCH(C204,LOOKAHEAD!$A$5:$A$204,0)),""))</f>
        <v/>
      </c>
      <c r="E204" s="16" t="str">
        <f aca="false">IF(C204="","",IFERROR(INDEX(LOOKAHEAD!$E$5:$E$204,MATCH(C204,LOOKAHEAD!$A$5:$A$204,0)),""))</f>
        <v/>
      </c>
      <c r="F204" s="16" t="str">
        <f aca="false">IF(C204="","",IFERROR(INDEX(LOOKAHEAD!$M$5:$M$204,MATCH(C204,LOOKAHEAD!$A$5:$A$204,0)),""))</f>
        <v/>
      </c>
      <c r="G204" s="9"/>
      <c r="H204" s="9"/>
      <c r="I204" s="16" t="str">
        <f aca="false">IF(C204="","",IFERROR(INDEX(LOOKAHEAD!$G$5:$G$204,MATCH(C204,LOOKAHEAD!$A$5:$A$204,0)),""))</f>
        <v/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36" t="str">
        <f aca="false">IF(C204="","",SUM(J204:O204))</f>
        <v/>
      </c>
      <c r="W204" s="36" t="str">
        <f aca="false">IF(C204="","",SUM(P204:U204))</f>
        <v/>
      </c>
      <c r="X204" s="19" t="str">
        <f aca="false">IF(OR(C204="",V204=0),"",W204/V204)</f>
        <v/>
      </c>
      <c r="Y204" s="16" t="str">
        <f aca="false">IF(OR(C204="",V204=0),"",IF(W204&gt;=V204,"Sí","No"))</f>
        <v/>
      </c>
      <c r="Z204" s="9"/>
      <c r="AA204" s="9"/>
    </row>
    <row r="205" customFormat="false" ht="15" hidden="false" customHeight="false" outlineLevel="0" collapsed="false">
      <c r="A205" s="9"/>
      <c r="B205" s="9"/>
      <c r="C205" s="9"/>
      <c r="D205" s="16" t="str">
        <f aca="false">IF(C205="","",IFERROR(INDEX(LOOKAHEAD!$B$5:$B$204,MATCH(C205,LOOKAHEAD!$A$5:$A$204,0)),""))</f>
        <v/>
      </c>
      <c r="E205" s="16" t="str">
        <f aca="false">IF(C205="","",IFERROR(INDEX(LOOKAHEAD!$E$5:$E$204,MATCH(C205,LOOKAHEAD!$A$5:$A$204,0)),""))</f>
        <v/>
      </c>
      <c r="F205" s="16" t="str">
        <f aca="false">IF(C205="","",IFERROR(INDEX(LOOKAHEAD!$M$5:$M$204,MATCH(C205,LOOKAHEAD!$A$5:$A$204,0)),""))</f>
        <v/>
      </c>
      <c r="G205" s="9"/>
      <c r="H205" s="9"/>
      <c r="I205" s="16" t="str">
        <f aca="false">IF(C205="","",IFERROR(INDEX(LOOKAHEAD!$G$5:$G$204,MATCH(C205,LOOKAHEAD!$A$5:$A$204,0)),""))</f>
        <v/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36" t="str">
        <f aca="false">IF(C205="","",SUM(J205:O205))</f>
        <v/>
      </c>
      <c r="W205" s="36" t="str">
        <f aca="false">IF(C205="","",SUM(P205:U205))</f>
        <v/>
      </c>
      <c r="X205" s="19" t="str">
        <f aca="false">IF(OR(C205="",V205=0),"",W205/V205)</f>
        <v/>
      </c>
      <c r="Y205" s="16" t="str">
        <f aca="false">IF(OR(C205="",V205=0),"",IF(W205&gt;=V205,"Sí","No"))</f>
        <v/>
      </c>
      <c r="Z205" s="9"/>
      <c r="AA205" s="9"/>
    </row>
    <row r="206" customFormat="false" ht="15" hidden="false" customHeight="false" outlineLevel="0" collapsed="false">
      <c r="A206" s="9"/>
      <c r="B206" s="9"/>
      <c r="C206" s="9"/>
      <c r="D206" s="16" t="str">
        <f aca="false">IF(C206="","",IFERROR(INDEX(LOOKAHEAD!$B$5:$B$204,MATCH(C206,LOOKAHEAD!$A$5:$A$204,0)),""))</f>
        <v/>
      </c>
      <c r="E206" s="16" t="str">
        <f aca="false">IF(C206="","",IFERROR(INDEX(LOOKAHEAD!$E$5:$E$204,MATCH(C206,LOOKAHEAD!$A$5:$A$204,0)),""))</f>
        <v/>
      </c>
      <c r="F206" s="16" t="str">
        <f aca="false">IF(C206="","",IFERROR(INDEX(LOOKAHEAD!$M$5:$M$204,MATCH(C206,LOOKAHEAD!$A$5:$A$204,0)),""))</f>
        <v/>
      </c>
      <c r="G206" s="9"/>
      <c r="H206" s="9"/>
      <c r="I206" s="16" t="str">
        <f aca="false">IF(C206="","",IFERROR(INDEX(LOOKAHEAD!$G$5:$G$204,MATCH(C206,LOOKAHEAD!$A$5:$A$204,0)),""))</f>
        <v/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36" t="str">
        <f aca="false">IF(C206="","",SUM(J206:O206))</f>
        <v/>
      </c>
      <c r="W206" s="36" t="str">
        <f aca="false">IF(C206="","",SUM(P206:U206))</f>
        <v/>
      </c>
      <c r="X206" s="19" t="str">
        <f aca="false">IF(OR(C206="",V206=0),"",W206/V206)</f>
        <v/>
      </c>
      <c r="Y206" s="16" t="str">
        <f aca="false">IF(OR(C206="",V206=0),"",IF(W206&gt;=V206,"Sí","No"))</f>
        <v/>
      </c>
      <c r="Z206" s="9"/>
      <c r="AA206" s="9"/>
    </row>
    <row r="207" customFormat="false" ht="15" hidden="false" customHeight="false" outlineLevel="0" collapsed="false">
      <c r="A207" s="9"/>
      <c r="B207" s="9"/>
      <c r="C207" s="9"/>
      <c r="D207" s="16" t="str">
        <f aca="false">IF(C207="","",IFERROR(INDEX(LOOKAHEAD!$B$5:$B$204,MATCH(C207,LOOKAHEAD!$A$5:$A$204,0)),""))</f>
        <v/>
      </c>
      <c r="E207" s="16" t="str">
        <f aca="false">IF(C207="","",IFERROR(INDEX(LOOKAHEAD!$E$5:$E$204,MATCH(C207,LOOKAHEAD!$A$5:$A$204,0)),""))</f>
        <v/>
      </c>
      <c r="F207" s="16" t="str">
        <f aca="false">IF(C207="","",IFERROR(INDEX(LOOKAHEAD!$M$5:$M$204,MATCH(C207,LOOKAHEAD!$A$5:$A$204,0)),""))</f>
        <v/>
      </c>
      <c r="G207" s="9"/>
      <c r="H207" s="9"/>
      <c r="I207" s="16" t="str">
        <f aca="false">IF(C207="","",IFERROR(INDEX(LOOKAHEAD!$G$5:$G$204,MATCH(C207,LOOKAHEAD!$A$5:$A$204,0)),""))</f>
        <v/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36" t="str">
        <f aca="false">IF(C207="","",SUM(J207:O207))</f>
        <v/>
      </c>
      <c r="W207" s="36" t="str">
        <f aca="false">IF(C207="","",SUM(P207:U207))</f>
        <v/>
      </c>
      <c r="X207" s="19" t="str">
        <f aca="false">IF(OR(C207="",V207=0),"",W207/V207)</f>
        <v/>
      </c>
      <c r="Y207" s="16" t="str">
        <f aca="false">IF(OR(C207="",V207=0),"",IF(W207&gt;=V207,"Sí","No"))</f>
        <v/>
      </c>
      <c r="Z207" s="9"/>
      <c r="AA207" s="9"/>
    </row>
    <row r="208" customFormat="false" ht="15" hidden="false" customHeight="false" outlineLevel="0" collapsed="false">
      <c r="A208" s="9"/>
      <c r="B208" s="9"/>
      <c r="C208" s="9"/>
      <c r="D208" s="16" t="str">
        <f aca="false">IF(C208="","",IFERROR(INDEX(LOOKAHEAD!$B$5:$B$204,MATCH(C208,LOOKAHEAD!$A$5:$A$204,0)),""))</f>
        <v/>
      </c>
      <c r="E208" s="16" t="str">
        <f aca="false">IF(C208="","",IFERROR(INDEX(LOOKAHEAD!$E$5:$E$204,MATCH(C208,LOOKAHEAD!$A$5:$A$204,0)),""))</f>
        <v/>
      </c>
      <c r="F208" s="16" t="str">
        <f aca="false">IF(C208="","",IFERROR(INDEX(LOOKAHEAD!$M$5:$M$204,MATCH(C208,LOOKAHEAD!$A$5:$A$204,0)),""))</f>
        <v/>
      </c>
      <c r="G208" s="9"/>
      <c r="H208" s="9"/>
      <c r="I208" s="16" t="str">
        <f aca="false">IF(C208="","",IFERROR(INDEX(LOOKAHEAD!$G$5:$G$204,MATCH(C208,LOOKAHEAD!$A$5:$A$204,0)),""))</f>
        <v/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36" t="str">
        <f aca="false">IF(C208="","",SUM(J208:O208))</f>
        <v/>
      </c>
      <c r="W208" s="36" t="str">
        <f aca="false">IF(C208="","",SUM(P208:U208))</f>
        <v/>
      </c>
      <c r="X208" s="19" t="str">
        <f aca="false">IF(OR(C208="",V208=0),"",W208/V208)</f>
        <v/>
      </c>
      <c r="Y208" s="16" t="str">
        <f aca="false">IF(OR(C208="",V208=0),"",IF(W208&gt;=V208,"Sí","No"))</f>
        <v/>
      </c>
      <c r="Z208" s="9"/>
      <c r="AA208" s="9"/>
    </row>
    <row r="209" customFormat="false" ht="15" hidden="false" customHeight="false" outlineLevel="0" collapsed="false">
      <c r="A209" s="9"/>
      <c r="B209" s="9"/>
      <c r="C209" s="9"/>
      <c r="D209" s="16" t="str">
        <f aca="false">IF(C209="","",IFERROR(INDEX(LOOKAHEAD!$B$5:$B$204,MATCH(C209,LOOKAHEAD!$A$5:$A$204,0)),""))</f>
        <v/>
      </c>
      <c r="E209" s="16" t="str">
        <f aca="false">IF(C209="","",IFERROR(INDEX(LOOKAHEAD!$E$5:$E$204,MATCH(C209,LOOKAHEAD!$A$5:$A$204,0)),""))</f>
        <v/>
      </c>
      <c r="F209" s="16" t="str">
        <f aca="false">IF(C209="","",IFERROR(INDEX(LOOKAHEAD!$M$5:$M$204,MATCH(C209,LOOKAHEAD!$A$5:$A$204,0)),""))</f>
        <v/>
      </c>
      <c r="G209" s="9"/>
      <c r="H209" s="9"/>
      <c r="I209" s="16" t="str">
        <f aca="false">IF(C209="","",IFERROR(INDEX(LOOKAHEAD!$G$5:$G$204,MATCH(C209,LOOKAHEAD!$A$5:$A$204,0)),""))</f>
        <v/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36" t="str">
        <f aca="false">IF(C209="","",SUM(J209:O209))</f>
        <v/>
      </c>
      <c r="W209" s="36" t="str">
        <f aca="false">IF(C209="","",SUM(P209:U209))</f>
        <v/>
      </c>
      <c r="X209" s="19" t="str">
        <f aca="false">IF(OR(C209="",V209=0),"",W209/V209)</f>
        <v/>
      </c>
      <c r="Y209" s="16" t="str">
        <f aca="false">IF(OR(C209="",V209=0),"",IF(W209&gt;=V209,"Sí","No"))</f>
        <v/>
      </c>
      <c r="Z209" s="9"/>
      <c r="AA209" s="9"/>
    </row>
    <row r="210" customFormat="false" ht="15" hidden="false" customHeight="false" outlineLevel="0" collapsed="false">
      <c r="A210" s="9"/>
      <c r="B210" s="9"/>
      <c r="C210" s="9"/>
      <c r="D210" s="16" t="str">
        <f aca="false">IF(C210="","",IFERROR(INDEX(LOOKAHEAD!$B$5:$B$204,MATCH(C210,LOOKAHEAD!$A$5:$A$204,0)),""))</f>
        <v/>
      </c>
      <c r="E210" s="16" t="str">
        <f aca="false">IF(C210="","",IFERROR(INDEX(LOOKAHEAD!$E$5:$E$204,MATCH(C210,LOOKAHEAD!$A$5:$A$204,0)),""))</f>
        <v/>
      </c>
      <c r="F210" s="16" t="str">
        <f aca="false">IF(C210="","",IFERROR(INDEX(LOOKAHEAD!$M$5:$M$204,MATCH(C210,LOOKAHEAD!$A$5:$A$204,0)),""))</f>
        <v/>
      </c>
      <c r="G210" s="9"/>
      <c r="H210" s="9"/>
      <c r="I210" s="16" t="str">
        <f aca="false">IF(C210="","",IFERROR(INDEX(LOOKAHEAD!$G$5:$G$204,MATCH(C210,LOOKAHEAD!$A$5:$A$204,0)),""))</f>
        <v/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36" t="str">
        <f aca="false">IF(C210="","",SUM(J210:O210))</f>
        <v/>
      </c>
      <c r="W210" s="36" t="str">
        <f aca="false">IF(C210="","",SUM(P210:U210))</f>
        <v/>
      </c>
      <c r="X210" s="19" t="str">
        <f aca="false">IF(OR(C210="",V210=0),"",W210/V210)</f>
        <v/>
      </c>
      <c r="Y210" s="16" t="str">
        <f aca="false">IF(OR(C210="",V210=0),"",IF(W210&gt;=V210,"Sí","No"))</f>
        <v/>
      </c>
      <c r="Z210" s="9"/>
      <c r="AA210" s="9"/>
    </row>
    <row r="211" customFormat="false" ht="15" hidden="false" customHeight="false" outlineLevel="0" collapsed="false">
      <c r="A211" s="9"/>
      <c r="B211" s="9"/>
      <c r="C211" s="9"/>
      <c r="D211" s="16" t="str">
        <f aca="false">IF(C211="","",IFERROR(INDEX(LOOKAHEAD!$B$5:$B$204,MATCH(C211,LOOKAHEAD!$A$5:$A$204,0)),""))</f>
        <v/>
      </c>
      <c r="E211" s="16" t="str">
        <f aca="false">IF(C211="","",IFERROR(INDEX(LOOKAHEAD!$E$5:$E$204,MATCH(C211,LOOKAHEAD!$A$5:$A$204,0)),""))</f>
        <v/>
      </c>
      <c r="F211" s="16" t="str">
        <f aca="false">IF(C211="","",IFERROR(INDEX(LOOKAHEAD!$M$5:$M$204,MATCH(C211,LOOKAHEAD!$A$5:$A$204,0)),""))</f>
        <v/>
      </c>
      <c r="G211" s="9"/>
      <c r="H211" s="9"/>
      <c r="I211" s="16" t="str">
        <f aca="false">IF(C211="","",IFERROR(INDEX(LOOKAHEAD!$G$5:$G$204,MATCH(C211,LOOKAHEAD!$A$5:$A$204,0)),""))</f>
        <v/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36" t="str">
        <f aca="false">IF(C211="","",SUM(J211:O211))</f>
        <v/>
      </c>
      <c r="W211" s="36" t="str">
        <f aca="false">IF(C211="","",SUM(P211:U211))</f>
        <v/>
      </c>
      <c r="X211" s="19" t="str">
        <f aca="false">IF(OR(C211="",V211=0),"",W211/V211)</f>
        <v/>
      </c>
      <c r="Y211" s="16" t="str">
        <f aca="false">IF(OR(C211="",V211=0),"",IF(W211&gt;=V211,"Sí","No"))</f>
        <v/>
      </c>
      <c r="Z211" s="9"/>
      <c r="AA211" s="9"/>
    </row>
    <row r="212" customFormat="false" ht="15" hidden="false" customHeight="false" outlineLevel="0" collapsed="false">
      <c r="A212" s="9"/>
      <c r="B212" s="9"/>
      <c r="C212" s="9"/>
      <c r="D212" s="16" t="str">
        <f aca="false">IF(C212="","",IFERROR(INDEX(LOOKAHEAD!$B$5:$B$204,MATCH(C212,LOOKAHEAD!$A$5:$A$204,0)),""))</f>
        <v/>
      </c>
      <c r="E212" s="16" t="str">
        <f aca="false">IF(C212="","",IFERROR(INDEX(LOOKAHEAD!$E$5:$E$204,MATCH(C212,LOOKAHEAD!$A$5:$A$204,0)),""))</f>
        <v/>
      </c>
      <c r="F212" s="16" t="str">
        <f aca="false">IF(C212="","",IFERROR(INDEX(LOOKAHEAD!$M$5:$M$204,MATCH(C212,LOOKAHEAD!$A$5:$A$204,0)),""))</f>
        <v/>
      </c>
      <c r="G212" s="9"/>
      <c r="H212" s="9"/>
      <c r="I212" s="16" t="str">
        <f aca="false">IF(C212="","",IFERROR(INDEX(LOOKAHEAD!$G$5:$G$204,MATCH(C212,LOOKAHEAD!$A$5:$A$204,0)),""))</f>
        <v/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36" t="str">
        <f aca="false">IF(C212="","",SUM(J212:O212))</f>
        <v/>
      </c>
      <c r="W212" s="36" t="str">
        <f aca="false">IF(C212="","",SUM(P212:U212))</f>
        <v/>
      </c>
      <c r="X212" s="19" t="str">
        <f aca="false">IF(OR(C212="",V212=0),"",W212/V212)</f>
        <v/>
      </c>
      <c r="Y212" s="16" t="str">
        <f aca="false">IF(OR(C212="",V212=0),"",IF(W212&gt;=V212,"Sí","No"))</f>
        <v/>
      </c>
      <c r="Z212" s="9"/>
      <c r="AA212" s="9"/>
    </row>
    <row r="213" customFormat="false" ht="15" hidden="false" customHeight="false" outlineLevel="0" collapsed="false">
      <c r="A213" s="9"/>
      <c r="B213" s="9"/>
      <c r="C213" s="9"/>
      <c r="D213" s="16" t="str">
        <f aca="false">IF(C213="","",IFERROR(INDEX(LOOKAHEAD!$B$5:$B$204,MATCH(C213,LOOKAHEAD!$A$5:$A$204,0)),""))</f>
        <v/>
      </c>
      <c r="E213" s="16" t="str">
        <f aca="false">IF(C213="","",IFERROR(INDEX(LOOKAHEAD!$E$5:$E$204,MATCH(C213,LOOKAHEAD!$A$5:$A$204,0)),""))</f>
        <v/>
      </c>
      <c r="F213" s="16" t="str">
        <f aca="false">IF(C213="","",IFERROR(INDEX(LOOKAHEAD!$M$5:$M$204,MATCH(C213,LOOKAHEAD!$A$5:$A$204,0)),""))</f>
        <v/>
      </c>
      <c r="G213" s="9"/>
      <c r="H213" s="9"/>
      <c r="I213" s="16" t="str">
        <f aca="false">IF(C213="","",IFERROR(INDEX(LOOKAHEAD!$G$5:$G$204,MATCH(C213,LOOKAHEAD!$A$5:$A$204,0)),""))</f>
        <v/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36" t="str">
        <f aca="false">IF(C213="","",SUM(J213:O213))</f>
        <v/>
      </c>
      <c r="W213" s="36" t="str">
        <f aca="false">IF(C213="","",SUM(P213:U213))</f>
        <v/>
      </c>
      <c r="X213" s="19" t="str">
        <f aca="false">IF(OR(C213="",V213=0),"",W213/V213)</f>
        <v/>
      </c>
      <c r="Y213" s="16" t="str">
        <f aca="false">IF(OR(C213="",V213=0),"",IF(W213&gt;=V213,"Sí","No"))</f>
        <v/>
      </c>
      <c r="Z213" s="9"/>
      <c r="AA213" s="9"/>
    </row>
    <row r="214" customFormat="false" ht="15" hidden="false" customHeight="false" outlineLevel="0" collapsed="false">
      <c r="A214" s="9"/>
      <c r="B214" s="9"/>
      <c r="C214" s="9"/>
      <c r="D214" s="16" t="str">
        <f aca="false">IF(C214="","",IFERROR(INDEX(LOOKAHEAD!$B$5:$B$204,MATCH(C214,LOOKAHEAD!$A$5:$A$204,0)),""))</f>
        <v/>
      </c>
      <c r="E214" s="16" t="str">
        <f aca="false">IF(C214="","",IFERROR(INDEX(LOOKAHEAD!$E$5:$E$204,MATCH(C214,LOOKAHEAD!$A$5:$A$204,0)),""))</f>
        <v/>
      </c>
      <c r="F214" s="16" t="str">
        <f aca="false">IF(C214="","",IFERROR(INDEX(LOOKAHEAD!$M$5:$M$204,MATCH(C214,LOOKAHEAD!$A$5:$A$204,0)),""))</f>
        <v/>
      </c>
      <c r="G214" s="9"/>
      <c r="H214" s="9"/>
      <c r="I214" s="16" t="str">
        <f aca="false">IF(C214="","",IFERROR(INDEX(LOOKAHEAD!$G$5:$G$204,MATCH(C214,LOOKAHEAD!$A$5:$A$204,0)),""))</f>
        <v/>
      </c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36" t="str">
        <f aca="false">IF(C214="","",SUM(J214:O214))</f>
        <v/>
      </c>
      <c r="W214" s="36" t="str">
        <f aca="false">IF(C214="","",SUM(P214:U214))</f>
        <v/>
      </c>
      <c r="X214" s="19" t="str">
        <f aca="false">IF(OR(C214="",V214=0),"",W214/V214)</f>
        <v/>
      </c>
      <c r="Y214" s="16" t="str">
        <f aca="false">IF(OR(C214="",V214=0),"",IF(W214&gt;=V214,"Sí","No"))</f>
        <v/>
      </c>
      <c r="Z214" s="9"/>
      <c r="AA214" s="9"/>
    </row>
    <row r="215" customFormat="false" ht="15" hidden="false" customHeight="false" outlineLevel="0" collapsed="false">
      <c r="A215" s="9"/>
      <c r="B215" s="9"/>
      <c r="C215" s="9"/>
      <c r="D215" s="16" t="str">
        <f aca="false">IF(C215="","",IFERROR(INDEX(LOOKAHEAD!$B$5:$B$204,MATCH(C215,LOOKAHEAD!$A$5:$A$204,0)),""))</f>
        <v/>
      </c>
      <c r="E215" s="16" t="str">
        <f aca="false">IF(C215="","",IFERROR(INDEX(LOOKAHEAD!$E$5:$E$204,MATCH(C215,LOOKAHEAD!$A$5:$A$204,0)),""))</f>
        <v/>
      </c>
      <c r="F215" s="16" t="str">
        <f aca="false">IF(C215="","",IFERROR(INDEX(LOOKAHEAD!$M$5:$M$204,MATCH(C215,LOOKAHEAD!$A$5:$A$204,0)),""))</f>
        <v/>
      </c>
      <c r="G215" s="9"/>
      <c r="H215" s="9"/>
      <c r="I215" s="16" t="str">
        <f aca="false">IF(C215="","",IFERROR(INDEX(LOOKAHEAD!$G$5:$G$204,MATCH(C215,LOOKAHEAD!$A$5:$A$204,0)),""))</f>
        <v/>
      </c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36" t="str">
        <f aca="false">IF(C215="","",SUM(J215:O215))</f>
        <v/>
      </c>
      <c r="W215" s="36" t="str">
        <f aca="false">IF(C215="","",SUM(P215:U215))</f>
        <v/>
      </c>
      <c r="X215" s="19" t="str">
        <f aca="false">IF(OR(C215="",V215=0),"",W215/V215)</f>
        <v/>
      </c>
      <c r="Y215" s="16" t="str">
        <f aca="false">IF(OR(C215="",V215=0),"",IF(W215&gt;=V215,"Sí","No"))</f>
        <v/>
      </c>
      <c r="Z215" s="9"/>
      <c r="AA215" s="9"/>
    </row>
    <row r="216" customFormat="false" ht="15" hidden="false" customHeight="false" outlineLevel="0" collapsed="false">
      <c r="A216" s="9"/>
      <c r="B216" s="9"/>
      <c r="C216" s="9"/>
      <c r="D216" s="16" t="str">
        <f aca="false">IF(C216="","",IFERROR(INDEX(LOOKAHEAD!$B$5:$B$204,MATCH(C216,LOOKAHEAD!$A$5:$A$204,0)),""))</f>
        <v/>
      </c>
      <c r="E216" s="16" t="str">
        <f aca="false">IF(C216="","",IFERROR(INDEX(LOOKAHEAD!$E$5:$E$204,MATCH(C216,LOOKAHEAD!$A$5:$A$204,0)),""))</f>
        <v/>
      </c>
      <c r="F216" s="16" t="str">
        <f aca="false">IF(C216="","",IFERROR(INDEX(LOOKAHEAD!$M$5:$M$204,MATCH(C216,LOOKAHEAD!$A$5:$A$204,0)),""))</f>
        <v/>
      </c>
      <c r="G216" s="9"/>
      <c r="H216" s="9"/>
      <c r="I216" s="16" t="str">
        <f aca="false">IF(C216="","",IFERROR(INDEX(LOOKAHEAD!$G$5:$G$204,MATCH(C216,LOOKAHEAD!$A$5:$A$204,0)),""))</f>
        <v/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36" t="str">
        <f aca="false">IF(C216="","",SUM(J216:O216))</f>
        <v/>
      </c>
      <c r="W216" s="36" t="str">
        <f aca="false">IF(C216="","",SUM(P216:U216))</f>
        <v/>
      </c>
      <c r="X216" s="19" t="str">
        <f aca="false">IF(OR(C216="",V216=0),"",W216/V216)</f>
        <v/>
      </c>
      <c r="Y216" s="16" t="str">
        <f aca="false">IF(OR(C216="",V216=0),"",IF(W216&gt;=V216,"Sí","No"))</f>
        <v/>
      </c>
      <c r="Z216" s="9"/>
      <c r="AA216" s="9"/>
    </row>
    <row r="217" customFormat="false" ht="15" hidden="false" customHeight="false" outlineLevel="0" collapsed="false">
      <c r="A217" s="9"/>
      <c r="B217" s="9"/>
      <c r="C217" s="9"/>
      <c r="D217" s="16" t="str">
        <f aca="false">IF(C217="","",IFERROR(INDEX(LOOKAHEAD!$B$5:$B$204,MATCH(C217,LOOKAHEAD!$A$5:$A$204,0)),""))</f>
        <v/>
      </c>
      <c r="E217" s="16" t="str">
        <f aca="false">IF(C217="","",IFERROR(INDEX(LOOKAHEAD!$E$5:$E$204,MATCH(C217,LOOKAHEAD!$A$5:$A$204,0)),""))</f>
        <v/>
      </c>
      <c r="F217" s="16" t="str">
        <f aca="false">IF(C217="","",IFERROR(INDEX(LOOKAHEAD!$M$5:$M$204,MATCH(C217,LOOKAHEAD!$A$5:$A$204,0)),""))</f>
        <v/>
      </c>
      <c r="G217" s="9"/>
      <c r="H217" s="9"/>
      <c r="I217" s="16" t="str">
        <f aca="false">IF(C217="","",IFERROR(INDEX(LOOKAHEAD!$G$5:$G$204,MATCH(C217,LOOKAHEAD!$A$5:$A$204,0)),""))</f>
        <v/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36" t="str">
        <f aca="false">IF(C217="","",SUM(J217:O217))</f>
        <v/>
      </c>
      <c r="W217" s="36" t="str">
        <f aca="false">IF(C217="","",SUM(P217:U217))</f>
        <v/>
      </c>
      <c r="X217" s="19" t="str">
        <f aca="false">IF(OR(C217="",V217=0),"",W217/V217)</f>
        <v/>
      </c>
      <c r="Y217" s="16" t="str">
        <f aca="false">IF(OR(C217="",V217=0),"",IF(W217&gt;=V217,"Sí","No"))</f>
        <v/>
      </c>
      <c r="Z217" s="9"/>
      <c r="AA217" s="9"/>
    </row>
    <row r="218" customFormat="false" ht="15" hidden="false" customHeight="false" outlineLevel="0" collapsed="false">
      <c r="A218" s="9"/>
      <c r="B218" s="9"/>
      <c r="C218" s="9"/>
      <c r="D218" s="16" t="str">
        <f aca="false">IF(C218="","",IFERROR(INDEX(LOOKAHEAD!$B$5:$B$204,MATCH(C218,LOOKAHEAD!$A$5:$A$204,0)),""))</f>
        <v/>
      </c>
      <c r="E218" s="16" t="str">
        <f aca="false">IF(C218="","",IFERROR(INDEX(LOOKAHEAD!$E$5:$E$204,MATCH(C218,LOOKAHEAD!$A$5:$A$204,0)),""))</f>
        <v/>
      </c>
      <c r="F218" s="16" t="str">
        <f aca="false">IF(C218="","",IFERROR(INDEX(LOOKAHEAD!$M$5:$M$204,MATCH(C218,LOOKAHEAD!$A$5:$A$204,0)),""))</f>
        <v/>
      </c>
      <c r="G218" s="9"/>
      <c r="H218" s="9"/>
      <c r="I218" s="16" t="str">
        <f aca="false">IF(C218="","",IFERROR(INDEX(LOOKAHEAD!$G$5:$G$204,MATCH(C218,LOOKAHEAD!$A$5:$A$204,0)),""))</f>
        <v/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36" t="str">
        <f aca="false">IF(C218="","",SUM(J218:O218))</f>
        <v/>
      </c>
      <c r="W218" s="36" t="str">
        <f aca="false">IF(C218="","",SUM(P218:U218))</f>
        <v/>
      </c>
      <c r="X218" s="19" t="str">
        <f aca="false">IF(OR(C218="",V218=0),"",W218/V218)</f>
        <v/>
      </c>
      <c r="Y218" s="16" t="str">
        <f aca="false">IF(OR(C218="",V218=0),"",IF(W218&gt;=V218,"Sí","No"))</f>
        <v/>
      </c>
      <c r="Z218" s="9"/>
      <c r="AA218" s="9"/>
    </row>
    <row r="219" customFormat="false" ht="15" hidden="false" customHeight="false" outlineLevel="0" collapsed="false">
      <c r="A219" s="9"/>
      <c r="B219" s="9"/>
      <c r="C219" s="9"/>
      <c r="D219" s="16" t="str">
        <f aca="false">IF(C219="","",IFERROR(INDEX(LOOKAHEAD!$B$5:$B$204,MATCH(C219,LOOKAHEAD!$A$5:$A$204,0)),""))</f>
        <v/>
      </c>
      <c r="E219" s="16" t="str">
        <f aca="false">IF(C219="","",IFERROR(INDEX(LOOKAHEAD!$E$5:$E$204,MATCH(C219,LOOKAHEAD!$A$5:$A$204,0)),""))</f>
        <v/>
      </c>
      <c r="F219" s="16" t="str">
        <f aca="false">IF(C219="","",IFERROR(INDEX(LOOKAHEAD!$M$5:$M$204,MATCH(C219,LOOKAHEAD!$A$5:$A$204,0)),""))</f>
        <v/>
      </c>
      <c r="G219" s="9"/>
      <c r="H219" s="9"/>
      <c r="I219" s="16" t="str">
        <f aca="false">IF(C219="","",IFERROR(INDEX(LOOKAHEAD!$G$5:$G$204,MATCH(C219,LOOKAHEAD!$A$5:$A$204,0)),""))</f>
        <v/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36" t="str">
        <f aca="false">IF(C219="","",SUM(J219:O219))</f>
        <v/>
      </c>
      <c r="W219" s="36" t="str">
        <f aca="false">IF(C219="","",SUM(P219:U219))</f>
        <v/>
      </c>
      <c r="X219" s="19" t="str">
        <f aca="false">IF(OR(C219="",V219=0),"",W219/V219)</f>
        <v/>
      </c>
      <c r="Y219" s="16" t="str">
        <f aca="false">IF(OR(C219="",V219=0),"",IF(W219&gt;=V219,"Sí","No"))</f>
        <v/>
      </c>
      <c r="Z219" s="9"/>
      <c r="AA219" s="9"/>
    </row>
    <row r="220" customFormat="false" ht="15" hidden="false" customHeight="false" outlineLevel="0" collapsed="false">
      <c r="A220" s="9"/>
      <c r="B220" s="9"/>
      <c r="C220" s="9"/>
      <c r="D220" s="16" t="str">
        <f aca="false">IF(C220="","",IFERROR(INDEX(LOOKAHEAD!$B$5:$B$204,MATCH(C220,LOOKAHEAD!$A$5:$A$204,0)),""))</f>
        <v/>
      </c>
      <c r="E220" s="16" t="str">
        <f aca="false">IF(C220="","",IFERROR(INDEX(LOOKAHEAD!$E$5:$E$204,MATCH(C220,LOOKAHEAD!$A$5:$A$204,0)),""))</f>
        <v/>
      </c>
      <c r="F220" s="16" t="str">
        <f aca="false">IF(C220="","",IFERROR(INDEX(LOOKAHEAD!$M$5:$M$204,MATCH(C220,LOOKAHEAD!$A$5:$A$204,0)),""))</f>
        <v/>
      </c>
      <c r="G220" s="9"/>
      <c r="H220" s="9"/>
      <c r="I220" s="16" t="str">
        <f aca="false">IF(C220="","",IFERROR(INDEX(LOOKAHEAD!$G$5:$G$204,MATCH(C220,LOOKAHEAD!$A$5:$A$204,0)),""))</f>
        <v/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36" t="str">
        <f aca="false">IF(C220="","",SUM(J220:O220))</f>
        <v/>
      </c>
      <c r="W220" s="36" t="str">
        <f aca="false">IF(C220="","",SUM(P220:U220))</f>
        <v/>
      </c>
      <c r="X220" s="19" t="str">
        <f aca="false">IF(OR(C220="",V220=0),"",W220/V220)</f>
        <v/>
      </c>
      <c r="Y220" s="16" t="str">
        <f aca="false">IF(OR(C220="",V220=0),"",IF(W220&gt;=V220,"Sí","No"))</f>
        <v/>
      </c>
      <c r="Z220" s="9"/>
      <c r="AA220" s="9"/>
    </row>
    <row r="221" customFormat="false" ht="15" hidden="false" customHeight="false" outlineLevel="0" collapsed="false">
      <c r="A221" s="9"/>
      <c r="B221" s="9"/>
      <c r="C221" s="9"/>
      <c r="D221" s="16" t="str">
        <f aca="false">IF(C221="","",IFERROR(INDEX(LOOKAHEAD!$B$5:$B$204,MATCH(C221,LOOKAHEAD!$A$5:$A$204,0)),""))</f>
        <v/>
      </c>
      <c r="E221" s="16" t="str">
        <f aca="false">IF(C221="","",IFERROR(INDEX(LOOKAHEAD!$E$5:$E$204,MATCH(C221,LOOKAHEAD!$A$5:$A$204,0)),""))</f>
        <v/>
      </c>
      <c r="F221" s="16" t="str">
        <f aca="false">IF(C221="","",IFERROR(INDEX(LOOKAHEAD!$M$5:$M$204,MATCH(C221,LOOKAHEAD!$A$5:$A$204,0)),""))</f>
        <v/>
      </c>
      <c r="G221" s="9"/>
      <c r="H221" s="9"/>
      <c r="I221" s="16" t="str">
        <f aca="false">IF(C221="","",IFERROR(INDEX(LOOKAHEAD!$G$5:$G$204,MATCH(C221,LOOKAHEAD!$A$5:$A$204,0)),""))</f>
        <v/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36" t="str">
        <f aca="false">IF(C221="","",SUM(J221:O221))</f>
        <v/>
      </c>
      <c r="W221" s="36" t="str">
        <f aca="false">IF(C221="","",SUM(P221:U221))</f>
        <v/>
      </c>
      <c r="X221" s="19" t="str">
        <f aca="false">IF(OR(C221="",V221=0),"",W221/V221)</f>
        <v/>
      </c>
      <c r="Y221" s="16" t="str">
        <f aca="false">IF(OR(C221="",V221=0),"",IF(W221&gt;=V221,"Sí","No"))</f>
        <v/>
      </c>
      <c r="Z221" s="9"/>
      <c r="AA221" s="9"/>
    </row>
    <row r="222" customFormat="false" ht="15" hidden="false" customHeight="false" outlineLevel="0" collapsed="false">
      <c r="A222" s="9"/>
      <c r="B222" s="9"/>
      <c r="C222" s="9"/>
      <c r="D222" s="16" t="str">
        <f aca="false">IF(C222="","",IFERROR(INDEX(LOOKAHEAD!$B$5:$B$204,MATCH(C222,LOOKAHEAD!$A$5:$A$204,0)),""))</f>
        <v/>
      </c>
      <c r="E222" s="16" t="str">
        <f aca="false">IF(C222="","",IFERROR(INDEX(LOOKAHEAD!$E$5:$E$204,MATCH(C222,LOOKAHEAD!$A$5:$A$204,0)),""))</f>
        <v/>
      </c>
      <c r="F222" s="16" t="str">
        <f aca="false">IF(C222="","",IFERROR(INDEX(LOOKAHEAD!$M$5:$M$204,MATCH(C222,LOOKAHEAD!$A$5:$A$204,0)),""))</f>
        <v/>
      </c>
      <c r="G222" s="9"/>
      <c r="H222" s="9"/>
      <c r="I222" s="16" t="str">
        <f aca="false">IF(C222="","",IFERROR(INDEX(LOOKAHEAD!$G$5:$G$204,MATCH(C222,LOOKAHEAD!$A$5:$A$204,0)),""))</f>
        <v/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36" t="str">
        <f aca="false">IF(C222="","",SUM(J222:O222))</f>
        <v/>
      </c>
      <c r="W222" s="36" t="str">
        <f aca="false">IF(C222="","",SUM(P222:U222))</f>
        <v/>
      </c>
      <c r="X222" s="19" t="str">
        <f aca="false">IF(OR(C222="",V222=0),"",W222/V222)</f>
        <v/>
      </c>
      <c r="Y222" s="16" t="str">
        <f aca="false">IF(OR(C222="",V222=0),"",IF(W222&gt;=V222,"Sí","No"))</f>
        <v/>
      </c>
      <c r="Z222" s="9"/>
      <c r="AA222" s="9"/>
    </row>
    <row r="223" customFormat="false" ht="15" hidden="false" customHeight="false" outlineLevel="0" collapsed="false">
      <c r="A223" s="9"/>
      <c r="B223" s="9"/>
      <c r="C223" s="9"/>
      <c r="D223" s="16" t="str">
        <f aca="false">IF(C223="","",IFERROR(INDEX(LOOKAHEAD!$B$5:$B$204,MATCH(C223,LOOKAHEAD!$A$5:$A$204,0)),""))</f>
        <v/>
      </c>
      <c r="E223" s="16" t="str">
        <f aca="false">IF(C223="","",IFERROR(INDEX(LOOKAHEAD!$E$5:$E$204,MATCH(C223,LOOKAHEAD!$A$5:$A$204,0)),""))</f>
        <v/>
      </c>
      <c r="F223" s="16" t="str">
        <f aca="false">IF(C223="","",IFERROR(INDEX(LOOKAHEAD!$M$5:$M$204,MATCH(C223,LOOKAHEAD!$A$5:$A$204,0)),""))</f>
        <v/>
      </c>
      <c r="G223" s="9"/>
      <c r="H223" s="9"/>
      <c r="I223" s="16" t="str">
        <f aca="false">IF(C223="","",IFERROR(INDEX(LOOKAHEAD!$G$5:$G$204,MATCH(C223,LOOKAHEAD!$A$5:$A$204,0)),""))</f>
        <v/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36" t="str">
        <f aca="false">IF(C223="","",SUM(J223:O223))</f>
        <v/>
      </c>
      <c r="W223" s="36" t="str">
        <f aca="false">IF(C223="","",SUM(P223:U223))</f>
        <v/>
      </c>
      <c r="X223" s="19" t="str">
        <f aca="false">IF(OR(C223="",V223=0),"",W223/V223)</f>
        <v/>
      </c>
      <c r="Y223" s="16" t="str">
        <f aca="false">IF(OR(C223="",V223=0),"",IF(W223&gt;=V223,"Sí","No"))</f>
        <v/>
      </c>
      <c r="Z223" s="9"/>
      <c r="AA223" s="9"/>
    </row>
    <row r="224" customFormat="false" ht="15" hidden="false" customHeight="false" outlineLevel="0" collapsed="false">
      <c r="A224" s="9"/>
      <c r="B224" s="9"/>
      <c r="C224" s="9"/>
      <c r="D224" s="16" t="str">
        <f aca="false">IF(C224="","",IFERROR(INDEX(LOOKAHEAD!$B$5:$B$204,MATCH(C224,LOOKAHEAD!$A$5:$A$204,0)),""))</f>
        <v/>
      </c>
      <c r="E224" s="16" t="str">
        <f aca="false">IF(C224="","",IFERROR(INDEX(LOOKAHEAD!$E$5:$E$204,MATCH(C224,LOOKAHEAD!$A$5:$A$204,0)),""))</f>
        <v/>
      </c>
      <c r="F224" s="16" t="str">
        <f aca="false">IF(C224="","",IFERROR(INDEX(LOOKAHEAD!$M$5:$M$204,MATCH(C224,LOOKAHEAD!$A$5:$A$204,0)),""))</f>
        <v/>
      </c>
      <c r="G224" s="9"/>
      <c r="H224" s="9"/>
      <c r="I224" s="16" t="str">
        <f aca="false">IF(C224="","",IFERROR(INDEX(LOOKAHEAD!$G$5:$G$204,MATCH(C224,LOOKAHEAD!$A$5:$A$204,0)),""))</f>
        <v/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36" t="str">
        <f aca="false">IF(C224="","",SUM(J224:O224))</f>
        <v/>
      </c>
      <c r="W224" s="36" t="str">
        <f aca="false">IF(C224="","",SUM(P224:U224))</f>
        <v/>
      </c>
      <c r="X224" s="19" t="str">
        <f aca="false">IF(OR(C224="",V224=0),"",W224/V224)</f>
        <v/>
      </c>
      <c r="Y224" s="16" t="str">
        <f aca="false">IF(OR(C224="",V224=0),"",IF(W224&gt;=V224,"Sí","No"))</f>
        <v/>
      </c>
      <c r="Z224" s="9"/>
      <c r="AA224" s="9"/>
    </row>
    <row r="225" customFormat="false" ht="15" hidden="false" customHeight="false" outlineLevel="0" collapsed="false">
      <c r="A225" s="9"/>
      <c r="B225" s="9"/>
      <c r="C225" s="9"/>
      <c r="D225" s="16" t="str">
        <f aca="false">IF(C225="","",IFERROR(INDEX(LOOKAHEAD!$B$5:$B$204,MATCH(C225,LOOKAHEAD!$A$5:$A$204,0)),""))</f>
        <v/>
      </c>
      <c r="E225" s="16" t="str">
        <f aca="false">IF(C225="","",IFERROR(INDEX(LOOKAHEAD!$E$5:$E$204,MATCH(C225,LOOKAHEAD!$A$5:$A$204,0)),""))</f>
        <v/>
      </c>
      <c r="F225" s="16" t="str">
        <f aca="false">IF(C225="","",IFERROR(INDEX(LOOKAHEAD!$M$5:$M$204,MATCH(C225,LOOKAHEAD!$A$5:$A$204,0)),""))</f>
        <v/>
      </c>
      <c r="G225" s="9"/>
      <c r="H225" s="9"/>
      <c r="I225" s="16" t="str">
        <f aca="false">IF(C225="","",IFERROR(INDEX(LOOKAHEAD!$G$5:$G$204,MATCH(C225,LOOKAHEAD!$A$5:$A$204,0)),""))</f>
        <v/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36" t="str">
        <f aca="false">IF(C225="","",SUM(J225:O225))</f>
        <v/>
      </c>
      <c r="W225" s="36" t="str">
        <f aca="false">IF(C225="","",SUM(P225:U225))</f>
        <v/>
      </c>
      <c r="X225" s="19" t="str">
        <f aca="false">IF(OR(C225="",V225=0),"",W225/V225)</f>
        <v/>
      </c>
      <c r="Y225" s="16" t="str">
        <f aca="false">IF(OR(C225="",V225=0),"",IF(W225&gt;=V225,"Sí","No"))</f>
        <v/>
      </c>
      <c r="Z225" s="9"/>
      <c r="AA225" s="9"/>
    </row>
    <row r="226" customFormat="false" ht="15" hidden="false" customHeight="false" outlineLevel="0" collapsed="false">
      <c r="A226" s="9"/>
      <c r="B226" s="9"/>
      <c r="C226" s="9"/>
      <c r="D226" s="16" t="str">
        <f aca="false">IF(C226="","",IFERROR(INDEX(LOOKAHEAD!$B$5:$B$204,MATCH(C226,LOOKAHEAD!$A$5:$A$204,0)),""))</f>
        <v/>
      </c>
      <c r="E226" s="16" t="str">
        <f aca="false">IF(C226="","",IFERROR(INDEX(LOOKAHEAD!$E$5:$E$204,MATCH(C226,LOOKAHEAD!$A$5:$A$204,0)),""))</f>
        <v/>
      </c>
      <c r="F226" s="16" t="str">
        <f aca="false">IF(C226="","",IFERROR(INDEX(LOOKAHEAD!$M$5:$M$204,MATCH(C226,LOOKAHEAD!$A$5:$A$204,0)),""))</f>
        <v/>
      </c>
      <c r="G226" s="9"/>
      <c r="H226" s="9"/>
      <c r="I226" s="16" t="str">
        <f aca="false">IF(C226="","",IFERROR(INDEX(LOOKAHEAD!$G$5:$G$204,MATCH(C226,LOOKAHEAD!$A$5:$A$204,0)),""))</f>
        <v/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36" t="str">
        <f aca="false">IF(C226="","",SUM(J226:O226))</f>
        <v/>
      </c>
      <c r="W226" s="36" t="str">
        <f aca="false">IF(C226="","",SUM(P226:U226))</f>
        <v/>
      </c>
      <c r="X226" s="19" t="str">
        <f aca="false">IF(OR(C226="",V226=0),"",W226/V226)</f>
        <v/>
      </c>
      <c r="Y226" s="16" t="str">
        <f aca="false">IF(OR(C226="",V226=0),"",IF(W226&gt;=V226,"Sí","No"))</f>
        <v/>
      </c>
      <c r="Z226" s="9"/>
      <c r="AA226" s="9"/>
    </row>
    <row r="227" customFormat="false" ht="15" hidden="false" customHeight="false" outlineLevel="0" collapsed="false">
      <c r="A227" s="9"/>
      <c r="B227" s="9"/>
      <c r="C227" s="9"/>
      <c r="D227" s="16" t="str">
        <f aca="false">IF(C227="","",IFERROR(INDEX(LOOKAHEAD!$B$5:$B$204,MATCH(C227,LOOKAHEAD!$A$5:$A$204,0)),""))</f>
        <v/>
      </c>
      <c r="E227" s="16" t="str">
        <f aca="false">IF(C227="","",IFERROR(INDEX(LOOKAHEAD!$E$5:$E$204,MATCH(C227,LOOKAHEAD!$A$5:$A$204,0)),""))</f>
        <v/>
      </c>
      <c r="F227" s="16" t="str">
        <f aca="false">IF(C227="","",IFERROR(INDEX(LOOKAHEAD!$M$5:$M$204,MATCH(C227,LOOKAHEAD!$A$5:$A$204,0)),""))</f>
        <v/>
      </c>
      <c r="G227" s="9"/>
      <c r="H227" s="9"/>
      <c r="I227" s="16" t="str">
        <f aca="false">IF(C227="","",IFERROR(INDEX(LOOKAHEAD!$G$5:$G$204,MATCH(C227,LOOKAHEAD!$A$5:$A$204,0)),""))</f>
        <v/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36" t="str">
        <f aca="false">IF(C227="","",SUM(J227:O227))</f>
        <v/>
      </c>
      <c r="W227" s="36" t="str">
        <f aca="false">IF(C227="","",SUM(P227:U227))</f>
        <v/>
      </c>
      <c r="X227" s="19" t="str">
        <f aca="false">IF(OR(C227="",V227=0),"",W227/V227)</f>
        <v/>
      </c>
      <c r="Y227" s="16" t="str">
        <f aca="false">IF(OR(C227="",V227=0),"",IF(W227&gt;=V227,"Sí","No"))</f>
        <v/>
      </c>
      <c r="Z227" s="9"/>
      <c r="AA227" s="9"/>
    </row>
    <row r="228" customFormat="false" ht="15" hidden="false" customHeight="false" outlineLevel="0" collapsed="false">
      <c r="A228" s="9"/>
      <c r="B228" s="9"/>
      <c r="C228" s="9"/>
      <c r="D228" s="16" t="str">
        <f aca="false">IF(C228="","",IFERROR(INDEX(LOOKAHEAD!$B$5:$B$204,MATCH(C228,LOOKAHEAD!$A$5:$A$204,0)),""))</f>
        <v/>
      </c>
      <c r="E228" s="16" t="str">
        <f aca="false">IF(C228="","",IFERROR(INDEX(LOOKAHEAD!$E$5:$E$204,MATCH(C228,LOOKAHEAD!$A$5:$A$204,0)),""))</f>
        <v/>
      </c>
      <c r="F228" s="16" t="str">
        <f aca="false">IF(C228="","",IFERROR(INDEX(LOOKAHEAD!$M$5:$M$204,MATCH(C228,LOOKAHEAD!$A$5:$A$204,0)),""))</f>
        <v/>
      </c>
      <c r="G228" s="9"/>
      <c r="H228" s="9"/>
      <c r="I228" s="16" t="str">
        <f aca="false">IF(C228="","",IFERROR(INDEX(LOOKAHEAD!$G$5:$G$204,MATCH(C228,LOOKAHEAD!$A$5:$A$204,0)),""))</f>
        <v/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36" t="str">
        <f aca="false">IF(C228="","",SUM(J228:O228))</f>
        <v/>
      </c>
      <c r="W228" s="36" t="str">
        <f aca="false">IF(C228="","",SUM(P228:U228))</f>
        <v/>
      </c>
      <c r="X228" s="19" t="str">
        <f aca="false">IF(OR(C228="",V228=0),"",W228/V228)</f>
        <v/>
      </c>
      <c r="Y228" s="16" t="str">
        <f aca="false">IF(OR(C228="",V228=0),"",IF(W228&gt;=V228,"Sí","No"))</f>
        <v/>
      </c>
      <c r="Z228" s="9"/>
      <c r="AA228" s="9"/>
    </row>
    <row r="229" customFormat="false" ht="15" hidden="false" customHeight="false" outlineLevel="0" collapsed="false">
      <c r="A229" s="9"/>
      <c r="B229" s="9"/>
      <c r="C229" s="9"/>
      <c r="D229" s="16" t="str">
        <f aca="false">IF(C229="","",IFERROR(INDEX(LOOKAHEAD!$B$5:$B$204,MATCH(C229,LOOKAHEAD!$A$5:$A$204,0)),""))</f>
        <v/>
      </c>
      <c r="E229" s="16" t="str">
        <f aca="false">IF(C229="","",IFERROR(INDEX(LOOKAHEAD!$E$5:$E$204,MATCH(C229,LOOKAHEAD!$A$5:$A$204,0)),""))</f>
        <v/>
      </c>
      <c r="F229" s="16" t="str">
        <f aca="false">IF(C229="","",IFERROR(INDEX(LOOKAHEAD!$M$5:$M$204,MATCH(C229,LOOKAHEAD!$A$5:$A$204,0)),""))</f>
        <v/>
      </c>
      <c r="G229" s="9"/>
      <c r="H229" s="9"/>
      <c r="I229" s="16" t="str">
        <f aca="false">IF(C229="","",IFERROR(INDEX(LOOKAHEAD!$G$5:$G$204,MATCH(C229,LOOKAHEAD!$A$5:$A$204,0)),""))</f>
        <v/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36" t="str">
        <f aca="false">IF(C229="","",SUM(J229:O229))</f>
        <v/>
      </c>
      <c r="W229" s="36" t="str">
        <f aca="false">IF(C229="","",SUM(P229:U229))</f>
        <v/>
      </c>
      <c r="X229" s="19" t="str">
        <f aca="false">IF(OR(C229="",V229=0),"",W229/V229)</f>
        <v/>
      </c>
      <c r="Y229" s="16" t="str">
        <f aca="false">IF(OR(C229="",V229=0),"",IF(W229&gt;=V229,"Sí","No"))</f>
        <v/>
      </c>
      <c r="Z229" s="9"/>
      <c r="AA229" s="9"/>
    </row>
    <row r="230" customFormat="false" ht="15" hidden="false" customHeight="false" outlineLevel="0" collapsed="false">
      <c r="A230" s="9"/>
      <c r="B230" s="9"/>
      <c r="C230" s="9"/>
      <c r="D230" s="16" t="str">
        <f aca="false">IF(C230="","",IFERROR(INDEX(LOOKAHEAD!$B$5:$B$204,MATCH(C230,LOOKAHEAD!$A$5:$A$204,0)),""))</f>
        <v/>
      </c>
      <c r="E230" s="16" t="str">
        <f aca="false">IF(C230="","",IFERROR(INDEX(LOOKAHEAD!$E$5:$E$204,MATCH(C230,LOOKAHEAD!$A$5:$A$204,0)),""))</f>
        <v/>
      </c>
      <c r="F230" s="16" t="str">
        <f aca="false">IF(C230="","",IFERROR(INDEX(LOOKAHEAD!$M$5:$M$204,MATCH(C230,LOOKAHEAD!$A$5:$A$204,0)),""))</f>
        <v/>
      </c>
      <c r="G230" s="9"/>
      <c r="H230" s="9"/>
      <c r="I230" s="16" t="str">
        <f aca="false">IF(C230="","",IFERROR(INDEX(LOOKAHEAD!$G$5:$G$204,MATCH(C230,LOOKAHEAD!$A$5:$A$204,0)),""))</f>
        <v/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36" t="str">
        <f aca="false">IF(C230="","",SUM(J230:O230))</f>
        <v/>
      </c>
      <c r="W230" s="36" t="str">
        <f aca="false">IF(C230="","",SUM(P230:U230))</f>
        <v/>
      </c>
      <c r="X230" s="19" t="str">
        <f aca="false">IF(OR(C230="",V230=0),"",W230/V230)</f>
        <v/>
      </c>
      <c r="Y230" s="16" t="str">
        <f aca="false">IF(OR(C230="",V230=0),"",IF(W230&gt;=V230,"Sí","No"))</f>
        <v/>
      </c>
      <c r="Z230" s="9"/>
      <c r="AA230" s="9"/>
    </row>
    <row r="231" customFormat="false" ht="15" hidden="false" customHeight="false" outlineLevel="0" collapsed="false">
      <c r="A231" s="9"/>
      <c r="B231" s="9"/>
      <c r="C231" s="9"/>
      <c r="D231" s="16" t="str">
        <f aca="false">IF(C231="","",IFERROR(INDEX(LOOKAHEAD!$B$5:$B$204,MATCH(C231,LOOKAHEAD!$A$5:$A$204,0)),""))</f>
        <v/>
      </c>
      <c r="E231" s="16" t="str">
        <f aca="false">IF(C231="","",IFERROR(INDEX(LOOKAHEAD!$E$5:$E$204,MATCH(C231,LOOKAHEAD!$A$5:$A$204,0)),""))</f>
        <v/>
      </c>
      <c r="F231" s="16" t="str">
        <f aca="false">IF(C231="","",IFERROR(INDEX(LOOKAHEAD!$M$5:$M$204,MATCH(C231,LOOKAHEAD!$A$5:$A$204,0)),""))</f>
        <v/>
      </c>
      <c r="G231" s="9"/>
      <c r="H231" s="9"/>
      <c r="I231" s="16" t="str">
        <f aca="false">IF(C231="","",IFERROR(INDEX(LOOKAHEAD!$G$5:$G$204,MATCH(C231,LOOKAHEAD!$A$5:$A$204,0)),""))</f>
        <v/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36" t="str">
        <f aca="false">IF(C231="","",SUM(J231:O231))</f>
        <v/>
      </c>
      <c r="W231" s="36" t="str">
        <f aca="false">IF(C231="","",SUM(P231:U231))</f>
        <v/>
      </c>
      <c r="X231" s="19" t="str">
        <f aca="false">IF(OR(C231="",V231=0),"",W231/V231)</f>
        <v/>
      </c>
      <c r="Y231" s="16" t="str">
        <f aca="false">IF(OR(C231="",V231=0),"",IF(W231&gt;=V231,"Sí","No"))</f>
        <v/>
      </c>
      <c r="Z231" s="9"/>
      <c r="AA231" s="9"/>
    </row>
    <row r="232" customFormat="false" ht="15" hidden="false" customHeight="false" outlineLevel="0" collapsed="false">
      <c r="A232" s="9"/>
      <c r="B232" s="9"/>
      <c r="C232" s="9"/>
      <c r="D232" s="16" t="str">
        <f aca="false">IF(C232="","",IFERROR(INDEX(LOOKAHEAD!$B$5:$B$204,MATCH(C232,LOOKAHEAD!$A$5:$A$204,0)),""))</f>
        <v/>
      </c>
      <c r="E232" s="16" t="str">
        <f aca="false">IF(C232="","",IFERROR(INDEX(LOOKAHEAD!$E$5:$E$204,MATCH(C232,LOOKAHEAD!$A$5:$A$204,0)),""))</f>
        <v/>
      </c>
      <c r="F232" s="16" t="str">
        <f aca="false">IF(C232="","",IFERROR(INDEX(LOOKAHEAD!$M$5:$M$204,MATCH(C232,LOOKAHEAD!$A$5:$A$204,0)),""))</f>
        <v/>
      </c>
      <c r="G232" s="9"/>
      <c r="H232" s="9"/>
      <c r="I232" s="16" t="str">
        <f aca="false">IF(C232="","",IFERROR(INDEX(LOOKAHEAD!$G$5:$G$204,MATCH(C232,LOOKAHEAD!$A$5:$A$204,0)),""))</f>
        <v/>
      </c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36" t="str">
        <f aca="false">IF(C232="","",SUM(J232:O232))</f>
        <v/>
      </c>
      <c r="W232" s="36" t="str">
        <f aca="false">IF(C232="","",SUM(P232:U232))</f>
        <v/>
      </c>
      <c r="X232" s="19" t="str">
        <f aca="false">IF(OR(C232="",V232=0),"",W232/V232)</f>
        <v/>
      </c>
      <c r="Y232" s="16" t="str">
        <f aca="false">IF(OR(C232="",V232=0),"",IF(W232&gt;=V232,"Sí","No"))</f>
        <v/>
      </c>
      <c r="Z232" s="9"/>
      <c r="AA232" s="9"/>
    </row>
    <row r="233" customFormat="false" ht="15" hidden="false" customHeight="false" outlineLevel="0" collapsed="false">
      <c r="A233" s="9"/>
      <c r="B233" s="9"/>
      <c r="C233" s="9"/>
      <c r="D233" s="16" t="str">
        <f aca="false">IF(C233="","",IFERROR(INDEX(LOOKAHEAD!$B$5:$B$204,MATCH(C233,LOOKAHEAD!$A$5:$A$204,0)),""))</f>
        <v/>
      </c>
      <c r="E233" s="16" t="str">
        <f aca="false">IF(C233="","",IFERROR(INDEX(LOOKAHEAD!$E$5:$E$204,MATCH(C233,LOOKAHEAD!$A$5:$A$204,0)),""))</f>
        <v/>
      </c>
      <c r="F233" s="16" t="str">
        <f aca="false">IF(C233="","",IFERROR(INDEX(LOOKAHEAD!$M$5:$M$204,MATCH(C233,LOOKAHEAD!$A$5:$A$204,0)),""))</f>
        <v/>
      </c>
      <c r="G233" s="9"/>
      <c r="H233" s="9"/>
      <c r="I233" s="16" t="str">
        <f aca="false">IF(C233="","",IFERROR(INDEX(LOOKAHEAD!$G$5:$G$204,MATCH(C233,LOOKAHEAD!$A$5:$A$204,0)),""))</f>
        <v/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36" t="str">
        <f aca="false">IF(C233="","",SUM(J233:O233))</f>
        <v/>
      </c>
      <c r="W233" s="36" t="str">
        <f aca="false">IF(C233="","",SUM(P233:U233))</f>
        <v/>
      </c>
      <c r="X233" s="19" t="str">
        <f aca="false">IF(OR(C233="",V233=0),"",W233/V233)</f>
        <v/>
      </c>
      <c r="Y233" s="16" t="str">
        <f aca="false">IF(OR(C233="",V233=0),"",IF(W233&gt;=V233,"Sí","No"))</f>
        <v/>
      </c>
      <c r="Z233" s="9"/>
      <c r="AA233" s="9"/>
    </row>
    <row r="234" customFormat="false" ht="15" hidden="false" customHeight="false" outlineLevel="0" collapsed="false">
      <c r="A234" s="9"/>
      <c r="B234" s="9"/>
      <c r="C234" s="9"/>
      <c r="D234" s="16" t="str">
        <f aca="false">IF(C234="","",IFERROR(INDEX(LOOKAHEAD!$B$5:$B$204,MATCH(C234,LOOKAHEAD!$A$5:$A$204,0)),""))</f>
        <v/>
      </c>
      <c r="E234" s="16" t="str">
        <f aca="false">IF(C234="","",IFERROR(INDEX(LOOKAHEAD!$E$5:$E$204,MATCH(C234,LOOKAHEAD!$A$5:$A$204,0)),""))</f>
        <v/>
      </c>
      <c r="F234" s="16" t="str">
        <f aca="false">IF(C234="","",IFERROR(INDEX(LOOKAHEAD!$M$5:$M$204,MATCH(C234,LOOKAHEAD!$A$5:$A$204,0)),""))</f>
        <v/>
      </c>
      <c r="G234" s="9"/>
      <c r="H234" s="9"/>
      <c r="I234" s="16" t="str">
        <f aca="false">IF(C234="","",IFERROR(INDEX(LOOKAHEAD!$G$5:$G$204,MATCH(C234,LOOKAHEAD!$A$5:$A$204,0)),""))</f>
        <v/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36" t="str">
        <f aca="false">IF(C234="","",SUM(J234:O234))</f>
        <v/>
      </c>
      <c r="W234" s="36" t="str">
        <f aca="false">IF(C234="","",SUM(P234:U234))</f>
        <v/>
      </c>
      <c r="X234" s="19" t="str">
        <f aca="false">IF(OR(C234="",V234=0),"",W234/V234)</f>
        <v/>
      </c>
      <c r="Y234" s="16" t="str">
        <f aca="false">IF(OR(C234="",V234=0),"",IF(W234&gt;=V234,"Sí","No"))</f>
        <v/>
      </c>
      <c r="Z234" s="9"/>
      <c r="AA234" s="9"/>
    </row>
    <row r="235" customFormat="false" ht="15" hidden="false" customHeight="false" outlineLevel="0" collapsed="false">
      <c r="A235" s="9"/>
      <c r="B235" s="9"/>
      <c r="C235" s="9"/>
      <c r="D235" s="16" t="str">
        <f aca="false">IF(C235="","",IFERROR(INDEX(LOOKAHEAD!$B$5:$B$204,MATCH(C235,LOOKAHEAD!$A$5:$A$204,0)),""))</f>
        <v/>
      </c>
      <c r="E235" s="16" t="str">
        <f aca="false">IF(C235="","",IFERROR(INDEX(LOOKAHEAD!$E$5:$E$204,MATCH(C235,LOOKAHEAD!$A$5:$A$204,0)),""))</f>
        <v/>
      </c>
      <c r="F235" s="16" t="str">
        <f aca="false">IF(C235="","",IFERROR(INDEX(LOOKAHEAD!$M$5:$M$204,MATCH(C235,LOOKAHEAD!$A$5:$A$204,0)),""))</f>
        <v/>
      </c>
      <c r="G235" s="9"/>
      <c r="H235" s="9"/>
      <c r="I235" s="16" t="str">
        <f aca="false">IF(C235="","",IFERROR(INDEX(LOOKAHEAD!$G$5:$G$204,MATCH(C235,LOOKAHEAD!$A$5:$A$204,0)),""))</f>
        <v/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36" t="str">
        <f aca="false">IF(C235="","",SUM(J235:O235))</f>
        <v/>
      </c>
      <c r="W235" s="36" t="str">
        <f aca="false">IF(C235="","",SUM(P235:U235))</f>
        <v/>
      </c>
      <c r="X235" s="19" t="str">
        <f aca="false">IF(OR(C235="",V235=0),"",W235/V235)</f>
        <v/>
      </c>
      <c r="Y235" s="16" t="str">
        <f aca="false">IF(OR(C235="",V235=0),"",IF(W235&gt;=V235,"Sí","No"))</f>
        <v/>
      </c>
      <c r="Z235" s="9"/>
      <c r="AA235" s="9"/>
    </row>
    <row r="236" customFormat="false" ht="15" hidden="false" customHeight="false" outlineLevel="0" collapsed="false">
      <c r="A236" s="9"/>
      <c r="B236" s="9"/>
      <c r="C236" s="9"/>
      <c r="D236" s="16" t="str">
        <f aca="false">IF(C236="","",IFERROR(INDEX(LOOKAHEAD!$B$5:$B$204,MATCH(C236,LOOKAHEAD!$A$5:$A$204,0)),""))</f>
        <v/>
      </c>
      <c r="E236" s="16" t="str">
        <f aca="false">IF(C236="","",IFERROR(INDEX(LOOKAHEAD!$E$5:$E$204,MATCH(C236,LOOKAHEAD!$A$5:$A$204,0)),""))</f>
        <v/>
      </c>
      <c r="F236" s="16" t="str">
        <f aca="false">IF(C236="","",IFERROR(INDEX(LOOKAHEAD!$M$5:$M$204,MATCH(C236,LOOKAHEAD!$A$5:$A$204,0)),""))</f>
        <v/>
      </c>
      <c r="G236" s="9"/>
      <c r="H236" s="9"/>
      <c r="I236" s="16" t="str">
        <f aca="false">IF(C236="","",IFERROR(INDEX(LOOKAHEAD!$G$5:$G$204,MATCH(C236,LOOKAHEAD!$A$5:$A$204,0)),""))</f>
        <v/>
      </c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36" t="str">
        <f aca="false">IF(C236="","",SUM(J236:O236))</f>
        <v/>
      </c>
      <c r="W236" s="36" t="str">
        <f aca="false">IF(C236="","",SUM(P236:U236))</f>
        <v/>
      </c>
      <c r="X236" s="19" t="str">
        <f aca="false">IF(OR(C236="",V236=0),"",W236/V236)</f>
        <v/>
      </c>
      <c r="Y236" s="16" t="str">
        <f aca="false">IF(OR(C236="",V236=0),"",IF(W236&gt;=V236,"Sí","No"))</f>
        <v/>
      </c>
      <c r="Z236" s="9"/>
      <c r="AA236" s="9"/>
    </row>
    <row r="237" customFormat="false" ht="15" hidden="false" customHeight="false" outlineLevel="0" collapsed="false">
      <c r="A237" s="9"/>
      <c r="B237" s="9"/>
      <c r="C237" s="9"/>
      <c r="D237" s="16" t="str">
        <f aca="false">IF(C237="","",IFERROR(INDEX(LOOKAHEAD!$B$5:$B$204,MATCH(C237,LOOKAHEAD!$A$5:$A$204,0)),""))</f>
        <v/>
      </c>
      <c r="E237" s="16" t="str">
        <f aca="false">IF(C237="","",IFERROR(INDEX(LOOKAHEAD!$E$5:$E$204,MATCH(C237,LOOKAHEAD!$A$5:$A$204,0)),""))</f>
        <v/>
      </c>
      <c r="F237" s="16" t="str">
        <f aca="false">IF(C237="","",IFERROR(INDEX(LOOKAHEAD!$M$5:$M$204,MATCH(C237,LOOKAHEAD!$A$5:$A$204,0)),""))</f>
        <v/>
      </c>
      <c r="G237" s="9"/>
      <c r="H237" s="9"/>
      <c r="I237" s="16" t="str">
        <f aca="false">IF(C237="","",IFERROR(INDEX(LOOKAHEAD!$G$5:$G$204,MATCH(C237,LOOKAHEAD!$A$5:$A$204,0)),""))</f>
        <v/>
      </c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36" t="str">
        <f aca="false">IF(C237="","",SUM(J237:O237))</f>
        <v/>
      </c>
      <c r="W237" s="36" t="str">
        <f aca="false">IF(C237="","",SUM(P237:U237))</f>
        <v/>
      </c>
      <c r="X237" s="19" t="str">
        <f aca="false">IF(OR(C237="",V237=0),"",W237/V237)</f>
        <v/>
      </c>
      <c r="Y237" s="16" t="str">
        <f aca="false">IF(OR(C237="",V237=0),"",IF(W237&gt;=V237,"Sí","No"))</f>
        <v/>
      </c>
      <c r="Z237" s="9"/>
      <c r="AA237" s="9"/>
    </row>
    <row r="238" customFormat="false" ht="15" hidden="false" customHeight="false" outlineLevel="0" collapsed="false">
      <c r="A238" s="9"/>
      <c r="B238" s="9"/>
      <c r="C238" s="9"/>
      <c r="D238" s="16" t="str">
        <f aca="false">IF(C238="","",IFERROR(INDEX(LOOKAHEAD!$B$5:$B$204,MATCH(C238,LOOKAHEAD!$A$5:$A$204,0)),""))</f>
        <v/>
      </c>
      <c r="E238" s="16" t="str">
        <f aca="false">IF(C238="","",IFERROR(INDEX(LOOKAHEAD!$E$5:$E$204,MATCH(C238,LOOKAHEAD!$A$5:$A$204,0)),""))</f>
        <v/>
      </c>
      <c r="F238" s="16" t="str">
        <f aca="false">IF(C238="","",IFERROR(INDEX(LOOKAHEAD!$M$5:$M$204,MATCH(C238,LOOKAHEAD!$A$5:$A$204,0)),""))</f>
        <v/>
      </c>
      <c r="G238" s="9"/>
      <c r="H238" s="9"/>
      <c r="I238" s="16" t="str">
        <f aca="false">IF(C238="","",IFERROR(INDEX(LOOKAHEAD!$G$5:$G$204,MATCH(C238,LOOKAHEAD!$A$5:$A$204,0)),""))</f>
        <v/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36" t="str">
        <f aca="false">IF(C238="","",SUM(J238:O238))</f>
        <v/>
      </c>
      <c r="W238" s="36" t="str">
        <f aca="false">IF(C238="","",SUM(P238:U238))</f>
        <v/>
      </c>
      <c r="X238" s="19" t="str">
        <f aca="false">IF(OR(C238="",V238=0),"",W238/V238)</f>
        <v/>
      </c>
      <c r="Y238" s="16" t="str">
        <f aca="false">IF(OR(C238="",V238=0),"",IF(W238&gt;=V238,"Sí","No"))</f>
        <v/>
      </c>
      <c r="Z238" s="9"/>
      <c r="AA238" s="9"/>
    </row>
    <row r="239" customFormat="false" ht="15" hidden="false" customHeight="false" outlineLevel="0" collapsed="false">
      <c r="A239" s="9"/>
      <c r="B239" s="9"/>
      <c r="C239" s="9"/>
      <c r="D239" s="16" t="str">
        <f aca="false">IF(C239="","",IFERROR(INDEX(LOOKAHEAD!$B$5:$B$204,MATCH(C239,LOOKAHEAD!$A$5:$A$204,0)),""))</f>
        <v/>
      </c>
      <c r="E239" s="16" t="str">
        <f aca="false">IF(C239="","",IFERROR(INDEX(LOOKAHEAD!$E$5:$E$204,MATCH(C239,LOOKAHEAD!$A$5:$A$204,0)),""))</f>
        <v/>
      </c>
      <c r="F239" s="16" t="str">
        <f aca="false">IF(C239="","",IFERROR(INDEX(LOOKAHEAD!$M$5:$M$204,MATCH(C239,LOOKAHEAD!$A$5:$A$204,0)),""))</f>
        <v/>
      </c>
      <c r="G239" s="9"/>
      <c r="H239" s="9"/>
      <c r="I239" s="16" t="str">
        <f aca="false">IF(C239="","",IFERROR(INDEX(LOOKAHEAD!$G$5:$G$204,MATCH(C239,LOOKAHEAD!$A$5:$A$204,0)),""))</f>
        <v/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36" t="str">
        <f aca="false">IF(C239="","",SUM(J239:O239))</f>
        <v/>
      </c>
      <c r="W239" s="36" t="str">
        <f aca="false">IF(C239="","",SUM(P239:U239))</f>
        <v/>
      </c>
      <c r="X239" s="19" t="str">
        <f aca="false">IF(OR(C239="",V239=0),"",W239/V239)</f>
        <v/>
      </c>
      <c r="Y239" s="16" t="str">
        <f aca="false">IF(OR(C239="",V239=0),"",IF(W239&gt;=V239,"Sí","No"))</f>
        <v/>
      </c>
      <c r="Z239" s="9"/>
      <c r="AA239" s="9"/>
    </row>
    <row r="240" customFormat="false" ht="15" hidden="false" customHeight="false" outlineLevel="0" collapsed="false">
      <c r="A240" s="9"/>
      <c r="B240" s="9"/>
      <c r="C240" s="9"/>
      <c r="D240" s="16" t="str">
        <f aca="false">IF(C240="","",IFERROR(INDEX(LOOKAHEAD!$B$5:$B$204,MATCH(C240,LOOKAHEAD!$A$5:$A$204,0)),""))</f>
        <v/>
      </c>
      <c r="E240" s="16" t="str">
        <f aca="false">IF(C240="","",IFERROR(INDEX(LOOKAHEAD!$E$5:$E$204,MATCH(C240,LOOKAHEAD!$A$5:$A$204,0)),""))</f>
        <v/>
      </c>
      <c r="F240" s="16" t="str">
        <f aca="false">IF(C240="","",IFERROR(INDEX(LOOKAHEAD!$M$5:$M$204,MATCH(C240,LOOKAHEAD!$A$5:$A$204,0)),""))</f>
        <v/>
      </c>
      <c r="G240" s="9"/>
      <c r="H240" s="9"/>
      <c r="I240" s="16" t="str">
        <f aca="false">IF(C240="","",IFERROR(INDEX(LOOKAHEAD!$G$5:$G$204,MATCH(C240,LOOKAHEAD!$A$5:$A$204,0)),""))</f>
        <v/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36" t="str">
        <f aca="false">IF(C240="","",SUM(J240:O240))</f>
        <v/>
      </c>
      <c r="W240" s="36" t="str">
        <f aca="false">IF(C240="","",SUM(P240:U240))</f>
        <v/>
      </c>
      <c r="X240" s="19" t="str">
        <f aca="false">IF(OR(C240="",V240=0),"",W240/V240)</f>
        <v/>
      </c>
      <c r="Y240" s="16" t="str">
        <f aca="false">IF(OR(C240="",V240=0),"",IF(W240&gt;=V240,"Sí","No"))</f>
        <v/>
      </c>
      <c r="Z240" s="9"/>
      <c r="AA240" s="9"/>
    </row>
    <row r="241" customFormat="false" ht="15" hidden="false" customHeight="false" outlineLevel="0" collapsed="false">
      <c r="A241" s="9"/>
      <c r="B241" s="9"/>
      <c r="C241" s="9"/>
      <c r="D241" s="16" t="str">
        <f aca="false">IF(C241="","",IFERROR(INDEX(LOOKAHEAD!$B$5:$B$204,MATCH(C241,LOOKAHEAD!$A$5:$A$204,0)),""))</f>
        <v/>
      </c>
      <c r="E241" s="16" t="str">
        <f aca="false">IF(C241="","",IFERROR(INDEX(LOOKAHEAD!$E$5:$E$204,MATCH(C241,LOOKAHEAD!$A$5:$A$204,0)),""))</f>
        <v/>
      </c>
      <c r="F241" s="16" t="str">
        <f aca="false">IF(C241="","",IFERROR(INDEX(LOOKAHEAD!$M$5:$M$204,MATCH(C241,LOOKAHEAD!$A$5:$A$204,0)),""))</f>
        <v/>
      </c>
      <c r="G241" s="9"/>
      <c r="H241" s="9"/>
      <c r="I241" s="16" t="str">
        <f aca="false">IF(C241="","",IFERROR(INDEX(LOOKAHEAD!$G$5:$G$204,MATCH(C241,LOOKAHEAD!$A$5:$A$204,0)),""))</f>
        <v/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36" t="str">
        <f aca="false">IF(C241="","",SUM(J241:O241))</f>
        <v/>
      </c>
      <c r="W241" s="36" t="str">
        <f aca="false">IF(C241="","",SUM(P241:U241))</f>
        <v/>
      </c>
      <c r="X241" s="19" t="str">
        <f aca="false">IF(OR(C241="",V241=0),"",W241/V241)</f>
        <v/>
      </c>
      <c r="Y241" s="16" t="str">
        <f aca="false">IF(OR(C241="",V241=0),"",IF(W241&gt;=V241,"Sí","No"))</f>
        <v/>
      </c>
      <c r="Z241" s="9"/>
      <c r="AA241" s="9"/>
    </row>
    <row r="242" customFormat="false" ht="15" hidden="false" customHeight="false" outlineLevel="0" collapsed="false">
      <c r="A242" s="9"/>
      <c r="B242" s="9"/>
      <c r="C242" s="9"/>
      <c r="D242" s="16" t="str">
        <f aca="false">IF(C242="","",IFERROR(INDEX(LOOKAHEAD!$B$5:$B$204,MATCH(C242,LOOKAHEAD!$A$5:$A$204,0)),""))</f>
        <v/>
      </c>
      <c r="E242" s="16" t="str">
        <f aca="false">IF(C242="","",IFERROR(INDEX(LOOKAHEAD!$E$5:$E$204,MATCH(C242,LOOKAHEAD!$A$5:$A$204,0)),""))</f>
        <v/>
      </c>
      <c r="F242" s="16" t="str">
        <f aca="false">IF(C242="","",IFERROR(INDEX(LOOKAHEAD!$M$5:$M$204,MATCH(C242,LOOKAHEAD!$A$5:$A$204,0)),""))</f>
        <v/>
      </c>
      <c r="G242" s="9"/>
      <c r="H242" s="9"/>
      <c r="I242" s="16" t="str">
        <f aca="false">IF(C242="","",IFERROR(INDEX(LOOKAHEAD!$G$5:$G$204,MATCH(C242,LOOKAHEAD!$A$5:$A$204,0)),""))</f>
        <v/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36" t="str">
        <f aca="false">IF(C242="","",SUM(J242:O242))</f>
        <v/>
      </c>
      <c r="W242" s="36" t="str">
        <f aca="false">IF(C242="","",SUM(P242:U242))</f>
        <v/>
      </c>
      <c r="X242" s="19" t="str">
        <f aca="false">IF(OR(C242="",V242=0),"",W242/V242)</f>
        <v/>
      </c>
      <c r="Y242" s="16" t="str">
        <f aca="false">IF(OR(C242="",V242=0),"",IF(W242&gt;=V242,"Sí","No"))</f>
        <v/>
      </c>
      <c r="Z242" s="9"/>
      <c r="AA242" s="9"/>
    </row>
    <row r="243" customFormat="false" ht="15" hidden="false" customHeight="false" outlineLevel="0" collapsed="false">
      <c r="A243" s="9"/>
      <c r="B243" s="9"/>
      <c r="C243" s="9"/>
      <c r="D243" s="16" t="str">
        <f aca="false">IF(C243="","",IFERROR(INDEX(LOOKAHEAD!$B$5:$B$204,MATCH(C243,LOOKAHEAD!$A$5:$A$204,0)),""))</f>
        <v/>
      </c>
      <c r="E243" s="16" t="str">
        <f aca="false">IF(C243="","",IFERROR(INDEX(LOOKAHEAD!$E$5:$E$204,MATCH(C243,LOOKAHEAD!$A$5:$A$204,0)),""))</f>
        <v/>
      </c>
      <c r="F243" s="16" t="str">
        <f aca="false">IF(C243="","",IFERROR(INDEX(LOOKAHEAD!$M$5:$M$204,MATCH(C243,LOOKAHEAD!$A$5:$A$204,0)),""))</f>
        <v/>
      </c>
      <c r="G243" s="9"/>
      <c r="H243" s="9"/>
      <c r="I243" s="16" t="str">
        <f aca="false">IF(C243="","",IFERROR(INDEX(LOOKAHEAD!$G$5:$G$204,MATCH(C243,LOOKAHEAD!$A$5:$A$204,0)),""))</f>
        <v/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36" t="str">
        <f aca="false">IF(C243="","",SUM(J243:O243))</f>
        <v/>
      </c>
      <c r="W243" s="36" t="str">
        <f aca="false">IF(C243="","",SUM(P243:U243))</f>
        <v/>
      </c>
      <c r="X243" s="19" t="str">
        <f aca="false">IF(OR(C243="",V243=0),"",W243/V243)</f>
        <v/>
      </c>
      <c r="Y243" s="16" t="str">
        <f aca="false">IF(OR(C243="",V243=0),"",IF(W243&gt;=V243,"Sí","No"))</f>
        <v/>
      </c>
      <c r="Z243" s="9"/>
      <c r="AA243" s="9"/>
    </row>
    <row r="244" customFormat="false" ht="15" hidden="false" customHeight="false" outlineLevel="0" collapsed="false">
      <c r="A244" s="9"/>
      <c r="B244" s="9"/>
      <c r="C244" s="9"/>
      <c r="D244" s="16" t="str">
        <f aca="false">IF(C244="","",IFERROR(INDEX(LOOKAHEAD!$B$5:$B$204,MATCH(C244,LOOKAHEAD!$A$5:$A$204,0)),""))</f>
        <v/>
      </c>
      <c r="E244" s="16" t="str">
        <f aca="false">IF(C244="","",IFERROR(INDEX(LOOKAHEAD!$E$5:$E$204,MATCH(C244,LOOKAHEAD!$A$5:$A$204,0)),""))</f>
        <v/>
      </c>
      <c r="F244" s="16" t="str">
        <f aca="false">IF(C244="","",IFERROR(INDEX(LOOKAHEAD!$M$5:$M$204,MATCH(C244,LOOKAHEAD!$A$5:$A$204,0)),""))</f>
        <v/>
      </c>
      <c r="G244" s="9"/>
      <c r="H244" s="9"/>
      <c r="I244" s="16" t="str">
        <f aca="false">IF(C244="","",IFERROR(INDEX(LOOKAHEAD!$G$5:$G$204,MATCH(C244,LOOKAHEAD!$A$5:$A$204,0)),""))</f>
        <v/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36" t="str">
        <f aca="false">IF(C244="","",SUM(J244:O244))</f>
        <v/>
      </c>
      <c r="W244" s="36" t="str">
        <f aca="false">IF(C244="","",SUM(P244:U244))</f>
        <v/>
      </c>
      <c r="X244" s="19" t="str">
        <f aca="false">IF(OR(C244="",V244=0),"",W244/V244)</f>
        <v/>
      </c>
      <c r="Y244" s="16" t="str">
        <f aca="false">IF(OR(C244="",V244=0),"",IF(W244&gt;=V244,"Sí","No"))</f>
        <v/>
      </c>
      <c r="Z244" s="9"/>
      <c r="AA244" s="9"/>
    </row>
    <row r="245" customFormat="false" ht="15" hidden="false" customHeight="false" outlineLevel="0" collapsed="false">
      <c r="A245" s="9"/>
      <c r="B245" s="9"/>
      <c r="C245" s="9"/>
      <c r="D245" s="16" t="str">
        <f aca="false">IF(C245="","",IFERROR(INDEX(LOOKAHEAD!$B$5:$B$204,MATCH(C245,LOOKAHEAD!$A$5:$A$204,0)),""))</f>
        <v/>
      </c>
      <c r="E245" s="16" t="str">
        <f aca="false">IF(C245="","",IFERROR(INDEX(LOOKAHEAD!$E$5:$E$204,MATCH(C245,LOOKAHEAD!$A$5:$A$204,0)),""))</f>
        <v/>
      </c>
      <c r="F245" s="16" t="str">
        <f aca="false">IF(C245="","",IFERROR(INDEX(LOOKAHEAD!$M$5:$M$204,MATCH(C245,LOOKAHEAD!$A$5:$A$204,0)),""))</f>
        <v/>
      </c>
      <c r="G245" s="9"/>
      <c r="H245" s="9"/>
      <c r="I245" s="16" t="str">
        <f aca="false">IF(C245="","",IFERROR(INDEX(LOOKAHEAD!$G$5:$G$204,MATCH(C245,LOOKAHEAD!$A$5:$A$204,0)),""))</f>
        <v/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36" t="str">
        <f aca="false">IF(C245="","",SUM(J245:O245))</f>
        <v/>
      </c>
      <c r="W245" s="36" t="str">
        <f aca="false">IF(C245="","",SUM(P245:U245))</f>
        <v/>
      </c>
      <c r="X245" s="19" t="str">
        <f aca="false">IF(OR(C245="",V245=0),"",W245/V245)</f>
        <v/>
      </c>
      <c r="Y245" s="16" t="str">
        <f aca="false">IF(OR(C245="",V245=0),"",IF(W245&gt;=V245,"Sí","No"))</f>
        <v/>
      </c>
      <c r="Z245" s="9"/>
      <c r="AA245" s="9"/>
    </row>
    <row r="246" customFormat="false" ht="15" hidden="false" customHeight="false" outlineLevel="0" collapsed="false">
      <c r="A246" s="9"/>
      <c r="B246" s="9"/>
      <c r="C246" s="9"/>
      <c r="D246" s="16" t="str">
        <f aca="false">IF(C246="","",IFERROR(INDEX(LOOKAHEAD!$B$5:$B$204,MATCH(C246,LOOKAHEAD!$A$5:$A$204,0)),""))</f>
        <v/>
      </c>
      <c r="E246" s="16" t="str">
        <f aca="false">IF(C246="","",IFERROR(INDEX(LOOKAHEAD!$E$5:$E$204,MATCH(C246,LOOKAHEAD!$A$5:$A$204,0)),""))</f>
        <v/>
      </c>
      <c r="F246" s="16" t="str">
        <f aca="false">IF(C246="","",IFERROR(INDEX(LOOKAHEAD!$M$5:$M$204,MATCH(C246,LOOKAHEAD!$A$5:$A$204,0)),""))</f>
        <v/>
      </c>
      <c r="G246" s="9"/>
      <c r="H246" s="9"/>
      <c r="I246" s="16" t="str">
        <f aca="false">IF(C246="","",IFERROR(INDEX(LOOKAHEAD!$G$5:$G$204,MATCH(C246,LOOKAHEAD!$A$5:$A$204,0)),""))</f>
        <v/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36" t="str">
        <f aca="false">IF(C246="","",SUM(J246:O246))</f>
        <v/>
      </c>
      <c r="W246" s="36" t="str">
        <f aca="false">IF(C246="","",SUM(P246:U246))</f>
        <v/>
      </c>
      <c r="X246" s="19" t="str">
        <f aca="false">IF(OR(C246="",V246=0),"",W246/V246)</f>
        <v/>
      </c>
      <c r="Y246" s="16" t="str">
        <f aca="false">IF(OR(C246="",V246=0),"",IF(W246&gt;=V246,"Sí","No"))</f>
        <v/>
      </c>
      <c r="Z246" s="9"/>
      <c r="AA246" s="9"/>
    </row>
    <row r="247" customFormat="false" ht="15" hidden="false" customHeight="false" outlineLevel="0" collapsed="false">
      <c r="A247" s="9"/>
      <c r="B247" s="9"/>
      <c r="C247" s="9"/>
      <c r="D247" s="16" t="str">
        <f aca="false">IF(C247="","",IFERROR(INDEX(LOOKAHEAD!$B$5:$B$204,MATCH(C247,LOOKAHEAD!$A$5:$A$204,0)),""))</f>
        <v/>
      </c>
      <c r="E247" s="16" t="str">
        <f aca="false">IF(C247="","",IFERROR(INDEX(LOOKAHEAD!$E$5:$E$204,MATCH(C247,LOOKAHEAD!$A$5:$A$204,0)),""))</f>
        <v/>
      </c>
      <c r="F247" s="16" t="str">
        <f aca="false">IF(C247="","",IFERROR(INDEX(LOOKAHEAD!$M$5:$M$204,MATCH(C247,LOOKAHEAD!$A$5:$A$204,0)),""))</f>
        <v/>
      </c>
      <c r="G247" s="9"/>
      <c r="H247" s="9"/>
      <c r="I247" s="16" t="str">
        <f aca="false">IF(C247="","",IFERROR(INDEX(LOOKAHEAD!$G$5:$G$204,MATCH(C247,LOOKAHEAD!$A$5:$A$204,0)),""))</f>
        <v/>
      </c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36" t="str">
        <f aca="false">IF(C247="","",SUM(J247:O247))</f>
        <v/>
      </c>
      <c r="W247" s="36" t="str">
        <f aca="false">IF(C247="","",SUM(P247:U247))</f>
        <v/>
      </c>
      <c r="X247" s="19" t="str">
        <f aca="false">IF(OR(C247="",V247=0),"",W247/V247)</f>
        <v/>
      </c>
      <c r="Y247" s="16" t="str">
        <f aca="false">IF(OR(C247="",V247=0),"",IF(W247&gt;=V247,"Sí","No"))</f>
        <v/>
      </c>
      <c r="Z247" s="9"/>
      <c r="AA247" s="9"/>
    </row>
    <row r="248" customFormat="false" ht="15" hidden="false" customHeight="false" outlineLevel="0" collapsed="false">
      <c r="A248" s="9"/>
      <c r="B248" s="9"/>
      <c r="C248" s="9"/>
      <c r="D248" s="16" t="str">
        <f aca="false">IF(C248="","",IFERROR(INDEX(LOOKAHEAD!$B$5:$B$204,MATCH(C248,LOOKAHEAD!$A$5:$A$204,0)),""))</f>
        <v/>
      </c>
      <c r="E248" s="16" t="str">
        <f aca="false">IF(C248="","",IFERROR(INDEX(LOOKAHEAD!$E$5:$E$204,MATCH(C248,LOOKAHEAD!$A$5:$A$204,0)),""))</f>
        <v/>
      </c>
      <c r="F248" s="16" t="str">
        <f aca="false">IF(C248="","",IFERROR(INDEX(LOOKAHEAD!$M$5:$M$204,MATCH(C248,LOOKAHEAD!$A$5:$A$204,0)),""))</f>
        <v/>
      </c>
      <c r="G248" s="9"/>
      <c r="H248" s="9"/>
      <c r="I248" s="16" t="str">
        <f aca="false">IF(C248="","",IFERROR(INDEX(LOOKAHEAD!$G$5:$G$204,MATCH(C248,LOOKAHEAD!$A$5:$A$204,0)),""))</f>
        <v/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36" t="str">
        <f aca="false">IF(C248="","",SUM(J248:O248))</f>
        <v/>
      </c>
      <c r="W248" s="36" t="str">
        <f aca="false">IF(C248="","",SUM(P248:U248))</f>
        <v/>
      </c>
      <c r="X248" s="19" t="str">
        <f aca="false">IF(OR(C248="",V248=0),"",W248/V248)</f>
        <v/>
      </c>
      <c r="Y248" s="16" t="str">
        <f aca="false">IF(OR(C248="",V248=0),"",IF(W248&gt;=V248,"Sí","No"))</f>
        <v/>
      </c>
      <c r="Z248" s="9"/>
      <c r="AA248" s="9"/>
    </row>
    <row r="249" customFormat="false" ht="15" hidden="false" customHeight="false" outlineLevel="0" collapsed="false">
      <c r="A249" s="9"/>
      <c r="B249" s="9"/>
      <c r="C249" s="9"/>
      <c r="D249" s="16" t="str">
        <f aca="false">IF(C249="","",IFERROR(INDEX(LOOKAHEAD!$B$5:$B$204,MATCH(C249,LOOKAHEAD!$A$5:$A$204,0)),""))</f>
        <v/>
      </c>
      <c r="E249" s="16" t="str">
        <f aca="false">IF(C249="","",IFERROR(INDEX(LOOKAHEAD!$E$5:$E$204,MATCH(C249,LOOKAHEAD!$A$5:$A$204,0)),""))</f>
        <v/>
      </c>
      <c r="F249" s="16" t="str">
        <f aca="false">IF(C249="","",IFERROR(INDEX(LOOKAHEAD!$M$5:$M$204,MATCH(C249,LOOKAHEAD!$A$5:$A$204,0)),""))</f>
        <v/>
      </c>
      <c r="G249" s="9"/>
      <c r="H249" s="9"/>
      <c r="I249" s="16" t="str">
        <f aca="false">IF(C249="","",IFERROR(INDEX(LOOKAHEAD!$G$5:$G$204,MATCH(C249,LOOKAHEAD!$A$5:$A$204,0)),""))</f>
        <v/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36" t="str">
        <f aca="false">IF(C249="","",SUM(J249:O249))</f>
        <v/>
      </c>
      <c r="W249" s="36" t="str">
        <f aca="false">IF(C249="","",SUM(P249:U249))</f>
        <v/>
      </c>
      <c r="X249" s="19" t="str">
        <f aca="false">IF(OR(C249="",V249=0),"",W249/V249)</f>
        <v/>
      </c>
      <c r="Y249" s="16" t="str">
        <f aca="false">IF(OR(C249="",V249=0),"",IF(W249&gt;=V249,"Sí","No"))</f>
        <v/>
      </c>
      <c r="Z249" s="9"/>
      <c r="AA249" s="9"/>
    </row>
    <row r="250" customFormat="false" ht="15" hidden="false" customHeight="false" outlineLevel="0" collapsed="false">
      <c r="A250" s="9"/>
      <c r="B250" s="9"/>
      <c r="C250" s="9"/>
      <c r="D250" s="16" t="str">
        <f aca="false">IF(C250="","",IFERROR(INDEX(LOOKAHEAD!$B$5:$B$204,MATCH(C250,LOOKAHEAD!$A$5:$A$204,0)),""))</f>
        <v/>
      </c>
      <c r="E250" s="16" t="str">
        <f aca="false">IF(C250="","",IFERROR(INDEX(LOOKAHEAD!$E$5:$E$204,MATCH(C250,LOOKAHEAD!$A$5:$A$204,0)),""))</f>
        <v/>
      </c>
      <c r="F250" s="16" t="str">
        <f aca="false">IF(C250="","",IFERROR(INDEX(LOOKAHEAD!$M$5:$M$204,MATCH(C250,LOOKAHEAD!$A$5:$A$204,0)),""))</f>
        <v/>
      </c>
      <c r="G250" s="9"/>
      <c r="H250" s="9"/>
      <c r="I250" s="16" t="str">
        <f aca="false">IF(C250="","",IFERROR(INDEX(LOOKAHEAD!$G$5:$G$204,MATCH(C250,LOOKAHEAD!$A$5:$A$204,0)),""))</f>
        <v/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36" t="str">
        <f aca="false">IF(C250="","",SUM(J250:O250))</f>
        <v/>
      </c>
      <c r="W250" s="36" t="str">
        <f aca="false">IF(C250="","",SUM(P250:U250))</f>
        <v/>
      </c>
      <c r="X250" s="19" t="str">
        <f aca="false">IF(OR(C250="",V250=0),"",W250/V250)</f>
        <v/>
      </c>
      <c r="Y250" s="16" t="str">
        <f aca="false">IF(OR(C250="",V250=0),"",IF(W250&gt;=V250,"Sí","No"))</f>
        <v/>
      </c>
      <c r="Z250" s="9"/>
      <c r="AA250" s="9"/>
    </row>
    <row r="251" customFormat="false" ht="15" hidden="false" customHeight="false" outlineLevel="0" collapsed="false">
      <c r="A251" s="9"/>
      <c r="B251" s="9"/>
      <c r="C251" s="9"/>
      <c r="D251" s="16" t="str">
        <f aca="false">IF(C251="","",IFERROR(INDEX(LOOKAHEAD!$B$5:$B$204,MATCH(C251,LOOKAHEAD!$A$5:$A$204,0)),""))</f>
        <v/>
      </c>
      <c r="E251" s="16" t="str">
        <f aca="false">IF(C251="","",IFERROR(INDEX(LOOKAHEAD!$E$5:$E$204,MATCH(C251,LOOKAHEAD!$A$5:$A$204,0)),""))</f>
        <v/>
      </c>
      <c r="F251" s="16" t="str">
        <f aca="false">IF(C251="","",IFERROR(INDEX(LOOKAHEAD!$M$5:$M$204,MATCH(C251,LOOKAHEAD!$A$5:$A$204,0)),""))</f>
        <v/>
      </c>
      <c r="G251" s="9"/>
      <c r="H251" s="9"/>
      <c r="I251" s="16" t="str">
        <f aca="false">IF(C251="","",IFERROR(INDEX(LOOKAHEAD!$G$5:$G$204,MATCH(C251,LOOKAHEAD!$A$5:$A$204,0)),""))</f>
        <v/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36" t="str">
        <f aca="false">IF(C251="","",SUM(J251:O251))</f>
        <v/>
      </c>
      <c r="W251" s="36" t="str">
        <f aca="false">IF(C251="","",SUM(P251:U251))</f>
        <v/>
      </c>
      <c r="X251" s="19" t="str">
        <f aca="false">IF(OR(C251="",V251=0),"",W251/V251)</f>
        <v/>
      </c>
      <c r="Y251" s="16" t="str">
        <f aca="false">IF(OR(C251="",V251=0),"",IF(W251&gt;=V251,"Sí","No"))</f>
        <v/>
      </c>
      <c r="Z251" s="9"/>
      <c r="AA251" s="9"/>
    </row>
    <row r="252" customFormat="false" ht="15" hidden="false" customHeight="false" outlineLevel="0" collapsed="false">
      <c r="A252" s="9"/>
      <c r="B252" s="9"/>
      <c r="C252" s="9"/>
      <c r="D252" s="16" t="str">
        <f aca="false">IF(C252="","",IFERROR(INDEX(LOOKAHEAD!$B$5:$B$204,MATCH(C252,LOOKAHEAD!$A$5:$A$204,0)),""))</f>
        <v/>
      </c>
      <c r="E252" s="16" t="str">
        <f aca="false">IF(C252="","",IFERROR(INDEX(LOOKAHEAD!$E$5:$E$204,MATCH(C252,LOOKAHEAD!$A$5:$A$204,0)),""))</f>
        <v/>
      </c>
      <c r="F252" s="16" t="str">
        <f aca="false">IF(C252="","",IFERROR(INDEX(LOOKAHEAD!$M$5:$M$204,MATCH(C252,LOOKAHEAD!$A$5:$A$204,0)),""))</f>
        <v/>
      </c>
      <c r="G252" s="9"/>
      <c r="H252" s="9"/>
      <c r="I252" s="16" t="str">
        <f aca="false">IF(C252="","",IFERROR(INDEX(LOOKAHEAD!$G$5:$G$204,MATCH(C252,LOOKAHEAD!$A$5:$A$204,0)),""))</f>
        <v/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36" t="str">
        <f aca="false">IF(C252="","",SUM(J252:O252))</f>
        <v/>
      </c>
      <c r="W252" s="36" t="str">
        <f aca="false">IF(C252="","",SUM(P252:U252))</f>
        <v/>
      </c>
      <c r="X252" s="19" t="str">
        <f aca="false">IF(OR(C252="",V252=0),"",W252/V252)</f>
        <v/>
      </c>
      <c r="Y252" s="16" t="str">
        <f aca="false">IF(OR(C252="",V252=0),"",IF(W252&gt;=V252,"Sí","No"))</f>
        <v/>
      </c>
      <c r="Z252" s="9"/>
      <c r="AA252" s="9"/>
    </row>
    <row r="253" customFormat="false" ht="15" hidden="false" customHeight="false" outlineLevel="0" collapsed="false">
      <c r="A253" s="9"/>
      <c r="B253" s="9"/>
      <c r="C253" s="9"/>
      <c r="D253" s="16" t="str">
        <f aca="false">IF(C253="","",IFERROR(INDEX(LOOKAHEAD!$B$5:$B$204,MATCH(C253,LOOKAHEAD!$A$5:$A$204,0)),""))</f>
        <v/>
      </c>
      <c r="E253" s="16" t="str">
        <f aca="false">IF(C253="","",IFERROR(INDEX(LOOKAHEAD!$E$5:$E$204,MATCH(C253,LOOKAHEAD!$A$5:$A$204,0)),""))</f>
        <v/>
      </c>
      <c r="F253" s="16" t="str">
        <f aca="false">IF(C253="","",IFERROR(INDEX(LOOKAHEAD!$M$5:$M$204,MATCH(C253,LOOKAHEAD!$A$5:$A$204,0)),""))</f>
        <v/>
      </c>
      <c r="G253" s="9"/>
      <c r="H253" s="9"/>
      <c r="I253" s="16" t="str">
        <f aca="false">IF(C253="","",IFERROR(INDEX(LOOKAHEAD!$G$5:$G$204,MATCH(C253,LOOKAHEAD!$A$5:$A$204,0)),""))</f>
        <v/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36" t="str">
        <f aca="false">IF(C253="","",SUM(J253:O253))</f>
        <v/>
      </c>
      <c r="W253" s="36" t="str">
        <f aca="false">IF(C253="","",SUM(P253:U253))</f>
        <v/>
      </c>
      <c r="X253" s="19" t="str">
        <f aca="false">IF(OR(C253="",V253=0),"",W253/V253)</f>
        <v/>
      </c>
      <c r="Y253" s="16" t="str">
        <f aca="false">IF(OR(C253="",V253=0),"",IF(W253&gt;=V253,"Sí","No"))</f>
        <v/>
      </c>
      <c r="Z253" s="9"/>
      <c r="AA253" s="9"/>
    </row>
    <row r="254" customFormat="false" ht="15" hidden="false" customHeight="false" outlineLevel="0" collapsed="false">
      <c r="A254" s="9"/>
      <c r="B254" s="9"/>
      <c r="C254" s="9"/>
      <c r="D254" s="16" t="str">
        <f aca="false">IF(C254="","",IFERROR(INDEX(LOOKAHEAD!$B$5:$B$204,MATCH(C254,LOOKAHEAD!$A$5:$A$204,0)),""))</f>
        <v/>
      </c>
      <c r="E254" s="16" t="str">
        <f aca="false">IF(C254="","",IFERROR(INDEX(LOOKAHEAD!$E$5:$E$204,MATCH(C254,LOOKAHEAD!$A$5:$A$204,0)),""))</f>
        <v/>
      </c>
      <c r="F254" s="16" t="str">
        <f aca="false">IF(C254="","",IFERROR(INDEX(LOOKAHEAD!$M$5:$M$204,MATCH(C254,LOOKAHEAD!$A$5:$A$204,0)),""))</f>
        <v/>
      </c>
      <c r="G254" s="9"/>
      <c r="H254" s="9"/>
      <c r="I254" s="16" t="str">
        <f aca="false">IF(C254="","",IFERROR(INDEX(LOOKAHEAD!$G$5:$G$204,MATCH(C254,LOOKAHEAD!$A$5:$A$204,0)),""))</f>
        <v/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36" t="str">
        <f aca="false">IF(C254="","",SUM(J254:O254))</f>
        <v/>
      </c>
      <c r="W254" s="36" t="str">
        <f aca="false">IF(C254="","",SUM(P254:U254))</f>
        <v/>
      </c>
      <c r="X254" s="19" t="str">
        <f aca="false">IF(OR(C254="",V254=0),"",W254/V254)</f>
        <v/>
      </c>
      <c r="Y254" s="16" t="str">
        <f aca="false">IF(OR(C254="",V254=0),"",IF(W254&gt;=V254,"Sí","No"))</f>
        <v/>
      </c>
      <c r="Z254" s="9"/>
      <c r="AA254" s="9"/>
    </row>
    <row r="255" customFormat="false" ht="15" hidden="false" customHeight="false" outlineLevel="0" collapsed="false">
      <c r="A255" s="9"/>
      <c r="B255" s="9"/>
      <c r="C255" s="9"/>
      <c r="D255" s="16" t="str">
        <f aca="false">IF(C255="","",IFERROR(INDEX(LOOKAHEAD!$B$5:$B$204,MATCH(C255,LOOKAHEAD!$A$5:$A$204,0)),""))</f>
        <v/>
      </c>
      <c r="E255" s="16" t="str">
        <f aca="false">IF(C255="","",IFERROR(INDEX(LOOKAHEAD!$E$5:$E$204,MATCH(C255,LOOKAHEAD!$A$5:$A$204,0)),""))</f>
        <v/>
      </c>
      <c r="F255" s="16" t="str">
        <f aca="false">IF(C255="","",IFERROR(INDEX(LOOKAHEAD!$M$5:$M$204,MATCH(C255,LOOKAHEAD!$A$5:$A$204,0)),""))</f>
        <v/>
      </c>
      <c r="G255" s="9"/>
      <c r="H255" s="9"/>
      <c r="I255" s="16" t="str">
        <f aca="false">IF(C255="","",IFERROR(INDEX(LOOKAHEAD!$G$5:$G$204,MATCH(C255,LOOKAHEAD!$A$5:$A$204,0)),""))</f>
        <v/>
      </c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36" t="str">
        <f aca="false">IF(C255="","",SUM(J255:O255))</f>
        <v/>
      </c>
      <c r="W255" s="36" t="str">
        <f aca="false">IF(C255="","",SUM(P255:U255))</f>
        <v/>
      </c>
      <c r="X255" s="19" t="str">
        <f aca="false">IF(OR(C255="",V255=0),"",W255/V255)</f>
        <v/>
      </c>
      <c r="Y255" s="16" t="str">
        <f aca="false">IF(OR(C255="",V255=0),"",IF(W255&gt;=V255,"Sí","No"))</f>
        <v/>
      </c>
      <c r="Z255" s="9"/>
      <c r="AA255" s="9"/>
    </row>
    <row r="256" customFormat="false" ht="15" hidden="false" customHeight="false" outlineLevel="0" collapsed="false">
      <c r="A256" s="9"/>
      <c r="B256" s="9"/>
      <c r="C256" s="9"/>
      <c r="D256" s="16" t="str">
        <f aca="false">IF(C256="","",IFERROR(INDEX(LOOKAHEAD!$B$5:$B$204,MATCH(C256,LOOKAHEAD!$A$5:$A$204,0)),""))</f>
        <v/>
      </c>
      <c r="E256" s="16" t="str">
        <f aca="false">IF(C256="","",IFERROR(INDEX(LOOKAHEAD!$E$5:$E$204,MATCH(C256,LOOKAHEAD!$A$5:$A$204,0)),""))</f>
        <v/>
      </c>
      <c r="F256" s="16" t="str">
        <f aca="false">IF(C256="","",IFERROR(INDEX(LOOKAHEAD!$M$5:$M$204,MATCH(C256,LOOKAHEAD!$A$5:$A$204,0)),""))</f>
        <v/>
      </c>
      <c r="G256" s="9"/>
      <c r="H256" s="9"/>
      <c r="I256" s="16" t="str">
        <f aca="false">IF(C256="","",IFERROR(INDEX(LOOKAHEAD!$G$5:$G$204,MATCH(C256,LOOKAHEAD!$A$5:$A$204,0)),""))</f>
        <v/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36" t="str">
        <f aca="false">IF(C256="","",SUM(J256:O256))</f>
        <v/>
      </c>
      <c r="W256" s="36" t="str">
        <f aca="false">IF(C256="","",SUM(P256:U256))</f>
        <v/>
      </c>
      <c r="X256" s="19" t="str">
        <f aca="false">IF(OR(C256="",V256=0),"",W256/V256)</f>
        <v/>
      </c>
      <c r="Y256" s="16" t="str">
        <f aca="false">IF(OR(C256="",V256=0),"",IF(W256&gt;=V256,"Sí","No"))</f>
        <v/>
      </c>
      <c r="Z256" s="9"/>
      <c r="AA256" s="9"/>
    </row>
    <row r="257" customFormat="false" ht="15" hidden="false" customHeight="false" outlineLevel="0" collapsed="false">
      <c r="A257" s="9"/>
      <c r="B257" s="9"/>
      <c r="C257" s="9"/>
      <c r="D257" s="16" t="str">
        <f aca="false">IF(C257="","",IFERROR(INDEX(LOOKAHEAD!$B$5:$B$204,MATCH(C257,LOOKAHEAD!$A$5:$A$204,0)),""))</f>
        <v/>
      </c>
      <c r="E257" s="16" t="str">
        <f aca="false">IF(C257="","",IFERROR(INDEX(LOOKAHEAD!$E$5:$E$204,MATCH(C257,LOOKAHEAD!$A$5:$A$204,0)),""))</f>
        <v/>
      </c>
      <c r="F257" s="16" t="str">
        <f aca="false">IF(C257="","",IFERROR(INDEX(LOOKAHEAD!$M$5:$M$204,MATCH(C257,LOOKAHEAD!$A$5:$A$204,0)),""))</f>
        <v/>
      </c>
      <c r="G257" s="9"/>
      <c r="H257" s="9"/>
      <c r="I257" s="16" t="str">
        <f aca="false">IF(C257="","",IFERROR(INDEX(LOOKAHEAD!$G$5:$G$204,MATCH(C257,LOOKAHEAD!$A$5:$A$204,0)),""))</f>
        <v/>
      </c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36" t="str">
        <f aca="false">IF(C257="","",SUM(J257:O257))</f>
        <v/>
      </c>
      <c r="W257" s="36" t="str">
        <f aca="false">IF(C257="","",SUM(P257:U257))</f>
        <v/>
      </c>
      <c r="X257" s="19" t="str">
        <f aca="false">IF(OR(C257="",V257=0),"",W257/V257)</f>
        <v/>
      </c>
      <c r="Y257" s="16" t="str">
        <f aca="false">IF(OR(C257="",V257=0),"",IF(W257&gt;=V257,"Sí","No"))</f>
        <v/>
      </c>
      <c r="Z257" s="9"/>
      <c r="AA257" s="9"/>
    </row>
    <row r="258" customFormat="false" ht="15" hidden="false" customHeight="false" outlineLevel="0" collapsed="false">
      <c r="A258" s="9"/>
      <c r="B258" s="9"/>
      <c r="C258" s="9"/>
      <c r="D258" s="16" t="str">
        <f aca="false">IF(C258="","",IFERROR(INDEX(LOOKAHEAD!$B$5:$B$204,MATCH(C258,LOOKAHEAD!$A$5:$A$204,0)),""))</f>
        <v/>
      </c>
      <c r="E258" s="16" t="str">
        <f aca="false">IF(C258="","",IFERROR(INDEX(LOOKAHEAD!$E$5:$E$204,MATCH(C258,LOOKAHEAD!$A$5:$A$204,0)),""))</f>
        <v/>
      </c>
      <c r="F258" s="16" t="str">
        <f aca="false">IF(C258="","",IFERROR(INDEX(LOOKAHEAD!$M$5:$M$204,MATCH(C258,LOOKAHEAD!$A$5:$A$204,0)),""))</f>
        <v/>
      </c>
      <c r="G258" s="9"/>
      <c r="H258" s="9"/>
      <c r="I258" s="16" t="str">
        <f aca="false">IF(C258="","",IFERROR(INDEX(LOOKAHEAD!$G$5:$G$204,MATCH(C258,LOOKAHEAD!$A$5:$A$204,0)),""))</f>
        <v/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36" t="str">
        <f aca="false">IF(C258="","",SUM(J258:O258))</f>
        <v/>
      </c>
      <c r="W258" s="36" t="str">
        <f aca="false">IF(C258="","",SUM(P258:U258))</f>
        <v/>
      </c>
      <c r="X258" s="19" t="str">
        <f aca="false">IF(OR(C258="",V258=0),"",W258/V258)</f>
        <v/>
      </c>
      <c r="Y258" s="16" t="str">
        <f aca="false">IF(OR(C258="",V258=0),"",IF(W258&gt;=V258,"Sí","No"))</f>
        <v/>
      </c>
      <c r="Z258" s="9"/>
      <c r="AA258" s="9"/>
    </row>
    <row r="259" customFormat="false" ht="15" hidden="false" customHeight="false" outlineLevel="0" collapsed="false">
      <c r="A259" s="9"/>
      <c r="B259" s="9"/>
      <c r="C259" s="9"/>
      <c r="D259" s="16" t="str">
        <f aca="false">IF(C259="","",IFERROR(INDEX(LOOKAHEAD!$B$5:$B$204,MATCH(C259,LOOKAHEAD!$A$5:$A$204,0)),""))</f>
        <v/>
      </c>
      <c r="E259" s="16" t="str">
        <f aca="false">IF(C259="","",IFERROR(INDEX(LOOKAHEAD!$E$5:$E$204,MATCH(C259,LOOKAHEAD!$A$5:$A$204,0)),""))</f>
        <v/>
      </c>
      <c r="F259" s="16" t="str">
        <f aca="false">IF(C259="","",IFERROR(INDEX(LOOKAHEAD!$M$5:$M$204,MATCH(C259,LOOKAHEAD!$A$5:$A$204,0)),""))</f>
        <v/>
      </c>
      <c r="G259" s="9"/>
      <c r="H259" s="9"/>
      <c r="I259" s="16" t="str">
        <f aca="false">IF(C259="","",IFERROR(INDEX(LOOKAHEAD!$G$5:$G$204,MATCH(C259,LOOKAHEAD!$A$5:$A$204,0)),""))</f>
        <v/>
      </c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36" t="str">
        <f aca="false">IF(C259="","",SUM(J259:O259))</f>
        <v/>
      </c>
      <c r="W259" s="36" t="str">
        <f aca="false">IF(C259="","",SUM(P259:U259))</f>
        <v/>
      </c>
      <c r="X259" s="19" t="str">
        <f aca="false">IF(OR(C259="",V259=0),"",W259/V259)</f>
        <v/>
      </c>
      <c r="Y259" s="16" t="str">
        <f aca="false">IF(OR(C259="",V259=0),"",IF(W259&gt;=V259,"Sí","No"))</f>
        <v/>
      </c>
      <c r="Z259" s="9"/>
      <c r="AA259" s="9"/>
    </row>
    <row r="260" customFormat="false" ht="15" hidden="false" customHeight="false" outlineLevel="0" collapsed="false">
      <c r="A260" s="9"/>
      <c r="B260" s="9"/>
      <c r="C260" s="9"/>
      <c r="D260" s="16" t="str">
        <f aca="false">IF(C260="","",IFERROR(INDEX(LOOKAHEAD!$B$5:$B$204,MATCH(C260,LOOKAHEAD!$A$5:$A$204,0)),""))</f>
        <v/>
      </c>
      <c r="E260" s="16" t="str">
        <f aca="false">IF(C260="","",IFERROR(INDEX(LOOKAHEAD!$E$5:$E$204,MATCH(C260,LOOKAHEAD!$A$5:$A$204,0)),""))</f>
        <v/>
      </c>
      <c r="F260" s="16" t="str">
        <f aca="false">IF(C260="","",IFERROR(INDEX(LOOKAHEAD!$M$5:$M$204,MATCH(C260,LOOKAHEAD!$A$5:$A$204,0)),""))</f>
        <v/>
      </c>
      <c r="G260" s="9"/>
      <c r="H260" s="9"/>
      <c r="I260" s="16" t="str">
        <f aca="false">IF(C260="","",IFERROR(INDEX(LOOKAHEAD!$G$5:$G$204,MATCH(C260,LOOKAHEAD!$A$5:$A$204,0)),""))</f>
        <v/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36" t="str">
        <f aca="false">IF(C260="","",SUM(J260:O260))</f>
        <v/>
      </c>
      <c r="W260" s="36" t="str">
        <f aca="false">IF(C260="","",SUM(P260:U260))</f>
        <v/>
      </c>
      <c r="X260" s="19" t="str">
        <f aca="false">IF(OR(C260="",V260=0),"",W260/V260)</f>
        <v/>
      </c>
      <c r="Y260" s="16" t="str">
        <f aca="false">IF(OR(C260="",V260=0),"",IF(W260&gt;=V260,"Sí","No"))</f>
        <v/>
      </c>
      <c r="Z260" s="9"/>
      <c r="AA260" s="9"/>
    </row>
    <row r="261" customFormat="false" ht="15" hidden="false" customHeight="false" outlineLevel="0" collapsed="false">
      <c r="A261" s="9"/>
      <c r="B261" s="9"/>
      <c r="C261" s="9"/>
      <c r="D261" s="16" t="str">
        <f aca="false">IF(C261="","",IFERROR(INDEX(LOOKAHEAD!$B$5:$B$204,MATCH(C261,LOOKAHEAD!$A$5:$A$204,0)),""))</f>
        <v/>
      </c>
      <c r="E261" s="16" t="str">
        <f aca="false">IF(C261="","",IFERROR(INDEX(LOOKAHEAD!$E$5:$E$204,MATCH(C261,LOOKAHEAD!$A$5:$A$204,0)),""))</f>
        <v/>
      </c>
      <c r="F261" s="16" t="str">
        <f aca="false">IF(C261="","",IFERROR(INDEX(LOOKAHEAD!$M$5:$M$204,MATCH(C261,LOOKAHEAD!$A$5:$A$204,0)),""))</f>
        <v/>
      </c>
      <c r="G261" s="9"/>
      <c r="H261" s="9"/>
      <c r="I261" s="16" t="str">
        <f aca="false">IF(C261="","",IFERROR(INDEX(LOOKAHEAD!$G$5:$G$204,MATCH(C261,LOOKAHEAD!$A$5:$A$204,0)),""))</f>
        <v/>
      </c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36" t="str">
        <f aca="false">IF(C261="","",SUM(J261:O261))</f>
        <v/>
      </c>
      <c r="W261" s="36" t="str">
        <f aca="false">IF(C261="","",SUM(P261:U261))</f>
        <v/>
      </c>
      <c r="X261" s="19" t="str">
        <f aca="false">IF(OR(C261="",V261=0),"",W261/V261)</f>
        <v/>
      </c>
      <c r="Y261" s="16" t="str">
        <f aca="false">IF(OR(C261="",V261=0),"",IF(W261&gt;=V261,"Sí","No"))</f>
        <v/>
      </c>
      <c r="Z261" s="9"/>
      <c r="AA261" s="9"/>
    </row>
    <row r="262" customFormat="false" ht="15" hidden="false" customHeight="false" outlineLevel="0" collapsed="false">
      <c r="A262" s="9"/>
      <c r="B262" s="9"/>
      <c r="C262" s="9"/>
      <c r="D262" s="16" t="str">
        <f aca="false">IF(C262="","",IFERROR(INDEX(LOOKAHEAD!$B$5:$B$204,MATCH(C262,LOOKAHEAD!$A$5:$A$204,0)),""))</f>
        <v/>
      </c>
      <c r="E262" s="16" t="str">
        <f aca="false">IF(C262="","",IFERROR(INDEX(LOOKAHEAD!$E$5:$E$204,MATCH(C262,LOOKAHEAD!$A$5:$A$204,0)),""))</f>
        <v/>
      </c>
      <c r="F262" s="16" t="str">
        <f aca="false">IF(C262="","",IFERROR(INDEX(LOOKAHEAD!$M$5:$M$204,MATCH(C262,LOOKAHEAD!$A$5:$A$204,0)),""))</f>
        <v/>
      </c>
      <c r="G262" s="9"/>
      <c r="H262" s="9"/>
      <c r="I262" s="16" t="str">
        <f aca="false">IF(C262="","",IFERROR(INDEX(LOOKAHEAD!$G$5:$G$204,MATCH(C262,LOOKAHEAD!$A$5:$A$204,0)),""))</f>
        <v/>
      </c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36" t="str">
        <f aca="false">IF(C262="","",SUM(J262:O262))</f>
        <v/>
      </c>
      <c r="W262" s="36" t="str">
        <f aca="false">IF(C262="","",SUM(P262:U262))</f>
        <v/>
      </c>
      <c r="X262" s="19" t="str">
        <f aca="false">IF(OR(C262="",V262=0),"",W262/V262)</f>
        <v/>
      </c>
      <c r="Y262" s="16" t="str">
        <f aca="false">IF(OR(C262="",V262=0),"",IF(W262&gt;=V262,"Sí","No"))</f>
        <v/>
      </c>
      <c r="Z262" s="9"/>
      <c r="AA262" s="9"/>
    </row>
    <row r="263" customFormat="false" ht="15" hidden="false" customHeight="false" outlineLevel="0" collapsed="false">
      <c r="A263" s="9"/>
      <c r="B263" s="9"/>
      <c r="C263" s="9"/>
      <c r="D263" s="16" t="str">
        <f aca="false">IF(C263="","",IFERROR(INDEX(LOOKAHEAD!$B$5:$B$204,MATCH(C263,LOOKAHEAD!$A$5:$A$204,0)),""))</f>
        <v/>
      </c>
      <c r="E263" s="16" t="str">
        <f aca="false">IF(C263="","",IFERROR(INDEX(LOOKAHEAD!$E$5:$E$204,MATCH(C263,LOOKAHEAD!$A$5:$A$204,0)),""))</f>
        <v/>
      </c>
      <c r="F263" s="16" t="str">
        <f aca="false">IF(C263="","",IFERROR(INDEX(LOOKAHEAD!$M$5:$M$204,MATCH(C263,LOOKAHEAD!$A$5:$A$204,0)),""))</f>
        <v/>
      </c>
      <c r="G263" s="9"/>
      <c r="H263" s="9"/>
      <c r="I263" s="16" t="str">
        <f aca="false">IF(C263="","",IFERROR(INDEX(LOOKAHEAD!$G$5:$G$204,MATCH(C263,LOOKAHEAD!$A$5:$A$204,0)),""))</f>
        <v/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36" t="str">
        <f aca="false">IF(C263="","",SUM(J263:O263))</f>
        <v/>
      </c>
      <c r="W263" s="36" t="str">
        <f aca="false">IF(C263="","",SUM(P263:U263))</f>
        <v/>
      </c>
      <c r="X263" s="19" t="str">
        <f aca="false">IF(OR(C263="",V263=0),"",W263/V263)</f>
        <v/>
      </c>
      <c r="Y263" s="16" t="str">
        <f aca="false">IF(OR(C263="",V263=0),"",IF(W263&gt;=V263,"Sí","No"))</f>
        <v/>
      </c>
      <c r="Z263" s="9"/>
      <c r="AA263" s="9"/>
    </row>
    <row r="264" customFormat="false" ht="15" hidden="false" customHeight="false" outlineLevel="0" collapsed="false">
      <c r="A264" s="9"/>
      <c r="B264" s="9"/>
      <c r="C264" s="9"/>
      <c r="D264" s="16" t="str">
        <f aca="false">IF(C264="","",IFERROR(INDEX(LOOKAHEAD!$B$5:$B$204,MATCH(C264,LOOKAHEAD!$A$5:$A$204,0)),""))</f>
        <v/>
      </c>
      <c r="E264" s="16" t="str">
        <f aca="false">IF(C264="","",IFERROR(INDEX(LOOKAHEAD!$E$5:$E$204,MATCH(C264,LOOKAHEAD!$A$5:$A$204,0)),""))</f>
        <v/>
      </c>
      <c r="F264" s="16" t="str">
        <f aca="false">IF(C264="","",IFERROR(INDEX(LOOKAHEAD!$M$5:$M$204,MATCH(C264,LOOKAHEAD!$A$5:$A$204,0)),""))</f>
        <v/>
      </c>
      <c r="G264" s="9"/>
      <c r="H264" s="9"/>
      <c r="I264" s="16" t="str">
        <f aca="false">IF(C264="","",IFERROR(INDEX(LOOKAHEAD!$G$5:$G$204,MATCH(C264,LOOKAHEAD!$A$5:$A$204,0)),""))</f>
        <v/>
      </c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36" t="str">
        <f aca="false">IF(C264="","",SUM(J264:O264))</f>
        <v/>
      </c>
      <c r="W264" s="36" t="str">
        <f aca="false">IF(C264="","",SUM(P264:U264))</f>
        <v/>
      </c>
      <c r="X264" s="19" t="str">
        <f aca="false">IF(OR(C264="",V264=0),"",W264/V264)</f>
        <v/>
      </c>
      <c r="Y264" s="16" t="str">
        <f aca="false">IF(OR(C264="",V264=0),"",IF(W264&gt;=V264,"Sí","No"))</f>
        <v/>
      </c>
      <c r="Z264" s="9"/>
      <c r="AA264" s="9"/>
    </row>
    <row r="265" customFormat="false" ht="15" hidden="false" customHeight="false" outlineLevel="0" collapsed="false">
      <c r="A265" s="9"/>
      <c r="B265" s="9"/>
      <c r="C265" s="9"/>
      <c r="D265" s="16" t="str">
        <f aca="false">IF(C265="","",IFERROR(INDEX(LOOKAHEAD!$B$5:$B$204,MATCH(C265,LOOKAHEAD!$A$5:$A$204,0)),""))</f>
        <v/>
      </c>
      <c r="E265" s="16" t="str">
        <f aca="false">IF(C265="","",IFERROR(INDEX(LOOKAHEAD!$E$5:$E$204,MATCH(C265,LOOKAHEAD!$A$5:$A$204,0)),""))</f>
        <v/>
      </c>
      <c r="F265" s="16" t="str">
        <f aca="false">IF(C265="","",IFERROR(INDEX(LOOKAHEAD!$M$5:$M$204,MATCH(C265,LOOKAHEAD!$A$5:$A$204,0)),""))</f>
        <v/>
      </c>
      <c r="G265" s="9"/>
      <c r="H265" s="9"/>
      <c r="I265" s="16" t="str">
        <f aca="false">IF(C265="","",IFERROR(INDEX(LOOKAHEAD!$G$5:$G$204,MATCH(C265,LOOKAHEAD!$A$5:$A$204,0)),""))</f>
        <v/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36" t="str">
        <f aca="false">IF(C265="","",SUM(J265:O265))</f>
        <v/>
      </c>
      <c r="W265" s="36" t="str">
        <f aca="false">IF(C265="","",SUM(P265:U265))</f>
        <v/>
      </c>
      <c r="X265" s="19" t="str">
        <f aca="false">IF(OR(C265="",V265=0),"",W265/V265)</f>
        <v/>
      </c>
      <c r="Y265" s="16" t="str">
        <f aca="false">IF(OR(C265="",V265=0),"",IF(W265&gt;=V265,"Sí","No"))</f>
        <v/>
      </c>
      <c r="Z265" s="9"/>
      <c r="AA265" s="9"/>
    </row>
    <row r="266" customFormat="false" ht="15" hidden="false" customHeight="false" outlineLevel="0" collapsed="false">
      <c r="A266" s="9"/>
      <c r="B266" s="9"/>
      <c r="C266" s="9"/>
      <c r="D266" s="16" t="str">
        <f aca="false">IF(C266="","",IFERROR(INDEX(LOOKAHEAD!$B$5:$B$204,MATCH(C266,LOOKAHEAD!$A$5:$A$204,0)),""))</f>
        <v/>
      </c>
      <c r="E266" s="16" t="str">
        <f aca="false">IF(C266="","",IFERROR(INDEX(LOOKAHEAD!$E$5:$E$204,MATCH(C266,LOOKAHEAD!$A$5:$A$204,0)),""))</f>
        <v/>
      </c>
      <c r="F266" s="16" t="str">
        <f aca="false">IF(C266="","",IFERROR(INDEX(LOOKAHEAD!$M$5:$M$204,MATCH(C266,LOOKAHEAD!$A$5:$A$204,0)),""))</f>
        <v/>
      </c>
      <c r="G266" s="9"/>
      <c r="H266" s="9"/>
      <c r="I266" s="16" t="str">
        <f aca="false">IF(C266="","",IFERROR(INDEX(LOOKAHEAD!$G$5:$G$204,MATCH(C266,LOOKAHEAD!$A$5:$A$204,0)),""))</f>
        <v/>
      </c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36" t="str">
        <f aca="false">IF(C266="","",SUM(J266:O266))</f>
        <v/>
      </c>
      <c r="W266" s="36" t="str">
        <f aca="false">IF(C266="","",SUM(P266:U266))</f>
        <v/>
      </c>
      <c r="X266" s="19" t="str">
        <f aca="false">IF(OR(C266="",V266=0),"",W266/V266)</f>
        <v/>
      </c>
      <c r="Y266" s="16" t="str">
        <f aca="false">IF(OR(C266="",V266=0),"",IF(W266&gt;=V266,"Sí","No"))</f>
        <v/>
      </c>
      <c r="Z266" s="9"/>
      <c r="AA266" s="9"/>
    </row>
    <row r="267" customFormat="false" ht="15" hidden="false" customHeight="false" outlineLevel="0" collapsed="false">
      <c r="A267" s="9"/>
      <c r="B267" s="9"/>
      <c r="C267" s="9"/>
      <c r="D267" s="16" t="str">
        <f aca="false">IF(C267="","",IFERROR(INDEX(LOOKAHEAD!$B$5:$B$204,MATCH(C267,LOOKAHEAD!$A$5:$A$204,0)),""))</f>
        <v/>
      </c>
      <c r="E267" s="16" t="str">
        <f aca="false">IF(C267="","",IFERROR(INDEX(LOOKAHEAD!$E$5:$E$204,MATCH(C267,LOOKAHEAD!$A$5:$A$204,0)),""))</f>
        <v/>
      </c>
      <c r="F267" s="16" t="str">
        <f aca="false">IF(C267="","",IFERROR(INDEX(LOOKAHEAD!$M$5:$M$204,MATCH(C267,LOOKAHEAD!$A$5:$A$204,0)),""))</f>
        <v/>
      </c>
      <c r="G267" s="9"/>
      <c r="H267" s="9"/>
      <c r="I267" s="16" t="str">
        <f aca="false">IF(C267="","",IFERROR(INDEX(LOOKAHEAD!$G$5:$G$204,MATCH(C267,LOOKAHEAD!$A$5:$A$204,0)),""))</f>
        <v/>
      </c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36" t="str">
        <f aca="false">IF(C267="","",SUM(J267:O267))</f>
        <v/>
      </c>
      <c r="W267" s="36" t="str">
        <f aca="false">IF(C267="","",SUM(P267:U267))</f>
        <v/>
      </c>
      <c r="X267" s="19" t="str">
        <f aca="false">IF(OR(C267="",V267=0),"",W267/V267)</f>
        <v/>
      </c>
      <c r="Y267" s="16" t="str">
        <f aca="false">IF(OR(C267="",V267=0),"",IF(W267&gt;=V267,"Sí","No"))</f>
        <v/>
      </c>
      <c r="Z267" s="9"/>
      <c r="AA267" s="9"/>
    </row>
    <row r="268" customFormat="false" ht="15" hidden="false" customHeight="false" outlineLevel="0" collapsed="false">
      <c r="A268" s="9"/>
      <c r="B268" s="9"/>
      <c r="C268" s="9"/>
      <c r="D268" s="16" t="str">
        <f aca="false">IF(C268="","",IFERROR(INDEX(LOOKAHEAD!$B$5:$B$204,MATCH(C268,LOOKAHEAD!$A$5:$A$204,0)),""))</f>
        <v/>
      </c>
      <c r="E268" s="16" t="str">
        <f aca="false">IF(C268="","",IFERROR(INDEX(LOOKAHEAD!$E$5:$E$204,MATCH(C268,LOOKAHEAD!$A$5:$A$204,0)),""))</f>
        <v/>
      </c>
      <c r="F268" s="16" t="str">
        <f aca="false">IF(C268="","",IFERROR(INDEX(LOOKAHEAD!$M$5:$M$204,MATCH(C268,LOOKAHEAD!$A$5:$A$204,0)),""))</f>
        <v/>
      </c>
      <c r="G268" s="9"/>
      <c r="H268" s="9"/>
      <c r="I268" s="16" t="str">
        <f aca="false">IF(C268="","",IFERROR(INDEX(LOOKAHEAD!$G$5:$G$204,MATCH(C268,LOOKAHEAD!$A$5:$A$204,0)),""))</f>
        <v/>
      </c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36" t="str">
        <f aca="false">IF(C268="","",SUM(J268:O268))</f>
        <v/>
      </c>
      <c r="W268" s="36" t="str">
        <f aca="false">IF(C268="","",SUM(P268:U268))</f>
        <v/>
      </c>
      <c r="X268" s="19" t="str">
        <f aca="false">IF(OR(C268="",V268=0),"",W268/V268)</f>
        <v/>
      </c>
      <c r="Y268" s="16" t="str">
        <f aca="false">IF(OR(C268="",V268=0),"",IF(W268&gt;=V268,"Sí","No"))</f>
        <v/>
      </c>
      <c r="Z268" s="9"/>
      <c r="AA268" s="9"/>
    </row>
    <row r="269" customFormat="false" ht="15" hidden="false" customHeight="false" outlineLevel="0" collapsed="false">
      <c r="A269" s="9"/>
      <c r="B269" s="9"/>
      <c r="C269" s="9"/>
      <c r="D269" s="16" t="str">
        <f aca="false">IF(C269="","",IFERROR(INDEX(LOOKAHEAD!$B$5:$B$204,MATCH(C269,LOOKAHEAD!$A$5:$A$204,0)),""))</f>
        <v/>
      </c>
      <c r="E269" s="16" t="str">
        <f aca="false">IF(C269="","",IFERROR(INDEX(LOOKAHEAD!$E$5:$E$204,MATCH(C269,LOOKAHEAD!$A$5:$A$204,0)),""))</f>
        <v/>
      </c>
      <c r="F269" s="16" t="str">
        <f aca="false">IF(C269="","",IFERROR(INDEX(LOOKAHEAD!$M$5:$M$204,MATCH(C269,LOOKAHEAD!$A$5:$A$204,0)),""))</f>
        <v/>
      </c>
      <c r="G269" s="9"/>
      <c r="H269" s="9"/>
      <c r="I269" s="16" t="str">
        <f aca="false">IF(C269="","",IFERROR(INDEX(LOOKAHEAD!$G$5:$G$204,MATCH(C269,LOOKAHEAD!$A$5:$A$204,0)),""))</f>
        <v/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36" t="str">
        <f aca="false">IF(C269="","",SUM(J269:O269))</f>
        <v/>
      </c>
      <c r="W269" s="36" t="str">
        <f aca="false">IF(C269="","",SUM(P269:U269))</f>
        <v/>
      </c>
      <c r="X269" s="19" t="str">
        <f aca="false">IF(OR(C269="",V269=0),"",W269/V269)</f>
        <v/>
      </c>
      <c r="Y269" s="16" t="str">
        <f aca="false">IF(OR(C269="",V269=0),"",IF(W269&gt;=V269,"Sí","No"))</f>
        <v/>
      </c>
      <c r="Z269" s="9"/>
      <c r="AA269" s="9"/>
    </row>
    <row r="270" customFormat="false" ht="15" hidden="false" customHeight="false" outlineLevel="0" collapsed="false">
      <c r="A270" s="9"/>
      <c r="B270" s="9"/>
      <c r="C270" s="9"/>
      <c r="D270" s="16" t="str">
        <f aca="false">IF(C270="","",IFERROR(INDEX(LOOKAHEAD!$B$5:$B$204,MATCH(C270,LOOKAHEAD!$A$5:$A$204,0)),""))</f>
        <v/>
      </c>
      <c r="E270" s="16" t="str">
        <f aca="false">IF(C270="","",IFERROR(INDEX(LOOKAHEAD!$E$5:$E$204,MATCH(C270,LOOKAHEAD!$A$5:$A$204,0)),""))</f>
        <v/>
      </c>
      <c r="F270" s="16" t="str">
        <f aca="false">IF(C270="","",IFERROR(INDEX(LOOKAHEAD!$M$5:$M$204,MATCH(C270,LOOKAHEAD!$A$5:$A$204,0)),""))</f>
        <v/>
      </c>
      <c r="G270" s="9"/>
      <c r="H270" s="9"/>
      <c r="I270" s="16" t="str">
        <f aca="false">IF(C270="","",IFERROR(INDEX(LOOKAHEAD!$G$5:$G$204,MATCH(C270,LOOKAHEAD!$A$5:$A$204,0)),""))</f>
        <v/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36" t="str">
        <f aca="false">IF(C270="","",SUM(J270:O270))</f>
        <v/>
      </c>
      <c r="W270" s="36" t="str">
        <f aca="false">IF(C270="","",SUM(P270:U270))</f>
        <v/>
      </c>
      <c r="X270" s="19" t="str">
        <f aca="false">IF(OR(C270="",V270=0),"",W270/V270)</f>
        <v/>
      </c>
      <c r="Y270" s="16" t="str">
        <f aca="false">IF(OR(C270="",V270=0),"",IF(W270&gt;=V270,"Sí","No"))</f>
        <v/>
      </c>
      <c r="Z270" s="9"/>
      <c r="AA270" s="9"/>
    </row>
    <row r="271" customFormat="false" ht="15" hidden="false" customHeight="false" outlineLevel="0" collapsed="false">
      <c r="A271" s="9"/>
      <c r="B271" s="9"/>
      <c r="C271" s="9"/>
      <c r="D271" s="16" t="str">
        <f aca="false">IF(C271="","",IFERROR(INDEX(LOOKAHEAD!$B$5:$B$204,MATCH(C271,LOOKAHEAD!$A$5:$A$204,0)),""))</f>
        <v/>
      </c>
      <c r="E271" s="16" t="str">
        <f aca="false">IF(C271="","",IFERROR(INDEX(LOOKAHEAD!$E$5:$E$204,MATCH(C271,LOOKAHEAD!$A$5:$A$204,0)),""))</f>
        <v/>
      </c>
      <c r="F271" s="16" t="str">
        <f aca="false">IF(C271="","",IFERROR(INDEX(LOOKAHEAD!$M$5:$M$204,MATCH(C271,LOOKAHEAD!$A$5:$A$204,0)),""))</f>
        <v/>
      </c>
      <c r="G271" s="9"/>
      <c r="H271" s="9"/>
      <c r="I271" s="16" t="str">
        <f aca="false">IF(C271="","",IFERROR(INDEX(LOOKAHEAD!$G$5:$G$204,MATCH(C271,LOOKAHEAD!$A$5:$A$204,0)),""))</f>
        <v/>
      </c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36" t="str">
        <f aca="false">IF(C271="","",SUM(J271:O271))</f>
        <v/>
      </c>
      <c r="W271" s="36" t="str">
        <f aca="false">IF(C271="","",SUM(P271:U271))</f>
        <v/>
      </c>
      <c r="X271" s="19" t="str">
        <f aca="false">IF(OR(C271="",V271=0),"",W271/V271)</f>
        <v/>
      </c>
      <c r="Y271" s="16" t="str">
        <f aca="false">IF(OR(C271="",V271=0),"",IF(W271&gt;=V271,"Sí","No"))</f>
        <v/>
      </c>
      <c r="Z271" s="9"/>
      <c r="AA271" s="9"/>
    </row>
    <row r="272" customFormat="false" ht="15" hidden="false" customHeight="false" outlineLevel="0" collapsed="false">
      <c r="A272" s="9"/>
      <c r="B272" s="9"/>
      <c r="C272" s="9"/>
      <c r="D272" s="16" t="str">
        <f aca="false">IF(C272="","",IFERROR(INDEX(LOOKAHEAD!$B$5:$B$204,MATCH(C272,LOOKAHEAD!$A$5:$A$204,0)),""))</f>
        <v/>
      </c>
      <c r="E272" s="16" t="str">
        <f aca="false">IF(C272="","",IFERROR(INDEX(LOOKAHEAD!$E$5:$E$204,MATCH(C272,LOOKAHEAD!$A$5:$A$204,0)),""))</f>
        <v/>
      </c>
      <c r="F272" s="16" t="str">
        <f aca="false">IF(C272="","",IFERROR(INDEX(LOOKAHEAD!$M$5:$M$204,MATCH(C272,LOOKAHEAD!$A$5:$A$204,0)),""))</f>
        <v/>
      </c>
      <c r="G272" s="9"/>
      <c r="H272" s="9"/>
      <c r="I272" s="16" t="str">
        <f aca="false">IF(C272="","",IFERROR(INDEX(LOOKAHEAD!$G$5:$G$204,MATCH(C272,LOOKAHEAD!$A$5:$A$204,0)),""))</f>
        <v/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36" t="str">
        <f aca="false">IF(C272="","",SUM(J272:O272))</f>
        <v/>
      </c>
      <c r="W272" s="36" t="str">
        <f aca="false">IF(C272="","",SUM(P272:U272))</f>
        <v/>
      </c>
      <c r="X272" s="19" t="str">
        <f aca="false">IF(OR(C272="",V272=0),"",W272/V272)</f>
        <v/>
      </c>
      <c r="Y272" s="16" t="str">
        <f aca="false">IF(OR(C272="",V272=0),"",IF(W272&gt;=V272,"Sí","No"))</f>
        <v/>
      </c>
      <c r="Z272" s="9"/>
      <c r="AA272" s="9"/>
    </row>
    <row r="273" customFormat="false" ht="15" hidden="false" customHeight="false" outlineLevel="0" collapsed="false">
      <c r="A273" s="9"/>
      <c r="B273" s="9"/>
      <c r="C273" s="9"/>
      <c r="D273" s="16" t="str">
        <f aca="false">IF(C273="","",IFERROR(INDEX(LOOKAHEAD!$B$5:$B$204,MATCH(C273,LOOKAHEAD!$A$5:$A$204,0)),""))</f>
        <v/>
      </c>
      <c r="E273" s="16" t="str">
        <f aca="false">IF(C273="","",IFERROR(INDEX(LOOKAHEAD!$E$5:$E$204,MATCH(C273,LOOKAHEAD!$A$5:$A$204,0)),""))</f>
        <v/>
      </c>
      <c r="F273" s="16" t="str">
        <f aca="false">IF(C273="","",IFERROR(INDEX(LOOKAHEAD!$M$5:$M$204,MATCH(C273,LOOKAHEAD!$A$5:$A$204,0)),""))</f>
        <v/>
      </c>
      <c r="G273" s="9"/>
      <c r="H273" s="9"/>
      <c r="I273" s="16" t="str">
        <f aca="false">IF(C273="","",IFERROR(INDEX(LOOKAHEAD!$G$5:$G$204,MATCH(C273,LOOKAHEAD!$A$5:$A$204,0)),""))</f>
        <v/>
      </c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36" t="str">
        <f aca="false">IF(C273="","",SUM(J273:O273))</f>
        <v/>
      </c>
      <c r="W273" s="36" t="str">
        <f aca="false">IF(C273="","",SUM(P273:U273))</f>
        <v/>
      </c>
      <c r="X273" s="19" t="str">
        <f aca="false">IF(OR(C273="",V273=0),"",W273/V273)</f>
        <v/>
      </c>
      <c r="Y273" s="16" t="str">
        <f aca="false">IF(OR(C273="",V273=0),"",IF(W273&gt;=V273,"Sí","No"))</f>
        <v/>
      </c>
      <c r="Z273" s="9"/>
      <c r="AA273" s="9"/>
    </row>
    <row r="274" customFormat="false" ht="15" hidden="false" customHeight="false" outlineLevel="0" collapsed="false">
      <c r="A274" s="9"/>
      <c r="B274" s="9"/>
      <c r="C274" s="9"/>
      <c r="D274" s="16" t="str">
        <f aca="false">IF(C274="","",IFERROR(INDEX(LOOKAHEAD!$B$5:$B$204,MATCH(C274,LOOKAHEAD!$A$5:$A$204,0)),""))</f>
        <v/>
      </c>
      <c r="E274" s="16" t="str">
        <f aca="false">IF(C274="","",IFERROR(INDEX(LOOKAHEAD!$E$5:$E$204,MATCH(C274,LOOKAHEAD!$A$5:$A$204,0)),""))</f>
        <v/>
      </c>
      <c r="F274" s="16" t="str">
        <f aca="false">IF(C274="","",IFERROR(INDEX(LOOKAHEAD!$M$5:$M$204,MATCH(C274,LOOKAHEAD!$A$5:$A$204,0)),""))</f>
        <v/>
      </c>
      <c r="G274" s="9"/>
      <c r="H274" s="9"/>
      <c r="I274" s="16" t="str">
        <f aca="false">IF(C274="","",IFERROR(INDEX(LOOKAHEAD!$G$5:$G$204,MATCH(C274,LOOKAHEAD!$A$5:$A$204,0)),""))</f>
        <v/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36" t="str">
        <f aca="false">IF(C274="","",SUM(J274:O274))</f>
        <v/>
      </c>
      <c r="W274" s="36" t="str">
        <f aca="false">IF(C274="","",SUM(P274:U274))</f>
        <v/>
      </c>
      <c r="X274" s="19" t="str">
        <f aca="false">IF(OR(C274="",V274=0),"",W274/V274)</f>
        <v/>
      </c>
      <c r="Y274" s="16" t="str">
        <f aca="false">IF(OR(C274="",V274=0),"",IF(W274&gt;=V274,"Sí","No"))</f>
        <v/>
      </c>
      <c r="Z274" s="9"/>
      <c r="AA274" s="9"/>
    </row>
    <row r="275" customFormat="false" ht="15" hidden="false" customHeight="false" outlineLevel="0" collapsed="false">
      <c r="A275" s="9"/>
      <c r="B275" s="9"/>
      <c r="C275" s="9"/>
      <c r="D275" s="16" t="str">
        <f aca="false">IF(C275="","",IFERROR(INDEX(LOOKAHEAD!$B$5:$B$204,MATCH(C275,LOOKAHEAD!$A$5:$A$204,0)),""))</f>
        <v/>
      </c>
      <c r="E275" s="16" t="str">
        <f aca="false">IF(C275="","",IFERROR(INDEX(LOOKAHEAD!$E$5:$E$204,MATCH(C275,LOOKAHEAD!$A$5:$A$204,0)),""))</f>
        <v/>
      </c>
      <c r="F275" s="16" t="str">
        <f aca="false">IF(C275="","",IFERROR(INDEX(LOOKAHEAD!$M$5:$M$204,MATCH(C275,LOOKAHEAD!$A$5:$A$204,0)),""))</f>
        <v/>
      </c>
      <c r="G275" s="9"/>
      <c r="H275" s="9"/>
      <c r="I275" s="16" t="str">
        <f aca="false">IF(C275="","",IFERROR(INDEX(LOOKAHEAD!$G$5:$G$204,MATCH(C275,LOOKAHEAD!$A$5:$A$204,0)),""))</f>
        <v/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36" t="str">
        <f aca="false">IF(C275="","",SUM(J275:O275))</f>
        <v/>
      </c>
      <c r="W275" s="36" t="str">
        <f aca="false">IF(C275="","",SUM(P275:U275))</f>
        <v/>
      </c>
      <c r="X275" s="19" t="str">
        <f aca="false">IF(OR(C275="",V275=0),"",W275/V275)</f>
        <v/>
      </c>
      <c r="Y275" s="16" t="str">
        <f aca="false">IF(OR(C275="",V275=0),"",IF(W275&gt;=V275,"Sí","No"))</f>
        <v/>
      </c>
      <c r="Z275" s="9"/>
      <c r="AA275" s="9"/>
    </row>
    <row r="276" customFormat="false" ht="15" hidden="false" customHeight="false" outlineLevel="0" collapsed="false">
      <c r="A276" s="9"/>
      <c r="B276" s="9"/>
      <c r="C276" s="9"/>
      <c r="D276" s="16" t="str">
        <f aca="false">IF(C276="","",IFERROR(INDEX(LOOKAHEAD!$B$5:$B$204,MATCH(C276,LOOKAHEAD!$A$5:$A$204,0)),""))</f>
        <v/>
      </c>
      <c r="E276" s="16" t="str">
        <f aca="false">IF(C276="","",IFERROR(INDEX(LOOKAHEAD!$E$5:$E$204,MATCH(C276,LOOKAHEAD!$A$5:$A$204,0)),""))</f>
        <v/>
      </c>
      <c r="F276" s="16" t="str">
        <f aca="false">IF(C276="","",IFERROR(INDEX(LOOKAHEAD!$M$5:$M$204,MATCH(C276,LOOKAHEAD!$A$5:$A$204,0)),""))</f>
        <v/>
      </c>
      <c r="G276" s="9"/>
      <c r="H276" s="9"/>
      <c r="I276" s="16" t="str">
        <f aca="false">IF(C276="","",IFERROR(INDEX(LOOKAHEAD!$G$5:$G$204,MATCH(C276,LOOKAHEAD!$A$5:$A$204,0)),""))</f>
        <v/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36" t="str">
        <f aca="false">IF(C276="","",SUM(J276:O276))</f>
        <v/>
      </c>
      <c r="W276" s="36" t="str">
        <f aca="false">IF(C276="","",SUM(P276:U276))</f>
        <v/>
      </c>
      <c r="X276" s="19" t="str">
        <f aca="false">IF(OR(C276="",V276=0),"",W276/V276)</f>
        <v/>
      </c>
      <c r="Y276" s="16" t="str">
        <f aca="false">IF(OR(C276="",V276=0),"",IF(W276&gt;=V276,"Sí","No"))</f>
        <v/>
      </c>
      <c r="Z276" s="9"/>
      <c r="AA276" s="9"/>
    </row>
    <row r="277" customFormat="false" ht="15" hidden="false" customHeight="false" outlineLevel="0" collapsed="false">
      <c r="A277" s="9"/>
      <c r="B277" s="9"/>
      <c r="C277" s="9"/>
      <c r="D277" s="16" t="str">
        <f aca="false">IF(C277="","",IFERROR(INDEX(LOOKAHEAD!$B$5:$B$204,MATCH(C277,LOOKAHEAD!$A$5:$A$204,0)),""))</f>
        <v/>
      </c>
      <c r="E277" s="16" t="str">
        <f aca="false">IF(C277="","",IFERROR(INDEX(LOOKAHEAD!$E$5:$E$204,MATCH(C277,LOOKAHEAD!$A$5:$A$204,0)),""))</f>
        <v/>
      </c>
      <c r="F277" s="16" t="str">
        <f aca="false">IF(C277="","",IFERROR(INDEX(LOOKAHEAD!$M$5:$M$204,MATCH(C277,LOOKAHEAD!$A$5:$A$204,0)),""))</f>
        <v/>
      </c>
      <c r="G277" s="9"/>
      <c r="H277" s="9"/>
      <c r="I277" s="16" t="str">
        <f aca="false">IF(C277="","",IFERROR(INDEX(LOOKAHEAD!$G$5:$G$204,MATCH(C277,LOOKAHEAD!$A$5:$A$204,0)),""))</f>
        <v/>
      </c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36" t="str">
        <f aca="false">IF(C277="","",SUM(J277:O277))</f>
        <v/>
      </c>
      <c r="W277" s="36" t="str">
        <f aca="false">IF(C277="","",SUM(P277:U277))</f>
        <v/>
      </c>
      <c r="X277" s="19" t="str">
        <f aca="false">IF(OR(C277="",V277=0),"",W277/V277)</f>
        <v/>
      </c>
      <c r="Y277" s="16" t="str">
        <f aca="false">IF(OR(C277="",V277=0),"",IF(W277&gt;=V277,"Sí","No"))</f>
        <v/>
      </c>
      <c r="Z277" s="9"/>
      <c r="AA277" s="9"/>
    </row>
    <row r="278" customFormat="false" ht="15" hidden="false" customHeight="false" outlineLevel="0" collapsed="false">
      <c r="A278" s="9"/>
      <c r="B278" s="9"/>
      <c r="C278" s="9"/>
      <c r="D278" s="16" t="str">
        <f aca="false">IF(C278="","",IFERROR(INDEX(LOOKAHEAD!$B$5:$B$204,MATCH(C278,LOOKAHEAD!$A$5:$A$204,0)),""))</f>
        <v/>
      </c>
      <c r="E278" s="16" t="str">
        <f aca="false">IF(C278="","",IFERROR(INDEX(LOOKAHEAD!$E$5:$E$204,MATCH(C278,LOOKAHEAD!$A$5:$A$204,0)),""))</f>
        <v/>
      </c>
      <c r="F278" s="16" t="str">
        <f aca="false">IF(C278="","",IFERROR(INDEX(LOOKAHEAD!$M$5:$M$204,MATCH(C278,LOOKAHEAD!$A$5:$A$204,0)),""))</f>
        <v/>
      </c>
      <c r="G278" s="9"/>
      <c r="H278" s="9"/>
      <c r="I278" s="16" t="str">
        <f aca="false">IF(C278="","",IFERROR(INDEX(LOOKAHEAD!$G$5:$G$204,MATCH(C278,LOOKAHEAD!$A$5:$A$204,0)),""))</f>
        <v/>
      </c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36" t="str">
        <f aca="false">IF(C278="","",SUM(J278:O278))</f>
        <v/>
      </c>
      <c r="W278" s="36" t="str">
        <f aca="false">IF(C278="","",SUM(P278:U278))</f>
        <v/>
      </c>
      <c r="X278" s="19" t="str">
        <f aca="false">IF(OR(C278="",V278=0),"",W278/V278)</f>
        <v/>
      </c>
      <c r="Y278" s="16" t="str">
        <f aca="false">IF(OR(C278="",V278=0),"",IF(W278&gt;=V278,"Sí","No"))</f>
        <v/>
      </c>
      <c r="Z278" s="9"/>
      <c r="AA278" s="9"/>
    </row>
    <row r="279" customFormat="false" ht="15" hidden="false" customHeight="false" outlineLevel="0" collapsed="false">
      <c r="A279" s="9"/>
      <c r="B279" s="9"/>
      <c r="C279" s="9"/>
      <c r="D279" s="16" t="str">
        <f aca="false">IF(C279="","",IFERROR(INDEX(LOOKAHEAD!$B$5:$B$204,MATCH(C279,LOOKAHEAD!$A$5:$A$204,0)),""))</f>
        <v/>
      </c>
      <c r="E279" s="16" t="str">
        <f aca="false">IF(C279="","",IFERROR(INDEX(LOOKAHEAD!$E$5:$E$204,MATCH(C279,LOOKAHEAD!$A$5:$A$204,0)),""))</f>
        <v/>
      </c>
      <c r="F279" s="16" t="str">
        <f aca="false">IF(C279="","",IFERROR(INDEX(LOOKAHEAD!$M$5:$M$204,MATCH(C279,LOOKAHEAD!$A$5:$A$204,0)),""))</f>
        <v/>
      </c>
      <c r="G279" s="9"/>
      <c r="H279" s="9"/>
      <c r="I279" s="16" t="str">
        <f aca="false">IF(C279="","",IFERROR(INDEX(LOOKAHEAD!$G$5:$G$204,MATCH(C279,LOOKAHEAD!$A$5:$A$204,0)),""))</f>
        <v/>
      </c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36" t="str">
        <f aca="false">IF(C279="","",SUM(J279:O279))</f>
        <v/>
      </c>
      <c r="W279" s="36" t="str">
        <f aca="false">IF(C279="","",SUM(P279:U279))</f>
        <v/>
      </c>
      <c r="X279" s="19" t="str">
        <f aca="false">IF(OR(C279="",V279=0),"",W279/V279)</f>
        <v/>
      </c>
      <c r="Y279" s="16" t="str">
        <f aca="false">IF(OR(C279="",V279=0),"",IF(W279&gt;=V279,"Sí","No"))</f>
        <v/>
      </c>
      <c r="Z279" s="9"/>
      <c r="AA279" s="9"/>
    </row>
    <row r="280" customFormat="false" ht="15" hidden="false" customHeight="false" outlineLevel="0" collapsed="false">
      <c r="A280" s="9"/>
      <c r="B280" s="9"/>
      <c r="C280" s="9"/>
      <c r="D280" s="16" t="str">
        <f aca="false">IF(C280="","",IFERROR(INDEX(LOOKAHEAD!$B$5:$B$204,MATCH(C280,LOOKAHEAD!$A$5:$A$204,0)),""))</f>
        <v/>
      </c>
      <c r="E280" s="16" t="str">
        <f aca="false">IF(C280="","",IFERROR(INDEX(LOOKAHEAD!$E$5:$E$204,MATCH(C280,LOOKAHEAD!$A$5:$A$204,0)),""))</f>
        <v/>
      </c>
      <c r="F280" s="16" t="str">
        <f aca="false">IF(C280="","",IFERROR(INDEX(LOOKAHEAD!$M$5:$M$204,MATCH(C280,LOOKAHEAD!$A$5:$A$204,0)),""))</f>
        <v/>
      </c>
      <c r="G280" s="9"/>
      <c r="H280" s="9"/>
      <c r="I280" s="16" t="str">
        <f aca="false">IF(C280="","",IFERROR(INDEX(LOOKAHEAD!$G$5:$G$204,MATCH(C280,LOOKAHEAD!$A$5:$A$204,0)),""))</f>
        <v/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36" t="str">
        <f aca="false">IF(C280="","",SUM(J280:O280))</f>
        <v/>
      </c>
      <c r="W280" s="36" t="str">
        <f aca="false">IF(C280="","",SUM(P280:U280))</f>
        <v/>
      </c>
      <c r="X280" s="19" t="str">
        <f aca="false">IF(OR(C280="",V280=0),"",W280/V280)</f>
        <v/>
      </c>
      <c r="Y280" s="16" t="str">
        <f aca="false">IF(OR(C280="",V280=0),"",IF(W280&gt;=V280,"Sí","No"))</f>
        <v/>
      </c>
      <c r="Z280" s="9"/>
      <c r="AA280" s="9"/>
    </row>
    <row r="281" customFormat="false" ht="15" hidden="false" customHeight="false" outlineLevel="0" collapsed="false">
      <c r="A281" s="9"/>
      <c r="B281" s="9"/>
      <c r="C281" s="9"/>
      <c r="D281" s="16" t="str">
        <f aca="false">IF(C281="","",IFERROR(INDEX(LOOKAHEAD!$B$5:$B$204,MATCH(C281,LOOKAHEAD!$A$5:$A$204,0)),""))</f>
        <v/>
      </c>
      <c r="E281" s="16" t="str">
        <f aca="false">IF(C281="","",IFERROR(INDEX(LOOKAHEAD!$E$5:$E$204,MATCH(C281,LOOKAHEAD!$A$5:$A$204,0)),""))</f>
        <v/>
      </c>
      <c r="F281" s="16" t="str">
        <f aca="false">IF(C281="","",IFERROR(INDEX(LOOKAHEAD!$M$5:$M$204,MATCH(C281,LOOKAHEAD!$A$5:$A$204,0)),""))</f>
        <v/>
      </c>
      <c r="G281" s="9"/>
      <c r="H281" s="9"/>
      <c r="I281" s="16" t="str">
        <f aca="false">IF(C281="","",IFERROR(INDEX(LOOKAHEAD!$G$5:$G$204,MATCH(C281,LOOKAHEAD!$A$5:$A$204,0)),""))</f>
        <v/>
      </c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36" t="str">
        <f aca="false">IF(C281="","",SUM(J281:O281))</f>
        <v/>
      </c>
      <c r="W281" s="36" t="str">
        <f aca="false">IF(C281="","",SUM(P281:U281))</f>
        <v/>
      </c>
      <c r="X281" s="19" t="str">
        <f aca="false">IF(OR(C281="",V281=0),"",W281/V281)</f>
        <v/>
      </c>
      <c r="Y281" s="16" t="str">
        <f aca="false">IF(OR(C281="",V281=0),"",IF(W281&gt;=V281,"Sí","No"))</f>
        <v/>
      </c>
      <c r="Z281" s="9"/>
      <c r="AA281" s="9"/>
    </row>
    <row r="282" customFormat="false" ht="15" hidden="false" customHeight="false" outlineLevel="0" collapsed="false">
      <c r="A282" s="9"/>
      <c r="B282" s="9"/>
      <c r="C282" s="9"/>
      <c r="D282" s="16" t="str">
        <f aca="false">IF(C282="","",IFERROR(INDEX(LOOKAHEAD!$B$5:$B$204,MATCH(C282,LOOKAHEAD!$A$5:$A$204,0)),""))</f>
        <v/>
      </c>
      <c r="E282" s="16" t="str">
        <f aca="false">IF(C282="","",IFERROR(INDEX(LOOKAHEAD!$E$5:$E$204,MATCH(C282,LOOKAHEAD!$A$5:$A$204,0)),""))</f>
        <v/>
      </c>
      <c r="F282" s="16" t="str">
        <f aca="false">IF(C282="","",IFERROR(INDEX(LOOKAHEAD!$M$5:$M$204,MATCH(C282,LOOKAHEAD!$A$5:$A$204,0)),""))</f>
        <v/>
      </c>
      <c r="G282" s="9"/>
      <c r="H282" s="9"/>
      <c r="I282" s="16" t="str">
        <f aca="false">IF(C282="","",IFERROR(INDEX(LOOKAHEAD!$G$5:$G$204,MATCH(C282,LOOKAHEAD!$A$5:$A$204,0)),""))</f>
        <v/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36" t="str">
        <f aca="false">IF(C282="","",SUM(J282:O282))</f>
        <v/>
      </c>
      <c r="W282" s="36" t="str">
        <f aca="false">IF(C282="","",SUM(P282:U282))</f>
        <v/>
      </c>
      <c r="X282" s="19" t="str">
        <f aca="false">IF(OR(C282="",V282=0),"",W282/V282)</f>
        <v/>
      </c>
      <c r="Y282" s="16" t="str">
        <f aca="false">IF(OR(C282="",V282=0),"",IF(W282&gt;=V282,"Sí","No"))</f>
        <v/>
      </c>
      <c r="Z282" s="9"/>
      <c r="AA282" s="9"/>
    </row>
    <row r="283" customFormat="false" ht="15" hidden="false" customHeight="false" outlineLevel="0" collapsed="false">
      <c r="A283" s="9"/>
      <c r="B283" s="9"/>
      <c r="C283" s="9"/>
      <c r="D283" s="16" t="str">
        <f aca="false">IF(C283="","",IFERROR(INDEX(LOOKAHEAD!$B$5:$B$204,MATCH(C283,LOOKAHEAD!$A$5:$A$204,0)),""))</f>
        <v/>
      </c>
      <c r="E283" s="16" t="str">
        <f aca="false">IF(C283="","",IFERROR(INDEX(LOOKAHEAD!$E$5:$E$204,MATCH(C283,LOOKAHEAD!$A$5:$A$204,0)),""))</f>
        <v/>
      </c>
      <c r="F283" s="16" t="str">
        <f aca="false">IF(C283="","",IFERROR(INDEX(LOOKAHEAD!$M$5:$M$204,MATCH(C283,LOOKAHEAD!$A$5:$A$204,0)),""))</f>
        <v/>
      </c>
      <c r="G283" s="9"/>
      <c r="H283" s="9"/>
      <c r="I283" s="16" t="str">
        <f aca="false">IF(C283="","",IFERROR(INDEX(LOOKAHEAD!$G$5:$G$204,MATCH(C283,LOOKAHEAD!$A$5:$A$204,0)),""))</f>
        <v/>
      </c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36" t="str">
        <f aca="false">IF(C283="","",SUM(J283:O283))</f>
        <v/>
      </c>
      <c r="W283" s="36" t="str">
        <f aca="false">IF(C283="","",SUM(P283:U283))</f>
        <v/>
      </c>
      <c r="X283" s="19" t="str">
        <f aca="false">IF(OR(C283="",V283=0),"",W283/V283)</f>
        <v/>
      </c>
      <c r="Y283" s="16" t="str">
        <f aca="false">IF(OR(C283="",V283=0),"",IF(W283&gt;=V283,"Sí","No"))</f>
        <v/>
      </c>
      <c r="Z283" s="9"/>
      <c r="AA283" s="9"/>
    </row>
    <row r="284" customFormat="false" ht="15" hidden="false" customHeight="false" outlineLevel="0" collapsed="false">
      <c r="A284" s="9"/>
      <c r="B284" s="9"/>
      <c r="C284" s="9"/>
      <c r="D284" s="16" t="str">
        <f aca="false">IF(C284="","",IFERROR(INDEX(LOOKAHEAD!$B$5:$B$204,MATCH(C284,LOOKAHEAD!$A$5:$A$204,0)),""))</f>
        <v/>
      </c>
      <c r="E284" s="16" t="str">
        <f aca="false">IF(C284="","",IFERROR(INDEX(LOOKAHEAD!$E$5:$E$204,MATCH(C284,LOOKAHEAD!$A$5:$A$204,0)),""))</f>
        <v/>
      </c>
      <c r="F284" s="16" t="str">
        <f aca="false">IF(C284="","",IFERROR(INDEX(LOOKAHEAD!$M$5:$M$204,MATCH(C284,LOOKAHEAD!$A$5:$A$204,0)),""))</f>
        <v/>
      </c>
      <c r="G284" s="9"/>
      <c r="H284" s="9"/>
      <c r="I284" s="16" t="str">
        <f aca="false">IF(C284="","",IFERROR(INDEX(LOOKAHEAD!$G$5:$G$204,MATCH(C284,LOOKAHEAD!$A$5:$A$204,0)),""))</f>
        <v/>
      </c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36" t="str">
        <f aca="false">IF(C284="","",SUM(J284:O284))</f>
        <v/>
      </c>
      <c r="W284" s="36" t="str">
        <f aca="false">IF(C284="","",SUM(P284:U284))</f>
        <v/>
      </c>
      <c r="X284" s="19" t="str">
        <f aca="false">IF(OR(C284="",V284=0),"",W284/V284)</f>
        <v/>
      </c>
      <c r="Y284" s="16" t="str">
        <f aca="false">IF(OR(C284="",V284=0),"",IF(W284&gt;=V284,"Sí","No"))</f>
        <v/>
      </c>
      <c r="Z284" s="9"/>
      <c r="AA284" s="9"/>
    </row>
    <row r="285" customFormat="false" ht="15" hidden="false" customHeight="false" outlineLevel="0" collapsed="false">
      <c r="A285" s="9"/>
      <c r="B285" s="9"/>
      <c r="C285" s="9"/>
      <c r="D285" s="16" t="str">
        <f aca="false">IF(C285="","",IFERROR(INDEX(LOOKAHEAD!$B$5:$B$204,MATCH(C285,LOOKAHEAD!$A$5:$A$204,0)),""))</f>
        <v/>
      </c>
      <c r="E285" s="16" t="str">
        <f aca="false">IF(C285="","",IFERROR(INDEX(LOOKAHEAD!$E$5:$E$204,MATCH(C285,LOOKAHEAD!$A$5:$A$204,0)),""))</f>
        <v/>
      </c>
      <c r="F285" s="16" t="str">
        <f aca="false">IF(C285="","",IFERROR(INDEX(LOOKAHEAD!$M$5:$M$204,MATCH(C285,LOOKAHEAD!$A$5:$A$204,0)),""))</f>
        <v/>
      </c>
      <c r="G285" s="9"/>
      <c r="H285" s="9"/>
      <c r="I285" s="16" t="str">
        <f aca="false">IF(C285="","",IFERROR(INDEX(LOOKAHEAD!$G$5:$G$204,MATCH(C285,LOOKAHEAD!$A$5:$A$204,0)),""))</f>
        <v/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36" t="str">
        <f aca="false">IF(C285="","",SUM(J285:O285))</f>
        <v/>
      </c>
      <c r="W285" s="36" t="str">
        <f aca="false">IF(C285="","",SUM(P285:U285))</f>
        <v/>
      </c>
      <c r="X285" s="19" t="str">
        <f aca="false">IF(OR(C285="",V285=0),"",W285/V285)</f>
        <v/>
      </c>
      <c r="Y285" s="16" t="str">
        <f aca="false">IF(OR(C285="",V285=0),"",IF(W285&gt;=V285,"Sí","No"))</f>
        <v/>
      </c>
      <c r="Z285" s="9"/>
      <c r="AA285" s="9"/>
    </row>
    <row r="286" customFormat="false" ht="15" hidden="false" customHeight="false" outlineLevel="0" collapsed="false">
      <c r="A286" s="9"/>
      <c r="B286" s="9"/>
      <c r="C286" s="9"/>
      <c r="D286" s="16" t="str">
        <f aca="false">IF(C286="","",IFERROR(INDEX(LOOKAHEAD!$B$5:$B$204,MATCH(C286,LOOKAHEAD!$A$5:$A$204,0)),""))</f>
        <v/>
      </c>
      <c r="E286" s="16" t="str">
        <f aca="false">IF(C286="","",IFERROR(INDEX(LOOKAHEAD!$E$5:$E$204,MATCH(C286,LOOKAHEAD!$A$5:$A$204,0)),""))</f>
        <v/>
      </c>
      <c r="F286" s="16" t="str">
        <f aca="false">IF(C286="","",IFERROR(INDEX(LOOKAHEAD!$M$5:$M$204,MATCH(C286,LOOKAHEAD!$A$5:$A$204,0)),""))</f>
        <v/>
      </c>
      <c r="G286" s="9"/>
      <c r="H286" s="9"/>
      <c r="I286" s="16" t="str">
        <f aca="false">IF(C286="","",IFERROR(INDEX(LOOKAHEAD!$G$5:$G$204,MATCH(C286,LOOKAHEAD!$A$5:$A$204,0)),""))</f>
        <v/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36" t="str">
        <f aca="false">IF(C286="","",SUM(J286:O286))</f>
        <v/>
      </c>
      <c r="W286" s="36" t="str">
        <f aca="false">IF(C286="","",SUM(P286:U286))</f>
        <v/>
      </c>
      <c r="X286" s="19" t="str">
        <f aca="false">IF(OR(C286="",V286=0),"",W286/V286)</f>
        <v/>
      </c>
      <c r="Y286" s="16" t="str">
        <f aca="false">IF(OR(C286="",V286=0),"",IF(W286&gt;=V286,"Sí","No"))</f>
        <v/>
      </c>
      <c r="Z286" s="9"/>
      <c r="AA286" s="9"/>
    </row>
    <row r="287" customFormat="false" ht="15" hidden="false" customHeight="false" outlineLevel="0" collapsed="false">
      <c r="A287" s="9"/>
      <c r="B287" s="9"/>
      <c r="C287" s="9"/>
      <c r="D287" s="16" t="str">
        <f aca="false">IF(C287="","",IFERROR(INDEX(LOOKAHEAD!$B$5:$B$204,MATCH(C287,LOOKAHEAD!$A$5:$A$204,0)),""))</f>
        <v/>
      </c>
      <c r="E287" s="16" t="str">
        <f aca="false">IF(C287="","",IFERROR(INDEX(LOOKAHEAD!$E$5:$E$204,MATCH(C287,LOOKAHEAD!$A$5:$A$204,0)),""))</f>
        <v/>
      </c>
      <c r="F287" s="16" t="str">
        <f aca="false">IF(C287="","",IFERROR(INDEX(LOOKAHEAD!$M$5:$M$204,MATCH(C287,LOOKAHEAD!$A$5:$A$204,0)),""))</f>
        <v/>
      </c>
      <c r="G287" s="9"/>
      <c r="H287" s="9"/>
      <c r="I287" s="16" t="str">
        <f aca="false">IF(C287="","",IFERROR(INDEX(LOOKAHEAD!$G$5:$G$204,MATCH(C287,LOOKAHEAD!$A$5:$A$204,0)),""))</f>
        <v/>
      </c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36" t="str">
        <f aca="false">IF(C287="","",SUM(J287:O287))</f>
        <v/>
      </c>
      <c r="W287" s="36" t="str">
        <f aca="false">IF(C287="","",SUM(P287:U287))</f>
        <v/>
      </c>
      <c r="X287" s="19" t="str">
        <f aca="false">IF(OR(C287="",V287=0),"",W287/V287)</f>
        <v/>
      </c>
      <c r="Y287" s="16" t="str">
        <f aca="false">IF(OR(C287="",V287=0),"",IF(W287&gt;=V287,"Sí","No"))</f>
        <v/>
      </c>
      <c r="Z287" s="9"/>
      <c r="AA287" s="9"/>
    </row>
    <row r="288" customFormat="false" ht="15" hidden="false" customHeight="false" outlineLevel="0" collapsed="false">
      <c r="A288" s="9"/>
      <c r="B288" s="9"/>
      <c r="C288" s="9"/>
      <c r="D288" s="16" t="str">
        <f aca="false">IF(C288="","",IFERROR(INDEX(LOOKAHEAD!$B$5:$B$204,MATCH(C288,LOOKAHEAD!$A$5:$A$204,0)),""))</f>
        <v/>
      </c>
      <c r="E288" s="16" t="str">
        <f aca="false">IF(C288="","",IFERROR(INDEX(LOOKAHEAD!$E$5:$E$204,MATCH(C288,LOOKAHEAD!$A$5:$A$204,0)),""))</f>
        <v/>
      </c>
      <c r="F288" s="16" t="str">
        <f aca="false">IF(C288="","",IFERROR(INDEX(LOOKAHEAD!$M$5:$M$204,MATCH(C288,LOOKAHEAD!$A$5:$A$204,0)),""))</f>
        <v/>
      </c>
      <c r="G288" s="9"/>
      <c r="H288" s="9"/>
      <c r="I288" s="16" t="str">
        <f aca="false">IF(C288="","",IFERROR(INDEX(LOOKAHEAD!$G$5:$G$204,MATCH(C288,LOOKAHEAD!$A$5:$A$204,0)),""))</f>
        <v/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36" t="str">
        <f aca="false">IF(C288="","",SUM(J288:O288))</f>
        <v/>
      </c>
      <c r="W288" s="36" t="str">
        <f aca="false">IF(C288="","",SUM(P288:U288))</f>
        <v/>
      </c>
      <c r="X288" s="19" t="str">
        <f aca="false">IF(OR(C288="",V288=0),"",W288/V288)</f>
        <v/>
      </c>
      <c r="Y288" s="16" t="str">
        <f aca="false">IF(OR(C288="",V288=0),"",IF(W288&gt;=V288,"Sí","No"))</f>
        <v/>
      </c>
      <c r="Z288" s="9"/>
      <c r="AA288" s="9"/>
    </row>
    <row r="289" customFormat="false" ht="15" hidden="false" customHeight="false" outlineLevel="0" collapsed="false">
      <c r="A289" s="9"/>
      <c r="B289" s="9"/>
      <c r="C289" s="9"/>
      <c r="D289" s="16" t="str">
        <f aca="false">IF(C289="","",IFERROR(INDEX(LOOKAHEAD!$B$5:$B$204,MATCH(C289,LOOKAHEAD!$A$5:$A$204,0)),""))</f>
        <v/>
      </c>
      <c r="E289" s="16" t="str">
        <f aca="false">IF(C289="","",IFERROR(INDEX(LOOKAHEAD!$E$5:$E$204,MATCH(C289,LOOKAHEAD!$A$5:$A$204,0)),""))</f>
        <v/>
      </c>
      <c r="F289" s="16" t="str">
        <f aca="false">IF(C289="","",IFERROR(INDEX(LOOKAHEAD!$M$5:$M$204,MATCH(C289,LOOKAHEAD!$A$5:$A$204,0)),""))</f>
        <v/>
      </c>
      <c r="G289" s="9"/>
      <c r="H289" s="9"/>
      <c r="I289" s="16" t="str">
        <f aca="false">IF(C289="","",IFERROR(INDEX(LOOKAHEAD!$G$5:$G$204,MATCH(C289,LOOKAHEAD!$A$5:$A$204,0)),""))</f>
        <v/>
      </c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36" t="str">
        <f aca="false">IF(C289="","",SUM(J289:O289))</f>
        <v/>
      </c>
      <c r="W289" s="36" t="str">
        <f aca="false">IF(C289="","",SUM(P289:U289))</f>
        <v/>
      </c>
      <c r="X289" s="19" t="str">
        <f aca="false">IF(OR(C289="",V289=0),"",W289/V289)</f>
        <v/>
      </c>
      <c r="Y289" s="16" t="str">
        <f aca="false">IF(OR(C289="",V289=0),"",IF(W289&gt;=V289,"Sí","No"))</f>
        <v/>
      </c>
      <c r="Z289" s="9"/>
      <c r="AA289" s="9"/>
    </row>
    <row r="290" customFormat="false" ht="15" hidden="false" customHeight="false" outlineLevel="0" collapsed="false">
      <c r="A290" s="9"/>
      <c r="B290" s="9"/>
      <c r="C290" s="9"/>
      <c r="D290" s="16" t="str">
        <f aca="false">IF(C290="","",IFERROR(INDEX(LOOKAHEAD!$B$5:$B$204,MATCH(C290,LOOKAHEAD!$A$5:$A$204,0)),""))</f>
        <v/>
      </c>
      <c r="E290" s="16" t="str">
        <f aca="false">IF(C290="","",IFERROR(INDEX(LOOKAHEAD!$E$5:$E$204,MATCH(C290,LOOKAHEAD!$A$5:$A$204,0)),""))</f>
        <v/>
      </c>
      <c r="F290" s="16" t="str">
        <f aca="false">IF(C290="","",IFERROR(INDEX(LOOKAHEAD!$M$5:$M$204,MATCH(C290,LOOKAHEAD!$A$5:$A$204,0)),""))</f>
        <v/>
      </c>
      <c r="G290" s="9"/>
      <c r="H290" s="9"/>
      <c r="I290" s="16" t="str">
        <f aca="false">IF(C290="","",IFERROR(INDEX(LOOKAHEAD!$G$5:$G$204,MATCH(C290,LOOKAHEAD!$A$5:$A$204,0)),""))</f>
        <v/>
      </c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36" t="str">
        <f aca="false">IF(C290="","",SUM(J290:O290))</f>
        <v/>
      </c>
      <c r="W290" s="36" t="str">
        <f aca="false">IF(C290="","",SUM(P290:U290))</f>
        <v/>
      </c>
      <c r="X290" s="19" t="str">
        <f aca="false">IF(OR(C290="",V290=0),"",W290/V290)</f>
        <v/>
      </c>
      <c r="Y290" s="16" t="str">
        <f aca="false">IF(OR(C290="",V290=0),"",IF(W290&gt;=V290,"Sí","No"))</f>
        <v/>
      </c>
      <c r="Z290" s="9"/>
      <c r="AA290" s="9"/>
    </row>
    <row r="291" customFormat="false" ht="15" hidden="false" customHeight="false" outlineLevel="0" collapsed="false">
      <c r="A291" s="9"/>
      <c r="B291" s="9"/>
      <c r="C291" s="9"/>
      <c r="D291" s="16" t="str">
        <f aca="false">IF(C291="","",IFERROR(INDEX(LOOKAHEAD!$B$5:$B$204,MATCH(C291,LOOKAHEAD!$A$5:$A$204,0)),""))</f>
        <v/>
      </c>
      <c r="E291" s="16" t="str">
        <f aca="false">IF(C291="","",IFERROR(INDEX(LOOKAHEAD!$E$5:$E$204,MATCH(C291,LOOKAHEAD!$A$5:$A$204,0)),""))</f>
        <v/>
      </c>
      <c r="F291" s="16" t="str">
        <f aca="false">IF(C291="","",IFERROR(INDEX(LOOKAHEAD!$M$5:$M$204,MATCH(C291,LOOKAHEAD!$A$5:$A$204,0)),""))</f>
        <v/>
      </c>
      <c r="G291" s="9"/>
      <c r="H291" s="9"/>
      <c r="I291" s="16" t="str">
        <f aca="false">IF(C291="","",IFERROR(INDEX(LOOKAHEAD!$G$5:$G$204,MATCH(C291,LOOKAHEAD!$A$5:$A$204,0)),""))</f>
        <v/>
      </c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36" t="str">
        <f aca="false">IF(C291="","",SUM(J291:O291))</f>
        <v/>
      </c>
      <c r="W291" s="36" t="str">
        <f aca="false">IF(C291="","",SUM(P291:U291))</f>
        <v/>
      </c>
      <c r="X291" s="19" t="str">
        <f aca="false">IF(OR(C291="",V291=0),"",W291/V291)</f>
        <v/>
      </c>
      <c r="Y291" s="16" t="str">
        <f aca="false">IF(OR(C291="",V291=0),"",IF(W291&gt;=V291,"Sí","No"))</f>
        <v/>
      </c>
      <c r="Z291" s="9"/>
      <c r="AA291" s="9"/>
    </row>
    <row r="292" customFormat="false" ht="15" hidden="false" customHeight="false" outlineLevel="0" collapsed="false">
      <c r="A292" s="9"/>
      <c r="B292" s="9"/>
      <c r="C292" s="9"/>
      <c r="D292" s="16" t="str">
        <f aca="false">IF(C292="","",IFERROR(INDEX(LOOKAHEAD!$B$5:$B$204,MATCH(C292,LOOKAHEAD!$A$5:$A$204,0)),""))</f>
        <v/>
      </c>
      <c r="E292" s="16" t="str">
        <f aca="false">IF(C292="","",IFERROR(INDEX(LOOKAHEAD!$E$5:$E$204,MATCH(C292,LOOKAHEAD!$A$5:$A$204,0)),""))</f>
        <v/>
      </c>
      <c r="F292" s="16" t="str">
        <f aca="false">IF(C292="","",IFERROR(INDEX(LOOKAHEAD!$M$5:$M$204,MATCH(C292,LOOKAHEAD!$A$5:$A$204,0)),""))</f>
        <v/>
      </c>
      <c r="G292" s="9"/>
      <c r="H292" s="9"/>
      <c r="I292" s="16" t="str">
        <f aca="false">IF(C292="","",IFERROR(INDEX(LOOKAHEAD!$G$5:$G$204,MATCH(C292,LOOKAHEAD!$A$5:$A$204,0)),""))</f>
        <v/>
      </c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36" t="str">
        <f aca="false">IF(C292="","",SUM(J292:O292))</f>
        <v/>
      </c>
      <c r="W292" s="36" t="str">
        <f aca="false">IF(C292="","",SUM(P292:U292))</f>
        <v/>
      </c>
      <c r="X292" s="19" t="str">
        <f aca="false">IF(OR(C292="",V292=0),"",W292/V292)</f>
        <v/>
      </c>
      <c r="Y292" s="16" t="str">
        <f aca="false">IF(OR(C292="",V292=0),"",IF(W292&gt;=V292,"Sí","No"))</f>
        <v/>
      </c>
      <c r="Z292" s="9"/>
      <c r="AA292" s="9"/>
    </row>
    <row r="293" customFormat="false" ht="15" hidden="false" customHeight="false" outlineLevel="0" collapsed="false">
      <c r="A293" s="9"/>
      <c r="B293" s="9"/>
      <c r="C293" s="9"/>
      <c r="D293" s="16" t="str">
        <f aca="false">IF(C293="","",IFERROR(INDEX(LOOKAHEAD!$B$5:$B$204,MATCH(C293,LOOKAHEAD!$A$5:$A$204,0)),""))</f>
        <v/>
      </c>
      <c r="E293" s="16" t="str">
        <f aca="false">IF(C293="","",IFERROR(INDEX(LOOKAHEAD!$E$5:$E$204,MATCH(C293,LOOKAHEAD!$A$5:$A$204,0)),""))</f>
        <v/>
      </c>
      <c r="F293" s="16" t="str">
        <f aca="false">IF(C293="","",IFERROR(INDEX(LOOKAHEAD!$M$5:$M$204,MATCH(C293,LOOKAHEAD!$A$5:$A$204,0)),""))</f>
        <v/>
      </c>
      <c r="G293" s="9"/>
      <c r="H293" s="9"/>
      <c r="I293" s="16" t="str">
        <f aca="false">IF(C293="","",IFERROR(INDEX(LOOKAHEAD!$G$5:$G$204,MATCH(C293,LOOKAHEAD!$A$5:$A$204,0)),""))</f>
        <v/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36" t="str">
        <f aca="false">IF(C293="","",SUM(J293:O293))</f>
        <v/>
      </c>
      <c r="W293" s="36" t="str">
        <f aca="false">IF(C293="","",SUM(P293:U293))</f>
        <v/>
      </c>
      <c r="X293" s="19" t="str">
        <f aca="false">IF(OR(C293="",V293=0),"",W293/V293)</f>
        <v/>
      </c>
      <c r="Y293" s="16" t="str">
        <f aca="false">IF(OR(C293="",V293=0),"",IF(W293&gt;=V293,"Sí","No"))</f>
        <v/>
      </c>
      <c r="Z293" s="9"/>
      <c r="AA293" s="9"/>
    </row>
    <row r="294" customFormat="false" ht="15" hidden="false" customHeight="false" outlineLevel="0" collapsed="false">
      <c r="A294" s="9"/>
      <c r="B294" s="9"/>
      <c r="C294" s="9"/>
      <c r="D294" s="16" t="str">
        <f aca="false">IF(C294="","",IFERROR(INDEX(LOOKAHEAD!$B$5:$B$204,MATCH(C294,LOOKAHEAD!$A$5:$A$204,0)),""))</f>
        <v/>
      </c>
      <c r="E294" s="16" t="str">
        <f aca="false">IF(C294="","",IFERROR(INDEX(LOOKAHEAD!$E$5:$E$204,MATCH(C294,LOOKAHEAD!$A$5:$A$204,0)),""))</f>
        <v/>
      </c>
      <c r="F294" s="16" t="str">
        <f aca="false">IF(C294="","",IFERROR(INDEX(LOOKAHEAD!$M$5:$M$204,MATCH(C294,LOOKAHEAD!$A$5:$A$204,0)),""))</f>
        <v/>
      </c>
      <c r="G294" s="9"/>
      <c r="H294" s="9"/>
      <c r="I294" s="16" t="str">
        <f aca="false">IF(C294="","",IFERROR(INDEX(LOOKAHEAD!$G$5:$G$204,MATCH(C294,LOOKAHEAD!$A$5:$A$204,0)),""))</f>
        <v/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36" t="str">
        <f aca="false">IF(C294="","",SUM(J294:O294))</f>
        <v/>
      </c>
      <c r="W294" s="36" t="str">
        <f aca="false">IF(C294="","",SUM(P294:U294))</f>
        <v/>
      </c>
      <c r="X294" s="19" t="str">
        <f aca="false">IF(OR(C294="",V294=0),"",W294/V294)</f>
        <v/>
      </c>
      <c r="Y294" s="16" t="str">
        <f aca="false">IF(OR(C294="",V294=0),"",IF(W294&gt;=V294,"Sí","No"))</f>
        <v/>
      </c>
      <c r="Z294" s="9"/>
      <c r="AA294" s="9"/>
    </row>
    <row r="295" customFormat="false" ht="15" hidden="false" customHeight="false" outlineLevel="0" collapsed="false">
      <c r="A295" s="9"/>
      <c r="B295" s="9"/>
      <c r="C295" s="9"/>
      <c r="D295" s="16" t="str">
        <f aca="false">IF(C295="","",IFERROR(INDEX(LOOKAHEAD!$B$5:$B$204,MATCH(C295,LOOKAHEAD!$A$5:$A$204,0)),""))</f>
        <v/>
      </c>
      <c r="E295" s="16" t="str">
        <f aca="false">IF(C295="","",IFERROR(INDEX(LOOKAHEAD!$E$5:$E$204,MATCH(C295,LOOKAHEAD!$A$5:$A$204,0)),""))</f>
        <v/>
      </c>
      <c r="F295" s="16" t="str">
        <f aca="false">IF(C295="","",IFERROR(INDEX(LOOKAHEAD!$M$5:$M$204,MATCH(C295,LOOKAHEAD!$A$5:$A$204,0)),""))</f>
        <v/>
      </c>
      <c r="G295" s="9"/>
      <c r="H295" s="9"/>
      <c r="I295" s="16" t="str">
        <f aca="false">IF(C295="","",IFERROR(INDEX(LOOKAHEAD!$G$5:$G$204,MATCH(C295,LOOKAHEAD!$A$5:$A$204,0)),""))</f>
        <v/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36" t="str">
        <f aca="false">IF(C295="","",SUM(J295:O295))</f>
        <v/>
      </c>
      <c r="W295" s="36" t="str">
        <f aca="false">IF(C295="","",SUM(P295:U295))</f>
        <v/>
      </c>
      <c r="X295" s="19" t="str">
        <f aca="false">IF(OR(C295="",V295=0),"",W295/V295)</f>
        <v/>
      </c>
      <c r="Y295" s="16" t="str">
        <f aca="false">IF(OR(C295="",V295=0),"",IF(W295&gt;=V295,"Sí","No"))</f>
        <v/>
      </c>
      <c r="Z295" s="9"/>
      <c r="AA295" s="9"/>
    </row>
    <row r="296" customFormat="false" ht="15" hidden="false" customHeight="false" outlineLevel="0" collapsed="false">
      <c r="A296" s="9"/>
      <c r="B296" s="9"/>
      <c r="C296" s="9"/>
      <c r="D296" s="16" t="str">
        <f aca="false">IF(C296="","",IFERROR(INDEX(LOOKAHEAD!$B$5:$B$204,MATCH(C296,LOOKAHEAD!$A$5:$A$204,0)),""))</f>
        <v/>
      </c>
      <c r="E296" s="16" t="str">
        <f aca="false">IF(C296="","",IFERROR(INDEX(LOOKAHEAD!$E$5:$E$204,MATCH(C296,LOOKAHEAD!$A$5:$A$204,0)),""))</f>
        <v/>
      </c>
      <c r="F296" s="16" t="str">
        <f aca="false">IF(C296="","",IFERROR(INDEX(LOOKAHEAD!$M$5:$M$204,MATCH(C296,LOOKAHEAD!$A$5:$A$204,0)),""))</f>
        <v/>
      </c>
      <c r="G296" s="9"/>
      <c r="H296" s="9"/>
      <c r="I296" s="16" t="str">
        <f aca="false">IF(C296="","",IFERROR(INDEX(LOOKAHEAD!$G$5:$G$204,MATCH(C296,LOOKAHEAD!$A$5:$A$204,0)),""))</f>
        <v/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36" t="str">
        <f aca="false">IF(C296="","",SUM(J296:O296))</f>
        <v/>
      </c>
      <c r="W296" s="36" t="str">
        <f aca="false">IF(C296="","",SUM(P296:U296))</f>
        <v/>
      </c>
      <c r="X296" s="19" t="str">
        <f aca="false">IF(OR(C296="",V296=0),"",W296/V296)</f>
        <v/>
      </c>
      <c r="Y296" s="16" t="str">
        <f aca="false">IF(OR(C296="",V296=0),"",IF(W296&gt;=V296,"Sí","No"))</f>
        <v/>
      </c>
      <c r="Z296" s="9"/>
      <c r="AA296" s="9"/>
    </row>
    <row r="297" customFormat="false" ht="15" hidden="false" customHeight="false" outlineLevel="0" collapsed="false">
      <c r="A297" s="9"/>
      <c r="B297" s="9"/>
      <c r="C297" s="9"/>
      <c r="D297" s="16" t="str">
        <f aca="false">IF(C297="","",IFERROR(INDEX(LOOKAHEAD!$B$5:$B$204,MATCH(C297,LOOKAHEAD!$A$5:$A$204,0)),""))</f>
        <v/>
      </c>
      <c r="E297" s="16" t="str">
        <f aca="false">IF(C297="","",IFERROR(INDEX(LOOKAHEAD!$E$5:$E$204,MATCH(C297,LOOKAHEAD!$A$5:$A$204,0)),""))</f>
        <v/>
      </c>
      <c r="F297" s="16" t="str">
        <f aca="false">IF(C297="","",IFERROR(INDEX(LOOKAHEAD!$M$5:$M$204,MATCH(C297,LOOKAHEAD!$A$5:$A$204,0)),""))</f>
        <v/>
      </c>
      <c r="G297" s="9"/>
      <c r="H297" s="9"/>
      <c r="I297" s="16" t="str">
        <f aca="false">IF(C297="","",IFERROR(INDEX(LOOKAHEAD!$G$5:$G$204,MATCH(C297,LOOKAHEAD!$A$5:$A$204,0)),""))</f>
        <v/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36" t="str">
        <f aca="false">IF(C297="","",SUM(J297:O297))</f>
        <v/>
      </c>
      <c r="W297" s="36" t="str">
        <f aca="false">IF(C297="","",SUM(P297:U297))</f>
        <v/>
      </c>
      <c r="X297" s="19" t="str">
        <f aca="false">IF(OR(C297="",V297=0),"",W297/V297)</f>
        <v/>
      </c>
      <c r="Y297" s="16" t="str">
        <f aca="false">IF(OR(C297="",V297=0),"",IF(W297&gt;=V297,"Sí","No"))</f>
        <v/>
      </c>
      <c r="Z297" s="9"/>
      <c r="AA297" s="9"/>
    </row>
    <row r="298" customFormat="false" ht="15" hidden="false" customHeight="false" outlineLevel="0" collapsed="false">
      <c r="A298" s="9"/>
      <c r="B298" s="9"/>
      <c r="C298" s="9"/>
      <c r="D298" s="16" t="str">
        <f aca="false">IF(C298="","",IFERROR(INDEX(LOOKAHEAD!$B$5:$B$204,MATCH(C298,LOOKAHEAD!$A$5:$A$204,0)),""))</f>
        <v/>
      </c>
      <c r="E298" s="16" t="str">
        <f aca="false">IF(C298="","",IFERROR(INDEX(LOOKAHEAD!$E$5:$E$204,MATCH(C298,LOOKAHEAD!$A$5:$A$204,0)),""))</f>
        <v/>
      </c>
      <c r="F298" s="16" t="str">
        <f aca="false">IF(C298="","",IFERROR(INDEX(LOOKAHEAD!$M$5:$M$204,MATCH(C298,LOOKAHEAD!$A$5:$A$204,0)),""))</f>
        <v/>
      </c>
      <c r="G298" s="9"/>
      <c r="H298" s="9"/>
      <c r="I298" s="16" t="str">
        <f aca="false">IF(C298="","",IFERROR(INDEX(LOOKAHEAD!$G$5:$G$204,MATCH(C298,LOOKAHEAD!$A$5:$A$204,0)),""))</f>
        <v/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36" t="str">
        <f aca="false">IF(C298="","",SUM(J298:O298))</f>
        <v/>
      </c>
      <c r="W298" s="36" t="str">
        <f aca="false">IF(C298="","",SUM(P298:U298))</f>
        <v/>
      </c>
      <c r="X298" s="19" t="str">
        <f aca="false">IF(OR(C298="",V298=0),"",W298/V298)</f>
        <v/>
      </c>
      <c r="Y298" s="16" t="str">
        <f aca="false">IF(OR(C298="",V298=0),"",IF(W298&gt;=V298,"Sí","No"))</f>
        <v/>
      </c>
      <c r="Z298" s="9"/>
      <c r="AA298" s="9"/>
    </row>
    <row r="299" customFormat="false" ht="15" hidden="false" customHeight="false" outlineLevel="0" collapsed="false">
      <c r="A299" s="9"/>
      <c r="B299" s="9"/>
      <c r="C299" s="9"/>
      <c r="D299" s="16" t="str">
        <f aca="false">IF(C299="","",IFERROR(INDEX(LOOKAHEAD!$B$5:$B$204,MATCH(C299,LOOKAHEAD!$A$5:$A$204,0)),""))</f>
        <v/>
      </c>
      <c r="E299" s="16" t="str">
        <f aca="false">IF(C299="","",IFERROR(INDEX(LOOKAHEAD!$E$5:$E$204,MATCH(C299,LOOKAHEAD!$A$5:$A$204,0)),""))</f>
        <v/>
      </c>
      <c r="F299" s="16" t="str">
        <f aca="false">IF(C299="","",IFERROR(INDEX(LOOKAHEAD!$M$5:$M$204,MATCH(C299,LOOKAHEAD!$A$5:$A$204,0)),""))</f>
        <v/>
      </c>
      <c r="G299" s="9"/>
      <c r="H299" s="9"/>
      <c r="I299" s="16" t="str">
        <f aca="false">IF(C299="","",IFERROR(INDEX(LOOKAHEAD!$G$5:$G$204,MATCH(C299,LOOKAHEAD!$A$5:$A$204,0)),""))</f>
        <v/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36" t="str">
        <f aca="false">IF(C299="","",SUM(J299:O299))</f>
        <v/>
      </c>
      <c r="W299" s="36" t="str">
        <f aca="false">IF(C299="","",SUM(P299:U299))</f>
        <v/>
      </c>
      <c r="X299" s="19" t="str">
        <f aca="false">IF(OR(C299="",V299=0),"",W299/V299)</f>
        <v/>
      </c>
      <c r="Y299" s="16" t="str">
        <f aca="false">IF(OR(C299="",V299=0),"",IF(W299&gt;=V299,"Sí","No"))</f>
        <v/>
      </c>
      <c r="Z299" s="9"/>
      <c r="AA299" s="9"/>
    </row>
    <row r="300" customFormat="false" ht="15" hidden="false" customHeight="false" outlineLevel="0" collapsed="false">
      <c r="A300" s="9"/>
      <c r="B300" s="9"/>
      <c r="C300" s="9"/>
      <c r="D300" s="16" t="str">
        <f aca="false">IF(C300="","",IFERROR(INDEX(LOOKAHEAD!$B$5:$B$204,MATCH(C300,LOOKAHEAD!$A$5:$A$204,0)),""))</f>
        <v/>
      </c>
      <c r="E300" s="16" t="str">
        <f aca="false">IF(C300="","",IFERROR(INDEX(LOOKAHEAD!$E$5:$E$204,MATCH(C300,LOOKAHEAD!$A$5:$A$204,0)),""))</f>
        <v/>
      </c>
      <c r="F300" s="16" t="str">
        <f aca="false">IF(C300="","",IFERROR(INDEX(LOOKAHEAD!$M$5:$M$204,MATCH(C300,LOOKAHEAD!$A$5:$A$204,0)),""))</f>
        <v/>
      </c>
      <c r="G300" s="9"/>
      <c r="H300" s="9"/>
      <c r="I300" s="16" t="str">
        <f aca="false">IF(C300="","",IFERROR(INDEX(LOOKAHEAD!$G$5:$G$204,MATCH(C300,LOOKAHEAD!$A$5:$A$204,0)),""))</f>
        <v/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36" t="str">
        <f aca="false">IF(C300="","",SUM(J300:O300))</f>
        <v/>
      </c>
      <c r="W300" s="36" t="str">
        <f aca="false">IF(C300="","",SUM(P300:U300))</f>
        <v/>
      </c>
      <c r="X300" s="19" t="str">
        <f aca="false">IF(OR(C300="",V300=0),"",W300/V300)</f>
        <v/>
      </c>
      <c r="Y300" s="16" t="str">
        <f aca="false">IF(OR(C300="",V300=0),"",IF(W300&gt;=V300,"Sí","No"))</f>
        <v/>
      </c>
      <c r="Z300" s="9"/>
      <c r="AA300" s="9"/>
    </row>
    <row r="301" customFormat="false" ht="15" hidden="false" customHeight="false" outlineLevel="0" collapsed="false">
      <c r="A301" s="9"/>
      <c r="B301" s="9"/>
      <c r="C301" s="9"/>
      <c r="D301" s="16" t="str">
        <f aca="false">IF(C301="","",IFERROR(INDEX(LOOKAHEAD!$B$5:$B$204,MATCH(C301,LOOKAHEAD!$A$5:$A$204,0)),""))</f>
        <v/>
      </c>
      <c r="E301" s="16" t="str">
        <f aca="false">IF(C301="","",IFERROR(INDEX(LOOKAHEAD!$E$5:$E$204,MATCH(C301,LOOKAHEAD!$A$5:$A$204,0)),""))</f>
        <v/>
      </c>
      <c r="F301" s="16" t="str">
        <f aca="false">IF(C301="","",IFERROR(INDEX(LOOKAHEAD!$M$5:$M$204,MATCH(C301,LOOKAHEAD!$A$5:$A$204,0)),""))</f>
        <v/>
      </c>
      <c r="G301" s="9"/>
      <c r="H301" s="9"/>
      <c r="I301" s="16" t="str">
        <f aca="false">IF(C301="","",IFERROR(INDEX(LOOKAHEAD!$G$5:$G$204,MATCH(C301,LOOKAHEAD!$A$5:$A$204,0)),""))</f>
        <v/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36" t="str">
        <f aca="false">IF(C301="","",SUM(J301:O301))</f>
        <v/>
      </c>
      <c r="W301" s="36" t="str">
        <f aca="false">IF(C301="","",SUM(P301:U301))</f>
        <v/>
      </c>
      <c r="X301" s="19" t="str">
        <f aca="false">IF(OR(C301="",V301=0),"",W301/V301)</f>
        <v/>
      </c>
      <c r="Y301" s="16" t="str">
        <f aca="false">IF(OR(C301="",V301=0),"",IF(W301&gt;=V301,"Sí","No"))</f>
        <v/>
      </c>
      <c r="Z301" s="9"/>
      <c r="AA301" s="9"/>
    </row>
    <row r="302" customFormat="false" ht="15" hidden="false" customHeight="false" outlineLevel="0" collapsed="false">
      <c r="A302" s="9"/>
      <c r="B302" s="9"/>
      <c r="C302" s="9"/>
      <c r="D302" s="16" t="str">
        <f aca="false">IF(C302="","",IFERROR(INDEX(LOOKAHEAD!$B$5:$B$204,MATCH(C302,LOOKAHEAD!$A$5:$A$204,0)),""))</f>
        <v/>
      </c>
      <c r="E302" s="16" t="str">
        <f aca="false">IF(C302="","",IFERROR(INDEX(LOOKAHEAD!$E$5:$E$204,MATCH(C302,LOOKAHEAD!$A$5:$A$204,0)),""))</f>
        <v/>
      </c>
      <c r="F302" s="16" t="str">
        <f aca="false">IF(C302="","",IFERROR(INDEX(LOOKAHEAD!$M$5:$M$204,MATCH(C302,LOOKAHEAD!$A$5:$A$204,0)),""))</f>
        <v/>
      </c>
      <c r="G302" s="9"/>
      <c r="H302" s="9"/>
      <c r="I302" s="16" t="str">
        <f aca="false">IF(C302="","",IFERROR(INDEX(LOOKAHEAD!$G$5:$G$204,MATCH(C302,LOOKAHEAD!$A$5:$A$204,0)),""))</f>
        <v/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36" t="str">
        <f aca="false">IF(C302="","",SUM(J302:O302))</f>
        <v/>
      </c>
      <c r="W302" s="36" t="str">
        <f aca="false">IF(C302="","",SUM(P302:U302))</f>
        <v/>
      </c>
      <c r="X302" s="19" t="str">
        <f aca="false">IF(OR(C302="",V302=0),"",W302/V302)</f>
        <v/>
      </c>
      <c r="Y302" s="16" t="str">
        <f aca="false">IF(OR(C302="",V302=0),"",IF(W302&gt;=V302,"Sí","No"))</f>
        <v/>
      </c>
      <c r="Z302" s="9"/>
      <c r="AA302" s="9"/>
    </row>
    <row r="303" customFormat="false" ht="15" hidden="false" customHeight="false" outlineLevel="0" collapsed="false">
      <c r="A303" s="9"/>
      <c r="B303" s="9"/>
      <c r="C303" s="9"/>
      <c r="D303" s="16" t="str">
        <f aca="false">IF(C303="","",IFERROR(INDEX(LOOKAHEAD!$B$5:$B$204,MATCH(C303,LOOKAHEAD!$A$5:$A$204,0)),""))</f>
        <v/>
      </c>
      <c r="E303" s="16" t="str">
        <f aca="false">IF(C303="","",IFERROR(INDEX(LOOKAHEAD!$E$5:$E$204,MATCH(C303,LOOKAHEAD!$A$5:$A$204,0)),""))</f>
        <v/>
      </c>
      <c r="F303" s="16" t="str">
        <f aca="false">IF(C303="","",IFERROR(INDEX(LOOKAHEAD!$M$5:$M$204,MATCH(C303,LOOKAHEAD!$A$5:$A$204,0)),""))</f>
        <v/>
      </c>
      <c r="G303" s="9"/>
      <c r="H303" s="9"/>
      <c r="I303" s="16" t="str">
        <f aca="false">IF(C303="","",IFERROR(INDEX(LOOKAHEAD!$G$5:$G$204,MATCH(C303,LOOKAHEAD!$A$5:$A$204,0)),""))</f>
        <v/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36" t="str">
        <f aca="false">IF(C303="","",SUM(J303:O303))</f>
        <v/>
      </c>
      <c r="W303" s="36" t="str">
        <f aca="false">IF(C303="","",SUM(P303:U303))</f>
        <v/>
      </c>
      <c r="X303" s="19" t="str">
        <f aca="false">IF(OR(C303="",V303=0),"",W303/V303)</f>
        <v/>
      </c>
      <c r="Y303" s="16" t="str">
        <f aca="false">IF(OR(C303="",V303=0),"",IF(W303&gt;=V303,"Sí","No"))</f>
        <v/>
      </c>
      <c r="Z303" s="9"/>
      <c r="AA303" s="9"/>
    </row>
    <row r="304" customFormat="false" ht="15" hidden="false" customHeight="false" outlineLevel="0" collapsed="false">
      <c r="A304" s="9"/>
      <c r="B304" s="9"/>
      <c r="C304" s="9"/>
      <c r="D304" s="16" t="str">
        <f aca="false">IF(C304="","",IFERROR(INDEX(LOOKAHEAD!$B$5:$B$204,MATCH(C304,LOOKAHEAD!$A$5:$A$204,0)),""))</f>
        <v/>
      </c>
      <c r="E304" s="16" t="str">
        <f aca="false">IF(C304="","",IFERROR(INDEX(LOOKAHEAD!$E$5:$E$204,MATCH(C304,LOOKAHEAD!$A$5:$A$204,0)),""))</f>
        <v/>
      </c>
      <c r="F304" s="16" t="str">
        <f aca="false">IF(C304="","",IFERROR(INDEX(LOOKAHEAD!$M$5:$M$204,MATCH(C304,LOOKAHEAD!$A$5:$A$204,0)),""))</f>
        <v/>
      </c>
      <c r="G304" s="9"/>
      <c r="H304" s="9"/>
      <c r="I304" s="16" t="str">
        <f aca="false">IF(C304="","",IFERROR(INDEX(LOOKAHEAD!$G$5:$G$204,MATCH(C304,LOOKAHEAD!$A$5:$A$204,0)),""))</f>
        <v/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36" t="str">
        <f aca="false">IF(C304="","",SUM(J304:O304))</f>
        <v/>
      </c>
      <c r="W304" s="36" t="str">
        <f aca="false">IF(C304="","",SUM(P304:U304))</f>
        <v/>
      </c>
      <c r="X304" s="19" t="str">
        <f aca="false">IF(OR(C304="",V304=0),"",W304/V304)</f>
        <v/>
      </c>
      <c r="Y304" s="16" t="str">
        <f aca="false">IF(OR(C304="",V304=0),"",IF(W304&gt;=V304,"Sí","No"))</f>
        <v/>
      </c>
      <c r="Z304" s="9"/>
      <c r="AA304" s="9"/>
    </row>
    <row r="305" customFormat="false" ht="15" hidden="false" customHeight="false" outlineLevel="0" collapsed="false">
      <c r="A305" s="9"/>
      <c r="B305" s="9"/>
      <c r="C305" s="9"/>
      <c r="D305" s="16" t="str">
        <f aca="false">IF(C305="","",IFERROR(INDEX(LOOKAHEAD!$B$5:$B$204,MATCH(C305,LOOKAHEAD!$A$5:$A$204,0)),""))</f>
        <v/>
      </c>
      <c r="E305" s="16" t="str">
        <f aca="false">IF(C305="","",IFERROR(INDEX(LOOKAHEAD!$E$5:$E$204,MATCH(C305,LOOKAHEAD!$A$5:$A$204,0)),""))</f>
        <v/>
      </c>
      <c r="F305" s="16" t="str">
        <f aca="false">IF(C305="","",IFERROR(INDEX(LOOKAHEAD!$M$5:$M$204,MATCH(C305,LOOKAHEAD!$A$5:$A$204,0)),""))</f>
        <v/>
      </c>
      <c r="G305" s="9"/>
      <c r="H305" s="9"/>
      <c r="I305" s="16" t="str">
        <f aca="false">IF(C305="","",IFERROR(INDEX(LOOKAHEAD!$G$5:$G$204,MATCH(C305,LOOKAHEAD!$A$5:$A$204,0)),""))</f>
        <v/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36" t="str">
        <f aca="false">IF(C305="","",SUM(J305:O305))</f>
        <v/>
      </c>
      <c r="W305" s="36" t="str">
        <f aca="false">IF(C305="","",SUM(P305:U305))</f>
        <v/>
      </c>
      <c r="X305" s="19" t="str">
        <f aca="false">IF(OR(C305="",V305=0),"",W305/V305)</f>
        <v/>
      </c>
      <c r="Y305" s="16" t="str">
        <f aca="false">IF(OR(C305="",V305=0),"",IF(W305&gt;=V305,"Sí","No"))</f>
        <v/>
      </c>
      <c r="Z305" s="9"/>
      <c r="AA305" s="9"/>
    </row>
    <row r="306" customFormat="false" ht="15" hidden="false" customHeight="false" outlineLevel="0" collapsed="false">
      <c r="A306" s="9"/>
      <c r="B306" s="9"/>
      <c r="C306" s="9"/>
      <c r="D306" s="16" t="str">
        <f aca="false">IF(C306="","",IFERROR(INDEX(LOOKAHEAD!$B$5:$B$204,MATCH(C306,LOOKAHEAD!$A$5:$A$204,0)),""))</f>
        <v/>
      </c>
      <c r="E306" s="16" t="str">
        <f aca="false">IF(C306="","",IFERROR(INDEX(LOOKAHEAD!$E$5:$E$204,MATCH(C306,LOOKAHEAD!$A$5:$A$204,0)),""))</f>
        <v/>
      </c>
      <c r="F306" s="16" t="str">
        <f aca="false">IF(C306="","",IFERROR(INDEX(LOOKAHEAD!$M$5:$M$204,MATCH(C306,LOOKAHEAD!$A$5:$A$204,0)),""))</f>
        <v/>
      </c>
      <c r="G306" s="9"/>
      <c r="H306" s="9"/>
      <c r="I306" s="16" t="str">
        <f aca="false">IF(C306="","",IFERROR(INDEX(LOOKAHEAD!$G$5:$G$204,MATCH(C306,LOOKAHEAD!$A$5:$A$204,0)),""))</f>
        <v/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36" t="str">
        <f aca="false">IF(C306="","",SUM(J306:O306))</f>
        <v/>
      </c>
      <c r="W306" s="36" t="str">
        <f aca="false">IF(C306="","",SUM(P306:U306))</f>
        <v/>
      </c>
      <c r="X306" s="19" t="str">
        <f aca="false">IF(OR(C306="",V306=0),"",W306/V306)</f>
        <v/>
      </c>
      <c r="Y306" s="16" t="str">
        <f aca="false">IF(OR(C306="",V306=0),"",IF(W306&gt;=V306,"Sí","No"))</f>
        <v/>
      </c>
      <c r="Z306" s="9"/>
      <c r="AA306" s="9"/>
    </row>
    <row r="307" customFormat="false" ht="15" hidden="false" customHeight="false" outlineLevel="0" collapsed="false">
      <c r="A307" s="9"/>
      <c r="B307" s="9"/>
      <c r="C307" s="9"/>
      <c r="D307" s="16" t="str">
        <f aca="false">IF(C307="","",IFERROR(INDEX(LOOKAHEAD!$B$5:$B$204,MATCH(C307,LOOKAHEAD!$A$5:$A$204,0)),""))</f>
        <v/>
      </c>
      <c r="E307" s="16" t="str">
        <f aca="false">IF(C307="","",IFERROR(INDEX(LOOKAHEAD!$E$5:$E$204,MATCH(C307,LOOKAHEAD!$A$5:$A$204,0)),""))</f>
        <v/>
      </c>
      <c r="F307" s="16" t="str">
        <f aca="false">IF(C307="","",IFERROR(INDEX(LOOKAHEAD!$M$5:$M$204,MATCH(C307,LOOKAHEAD!$A$5:$A$204,0)),""))</f>
        <v/>
      </c>
      <c r="G307" s="9"/>
      <c r="H307" s="9"/>
      <c r="I307" s="16" t="str">
        <f aca="false">IF(C307="","",IFERROR(INDEX(LOOKAHEAD!$G$5:$G$204,MATCH(C307,LOOKAHEAD!$A$5:$A$204,0)),""))</f>
        <v/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36" t="str">
        <f aca="false">IF(C307="","",SUM(J307:O307))</f>
        <v/>
      </c>
      <c r="W307" s="36" t="str">
        <f aca="false">IF(C307="","",SUM(P307:U307))</f>
        <v/>
      </c>
      <c r="X307" s="19" t="str">
        <f aca="false">IF(OR(C307="",V307=0),"",W307/V307)</f>
        <v/>
      </c>
      <c r="Y307" s="16" t="str">
        <f aca="false">IF(OR(C307="",V307=0),"",IF(W307&gt;=V307,"Sí","No"))</f>
        <v/>
      </c>
      <c r="Z307" s="9"/>
      <c r="AA307" s="9"/>
    </row>
    <row r="308" customFormat="false" ht="15" hidden="false" customHeight="false" outlineLevel="0" collapsed="false">
      <c r="A308" s="9"/>
      <c r="B308" s="9"/>
      <c r="C308" s="9"/>
      <c r="D308" s="16" t="str">
        <f aca="false">IF(C308="","",IFERROR(INDEX(LOOKAHEAD!$B$5:$B$204,MATCH(C308,LOOKAHEAD!$A$5:$A$204,0)),""))</f>
        <v/>
      </c>
      <c r="E308" s="16" t="str">
        <f aca="false">IF(C308="","",IFERROR(INDEX(LOOKAHEAD!$E$5:$E$204,MATCH(C308,LOOKAHEAD!$A$5:$A$204,0)),""))</f>
        <v/>
      </c>
      <c r="F308" s="16" t="str">
        <f aca="false">IF(C308="","",IFERROR(INDEX(LOOKAHEAD!$M$5:$M$204,MATCH(C308,LOOKAHEAD!$A$5:$A$204,0)),""))</f>
        <v/>
      </c>
      <c r="G308" s="9"/>
      <c r="H308" s="9"/>
      <c r="I308" s="16" t="str">
        <f aca="false">IF(C308="","",IFERROR(INDEX(LOOKAHEAD!$G$5:$G$204,MATCH(C308,LOOKAHEAD!$A$5:$A$204,0)),""))</f>
        <v/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36" t="str">
        <f aca="false">IF(C308="","",SUM(J308:O308))</f>
        <v/>
      </c>
      <c r="W308" s="36" t="str">
        <f aca="false">IF(C308="","",SUM(P308:U308))</f>
        <v/>
      </c>
      <c r="X308" s="19" t="str">
        <f aca="false">IF(OR(C308="",V308=0),"",W308/V308)</f>
        <v/>
      </c>
      <c r="Y308" s="16" t="str">
        <f aca="false">IF(OR(C308="",V308=0),"",IF(W308&gt;=V308,"Sí","No"))</f>
        <v/>
      </c>
      <c r="Z308" s="9"/>
      <c r="AA308" s="9"/>
    </row>
    <row r="309" customFormat="false" ht="15" hidden="false" customHeight="false" outlineLevel="0" collapsed="false">
      <c r="A309" s="9"/>
      <c r="B309" s="9"/>
      <c r="C309" s="9"/>
      <c r="D309" s="16" t="str">
        <f aca="false">IF(C309="","",IFERROR(INDEX(LOOKAHEAD!$B$5:$B$204,MATCH(C309,LOOKAHEAD!$A$5:$A$204,0)),""))</f>
        <v/>
      </c>
      <c r="E309" s="16" t="str">
        <f aca="false">IF(C309="","",IFERROR(INDEX(LOOKAHEAD!$E$5:$E$204,MATCH(C309,LOOKAHEAD!$A$5:$A$204,0)),""))</f>
        <v/>
      </c>
      <c r="F309" s="16" t="str">
        <f aca="false">IF(C309="","",IFERROR(INDEX(LOOKAHEAD!$M$5:$M$204,MATCH(C309,LOOKAHEAD!$A$5:$A$204,0)),""))</f>
        <v/>
      </c>
      <c r="G309" s="9"/>
      <c r="H309" s="9"/>
      <c r="I309" s="16" t="str">
        <f aca="false">IF(C309="","",IFERROR(INDEX(LOOKAHEAD!$G$5:$G$204,MATCH(C309,LOOKAHEAD!$A$5:$A$204,0)),""))</f>
        <v/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36" t="str">
        <f aca="false">IF(C309="","",SUM(J309:O309))</f>
        <v/>
      </c>
      <c r="W309" s="36" t="str">
        <f aca="false">IF(C309="","",SUM(P309:U309))</f>
        <v/>
      </c>
      <c r="X309" s="19" t="str">
        <f aca="false">IF(OR(C309="",V309=0),"",W309/V309)</f>
        <v/>
      </c>
      <c r="Y309" s="16" t="str">
        <f aca="false">IF(OR(C309="",V309=0),"",IF(W309&gt;=V309,"Sí","No"))</f>
        <v/>
      </c>
      <c r="Z309" s="9"/>
      <c r="AA309" s="9"/>
    </row>
    <row r="310" customFormat="false" ht="15" hidden="false" customHeight="false" outlineLevel="0" collapsed="false">
      <c r="A310" s="9"/>
      <c r="B310" s="9"/>
      <c r="C310" s="9"/>
      <c r="D310" s="16" t="str">
        <f aca="false">IF(C310="","",IFERROR(INDEX(LOOKAHEAD!$B$5:$B$204,MATCH(C310,LOOKAHEAD!$A$5:$A$204,0)),""))</f>
        <v/>
      </c>
      <c r="E310" s="16" t="str">
        <f aca="false">IF(C310="","",IFERROR(INDEX(LOOKAHEAD!$E$5:$E$204,MATCH(C310,LOOKAHEAD!$A$5:$A$204,0)),""))</f>
        <v/>
      </c>
      <c r="F310" s="16" t="str">
        <f aca="false">IF(C310="","",IFERROR(INDEX(LOOKAHEAD!$M$5:$M$204,MATCH(C310,LOOKAHEAD!$A$5:$A$204,0)),""))</f>
        <v/>
      </c>
      <c r="G310" s="9"/>
      <c r="H310" s="9"/>
      <c r="I310" s="16" t="str">
        <f aca="false">IF(C310="","",IFERROR(INDEX(LOOKAHEAD!$G$5:$G$204,MATCH(C310,LOOKAHEAD!$A$5:$A$204,0)),""))</f>
        <v/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36" t="str">
        <f aca="false">IF(C310="","",SUM(J310:O310))</f>
        <v/>
      </c>
      <c r="W310" s="36" t="str">
        <f aca="false">IF(C310="","",SUM(P310:U310))</f>
        <v/>
      </c>
      <c r="X310" s="19" t="str">
        <f aca="false">IF(OR(C310="",V310=0),"",W310/V310)</f>
        <v/>
      </c>
      <c r="Y310" s="16" t="str">
        <f aca="false">IF(OR(C310="",V310=0),"",IF(W310&gt;=V310,"Sí","No"))</f>
        <v/>
      </c>
      <c r="Z310" s="9"/>
      <c r="AA310" s="9"/>
    </row>
    <row r="311" customFormat="false" ht="15" hidden="false" customHeight="false" outlineLevel="0" collapsed="false">
      <c r="A311" s="9"/>
      <c r="B311" s="9"/>
      <c r="C311" s="9"/>
      <c r="D311" s="16" t="str">
        <f aca="false">IF(C311="","",IFERROR(INDEX(LOOKAHEAD!$B$5:$B$204,MATCH(C311,LOOKAHEAD!$A$5:$A$204,0)),""))</f>
        <v/>
      </c>
      <c r="E311" s="16" t="str">
        <f aca="false">IF(C311="","",IFERROR(INDEX(LOOKAHEAD!$E$5:$E$204,MATCH(C311,LOOKAHEAD!$A$5:$A$204,0)),""))</f>
        <v/>
      </c>
      <c r="F311" s="16" t="str">
        <f aca="false">IF(C311="","",IFERROR(INDEX(LOOKAHEAD!$M$5:$M$204,MATCH(C311,LOOKAHEAD!$A$5:$A$204,0)),""))</f>
        <v/>
      </c>
      <c r="G311" s="9"/>
      <c r="H311" s="9"/>
      <c r="I311" s="16" t="str">
        <f aca="false">IF(C311="","",IFERROR(INDEX(LOOKAHEAD!$G$5:$G$204,MATCH(C311,LOOKAHEAD!$A$5:$A$204,0)),""))</f>
        <v/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36" t="str">
        <f aca="false">IF(C311="","",SUM(J311:O311))</f>
        <v/>
      </c>
      <c r="W311" s="36" t="str">
        <f aca="false">IF(C311="","",SUM(P311:U311))</f>
        <v/>
      </c>
      <c r="X311" s="19" t="str">
        <f aca="false">IF(OR(C311="",V311=0),"",W311/V311)</f>
        <v/>
      </c>
      <c r="Y311" s="16" t="str">
        <f aca="false">IF(OR(C311="",V311=0),"",IF(W311&gt;=V311,"Sí","No"))</f>
        <v/>
      </c>
      <c r="Z311" s="9"/>
      <c r="AA311" s="9"/>
    </row>
    <row r="312" customFormat="false" ht="15" hidden="false" customHeight="false" outlineLevel="0" collapsed="false">
      <c r="A312" s="9"/>
      <c r="B312" s="9"/>
      <c r="C312" s="9"/>
      <c r="D312" s="16" t="str">
        <f aca="false">IF(C312="","",IFERROR(INDEX(LOOKAHEAD!$B$5:$B$204,MATCH(C312,LOOKAHEAD!$A$5:$A$204,0)),""))</f>
        <v/>
      </c>
      <c r="E312" s="16" t="str">
        <f aca="false">IF(C312="","",IFERROR(INDEX(LOOKAHEAD!$E$5:$E$204,MATCH(C312,LOOKAHEAD!$A$5:$A$204,0)),""))</f>
        <v/>
      </c>
      <c r="F312" s="16" t="str">
        <f aca="false">IF(C312="","",IFERROR(INDEX(LOOKAHEAD!$M$5:$M$204,MATCH(C312,LOOKAHEAD!$A$5:$A$204,0)),""))</f>
        <v/>
      </c>
      <c r="G312" s="9"/>
      <c r="H312" s="9"/>
      <c r="I312" s="16" t="str">
        <f aca="false">IF(C312="","",IFERROR(INDEX(LOOKAHEAD!$G$5:$G$204,MATCH(C312,LOOKAHEAD!$A$5:$A$204,0)),""))</f>
        <v/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36" t="str">
        <f aca="false">IF(C312="","",SUM(J312:O312))</f>
        <v/>
      </c>
      <c r="W312" s="36" t="str">
        <f aca="false">IF(C312="","",SUM(P312:U312))</f>
        <v/>
      </c>
      <c r="X312" s="19" t="str">
        <f aca="false">IF(OR(C312="",V312=0),"",W312/V312)</f>
        <v/>
      </c>
      <c r="Y312" s="16" t="str">
        <f aca="false">IF(OR(C312="",V312=0),"",IF(W312&gt;=V312,"Sí","No"))</f>
        <v/>
      </c>
      <c r="Z312" s="9"/>
      <c r="AA312" s="9"/>
    </row>
    <row r="313" customFormat="false" ht="15" hidden="false" customHeight="false" outlineLevel="0" collapsed="false">
      <c r="A313" s="9"/>
      <c r="B313" s="9"/>
      <c r="C313" s="9"/>
      <c r="D313" s="16" t="str">
        <f aca="false">IF(C313="","",IFERROR(INDEX(LOOKAHEAD!$B$5:$B$204,MATCH(C313,LOOKAHEAD!$A$5:$A$204,0)),""))</f>
        <v/>
      </c>
      <c r="E313" s="16" t="str">
        <f aca="false">IF(C313="","",IFERROR(INDEX(LOOKAHEAD!$E$5:$E$204,MATCH(C313,LOOKAHEAD!$A$5:$A$204,0)),""))</f>
        <v/>
      </c>
      <c r="F313" s="16" t="str">
        <f aca="false">IF(C313="","",IFERROR(INDEX(LOOKAHEAD!$M$5:$M$204,MATCH(C313,LOOKAHEAD!$A$5:$A$204,0)),""))</f>
        <v/>
      </c>
      <c r="G313" s="9"/>
      <c r="H313" s="9"/>
      <c r="I313" s="16" t="str">
        <f aca="false">IF(C313="","",IFERROR(INDEX(LOOKAHEAD!$G$5:$G$204,MATCH(C313,LOOKAHEAD!$A$5:$A$204,0)),""))</f>
        <v/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36" t="str">
        <f aca="false">IF(C313="","",SUM(J313:O313))</f>
        <v/>
      </c>
      <c r="W313" s="36" t="str">
        <f aca="false">IF(C313="","",SUM(P313:U313))</f>
        <v/>
      </c>
      <c r="X313" s="19" t="str">
        <f aca="false">IF(OR(C313="",V313=0),"",W313/V313)</f>
        <v/>
      </c>
      <c r="Y313" s="16" t="str">
        <f aca="false">IF(OR(C313="",V313=0),"",IF(W313&gt;=V313,"Sí","No"))</f>
        <v/>
      </c>
      <c r="Z313" s="9"/>
      <c r="AA313" s="9"/>
    </row>
    <row r="314" customFormat="false" ht="15" hidden="false" customHeight="false" outlineLevel="0" collapsed="false">
      <c r="A314" s="9"/>
      <c r="B314" s="9"/>
      <c r="C314" s="9"/>
      <c r="D314" s="16" t="str">
        <f aca="false">IF(C314="","",IFERROR(INDEX(LOOKAHEAD!$B$5:$B$204,MATCH(C314,LOOKAHEAD!$A$5:$A$204,0)),""))</f>
        <v/>
      </c>
      <c r="E314" s="16" t="str">
        <f aca="false">IF(C314="","",IFERROR(INDEX(LOOKAHEAD!$E$5:$E$204,MATCH(C314,LOOKAHEAD!$A$5:$A$204,0)),""))</f>
        <v/>
      </c>
      <c r="F314" s="16" t="str">
        <f aca="false">IF(C314="","",IFERROR(INDEX(LOOKAHEAD!$M$5:$M$204,MATCH(C314,LOOKAHEAD!$A$5:$A$204,0)),""))</f>
        <v/>
      </c>
      <c r="G314" s="9"/>
      <c r="H314" s="9"/>
      <c r="I314" s="16" t="str">
        <f aca="false">IF(C314="","",IFERROR(INDEX(LOOKAHEAD!$G$5:$G$204,MATCH(C314,LOOKAHEAD!$A$5:$A$204,0)),""))</f>
        <v/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36" t="str">
        <f aca="false">IF(C314="","",SUM(J314:O314))</f>
        <v/>
      </c>
      <c r="W314" s="36" t="str">
        <f aca="false">IF(C314="","",SUM(P314:U314))</f>
        <v/>
      </c>
      <c r="X314" s="19" t="str">
        <f aca="false">IF(OR(C314="",V314=0),"",W314/V314)</f>
        <v/>
      </c>
      <c r="Y314" s="16" t="str">
        <f aca="false">IF(OR(C314="",V314=0),"",IF(W314&gt;=V314,"Sí","No"))</f>
        <v/>
      </c>
      <c r="Z314" s="9"/>
      <c r="AA314" s="9"/>
    </row>
    <row r="315" customFormat="false" ht="15" hidden="false" customHeight="false" outlineLevel="0" collapsed="false">
      <c r="A315" s="9"/>
      <c r="B315" s="9"/>
      <c r="C315" s="9"/>
      <c r="D315" s="16" t="str">
        <f aca="false">IF(C315="","",IFERROR(INDEX(LOOKAHEAD!$B$5:$B$204,MATCH(C315,LOOKAHEAD!$A$5:$A$204,0)),""))</f>
        <v/>
      </c>
      <c r="E315" s="16" t="str">
        <f aca="false">IF(C315="","",IFERROR(INDEX(LOOKAHEAD!$E$5:$E$204,MATCH(C315,LOOKAHEAD!$A$5:$A$204,0)),""))</f>
        <v/>
      </c>
      <c r="F315" s="16" t="str">
        <f aca="false">IF(C315="","",IFERROR(INDEX(LOOKAHEAD!$M$5:$M$204,MATCH(C315,LOOKAHEAD!$A$5:$A$204,0)),""))</f>
        <v/>
      </c>
      <c r="G315" s="9"/>
      <c r="H315" s="9"/>
      <c r="I315" s="16" t="str">
        <f aca="false">IF(C315="","",IFERROR(INDEX(LOOKAHEAD!$G$5:$G$204,MATCH(C315,LOOKAHEAD!$A$5:$A$204,0)),""))</f>
        <v/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36" t="str">
        <f aca="false">IF(C315="","",SUM(J315:O315))</f>
        <v/>
      </c>
      <c r="W315" s="36" t="str">
        <f aca="false">IF(C315="","",SUM(P315:U315))</f>
        <v/>
      </c>
      <c r="X315" s="19" t="str">
        <f aca="false">IF(OR(C315="",V315=0),"",W315/V315)</f>
        <v/>
      </c>
      <c r="Y315" s="16" t="str">
        <f aca="false">IF(OR(C315="",V315=0),"",IF(W315&gt;=V315,"Sí","No"))</f>
        <v/>
      </c>
      <c r="Z315" s="9"/>
      <c r="AA315" s="9"/>
    </row>
    <row r="316" customFormat="false" ht="15" hidden="false" customHeight="false" outlineLevel="0" collapsed="false">
      <c r="A316" s="9"/>
      <c r="B316" s="9"/>
      <c r="C316" s="9"/>
      <c r="D316" s="16" t="str">
        <f aca="false">IF(C316="","",IFERROR(INDEX(LOOKAHEAD!$B$5:$B$204,MATCH(C316,LOOKAHEAD!$A$5:$A$204,0)),""))</f>
        <v/>
      </c>
      <c r="E316" s="16" t="str">
        <f aca="false">IF(C316="","",IFERROR(INDEX(LOOKAHEAD!$E$5:$E$204,MATCH(C316,LOOKAHEAD!$A$5:$A$204,0)),""))</f>
        <v/>
      </c>
      <c r="F316" s="16" t="str">
        <f aca="false">IF(C316="","",IFERROR(INDEX(LOOKAHEAD!$M$5:$M$204,MATCH(C316,LOOKAHEAD!$A$5:$A$204,0)),""))</f>
        <v/>
      </c>
      <c r="G316" s="9"/>
      <c r="H316" s="9"/>
      <c r="I316" s="16" t="str">
        <f aca="false">IF(C316="","",IFERROR(INDEX(LOOKAHEAD!$G$5:$G$204,MATCH(C316,LOOKAHEAD!$A$5:$A$204,0)),""))</f>
        <v/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36" t="str">
        <f aca="false">IF(C316="","",SUM(J316:O316))</f>
        <v/>
      </c>
      <c r="W316" s="36" t="str">
        <f aca="false">IF(C316="","",SUM(P316:U316))</f>
        <v/>
      </c>
      <c r="X316" s="19" t="str">
        <f aca="false">IF(OR(C316="",V316=0),"",W316/V316)</f>
        <v/>
      </c>
      <c r="Y316" s="16" t="str">
        <f aca="false">IF(OR(C316="",V316=0),"",IF(W316&gt;=V316,"Sí","No"))</f>
        <v/>
      </c>
      <c r="Z316" s="9"/>
      <c r="AA316" s="9"/>
    </row>
    <row r="317" customFormat="false" ht="15" hidden="false" customHeight="false" outlineLevel="0" collapsed="false">
      <c r="A317" s="9"/>
      <c r="B317" s="9"/>
      <c r="C317" s="9"/>
      <c r="D317" s="16" t="str">
        <f aca="false">IF(C317="","",IFERROR(INDEX(LOOKAHEAD!$B$5:$B$204,MATCH(C317,LOOKAHEAD!$A$5:$A$204,0)),""))</f>
        <v/>
      </c>
      <c r="E317" s="16" t="str">
        <f aca="false">IF(C317="","",IFERROR(INDEX(LOOKAHEAD!$E$5:$E$204,MATCH(C317,LOOKAHEAD!$A$5:$A$204,0)),""))</f>
        <v/>
      </c>
      <c r="F317" s="16" t="str">
        <f aca="false">IF(C317="","",IFERROR(INDEX(LOOKAHEAD!$M$5:$M$204,MATCH(C317,LOOKAHEAD!$A$5:$A$204,0)),""))</f>
        <v/>
      </c>
      <c r="G317" s="9"/>
      <c r="H317" s="9"/>
      <c r="I317" s="16" t="str">
        <f aca="false">IF(C317="","",IFERROR(INDEX(LOOKAHEAD!$G$5:$G$204,MATCH(C317,LOOKAHEAD!$A$5:$A$204,0)),""))</f>
        <v/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36" t="str">
        <f aca="false">IF(C317="","",SUM(J317:O317))</f>
        <v/>
      </c>
      <c r="W317" s="36" t="str">
        <f aca="false">IF(C317="","",SUM(P317:U317))</f>
        <v/>
      </c>
      <c r="X317" s="19" t="str">
        <f aca="false">IF(OR(C317="",V317=0),"",W317/V317)</f>
        <v/>
      </c>
      <c r="Y317" s="16" t="str">
        <f aca="false">IF(OR(C317="",V317=0),"",IF(W317&gt;=V317,"Sí","No"))</f>
        <v/>
      </c>
      <c r="Z317" s="9"/>
      <c r="AA317" s="9"/>
    </row>
    <row r="318" customFormat="false" ht="15" hidden="false" customHeight="false" outlineLevel="0" collapsed="false">
      <c r="A318" s="9"/>
      <c r="B318" s="9"/>
      <c r="C318" s="9"/>
      <c r="D318" s="16" t="str">
        <f aca="false">IF(C318="","",IFERROR(INDEX(LOOKAHEAD!$B$5:$B$204,MATCH(C318,LOOKAHEAD!$A$5:$A$204,0)),""))</f>
        <v/>
      </c>
      <c r="E318" s="16" t="str">
        <f aca="false">IF(C318="","",IFERROR(INDEX(LOOKAHEAD!$E$5:$E$204,MATCH(C318,LOOKAHEAD!$A$5:$A$204,0)),""))</f>
        <v/>
      </c>
      <c r="F318" s="16" t="str">
        <f aca="false">IF(C318="","",IFERROR(INDEX(LOOKAHEAD!$M$5:$M$204,MATCH(C318,LOOKAHEAD!$A$5:$A$204,0)),""))</f>
        <v/>
      </c>
      <c r="G318" s="9"/>
      <c r="H318" s="9"/>
      <c r="I318" s="16" t="str">
        <f aca="false">IF(C318="","",IFERROR(INDEX(LOOKAHEAD!$G$5:$G$204,MATCH(C318,LOOKAHEAD!$A$5:$A$204,0)),""))</f>
        <v/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36" t="str">
        <f aca="false">IF(C318="","",SUM(J318:O318))</f>
        <v/>
      </c>
      <c r="W318" s="36" t="str">
        <f aca="false">IF(C318="","",SUM(P318:U318))</f>
        <v/>
      </c>
      <c r="X318" s="19" t="str">
        <f aca="false">IF(OR(C318="",V318=0),"",W318/V318)</f>
        <v/>
      </c>
      <c r="Y318" s="16" t="str">
        <f aca="false">IF(OR(C318="",V318=0),"",IF(W318&gt;=V318,"Sí","No"))</f>
        <v/>
      </c>
      <c r="Z318" s="9"/>
      <c r="AA318" s="9"/>
    </row>
    <row r="319" customFormat="false" ht="15" hidden="false" customHeight="false" outlineLevel="0" collapsed="false">
      <c r="A319" s="9"/>
      <c r="B319" s="9"/>
      <c r="C319" s="9"/>
      <c r="D319" s="16" t="str">
        <f aca="false">IF(C319="","",IFERROR(INDEX(LOOKAHEAD!$B$5:$B$204,MATCH(C319,LOOKAHEAD!$A$5:$A$204,0)),""))</f>
        <v/>
      </c>
      <c r="E319" s="16" t="str">
        <f aca="false">IF(C319="","",IFERROR(INDEX(LOOKAHEAD!$E$5:$E$204,MATCH(C319,LOOKAHEAD!$A$5:$A$204,0)),""))</f>
        <v/>
      </c>
      <c r="F319" s="16" t="str">
        <f aca="false">IF(C319="","",IFERROR(INDEX(LOOKAHEAD!$M$5:$M$204,MATCH(C319,LOOKAHEAD!$A$5:$A$204,0)),""))</f>
        <v/>
      </c>
      <c r="G319" s="9"/>
      <c r="H319" s="9"/>
      <c r="I319" s="16" t="str">
        <f aca="false">IF(C319="","",IFERROR(INDEX(LOOKAHEAD!$G$5:$G$204,MATCH(C319,LOOKAHEAD!$A$5:$A$204,0)),""))</f>
        <v/>
      </c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36" t="str">
        <f aca="false">IF(C319="","",SUM(J319:O319))</f>
        <v/>
      </c>
      <c r="W319" s="36" t="str">
        <f aca="false">IF(C319="","",SUM(P319:U319))</f>
        <v/>
      </c>
      <c r="X319" s="19" t="str">
        <f aca="false">IF(OR(C319="",V319=0),"",W319/V319)</f>
        <v/>
      </c>
      <c r="Y319" s="16" t="str">
        <f aca="false">IF(OR(C319="",V319=0),"",IF(W319&gt;=V319,"Sí","No"))</f>
        <v/>
      </c>
      <c r="Z319" s="9"/>
      <c r="AA319" s="9"/>
    </row>
    <row r="320" customFormat="false" ht="15" hidden="false" customHeight="false" outlineLevel="0" collapsed="false">
      <c r="A320" s="9"/>
      <c r="B320" s="9"/>
      <c r="C320" s="9"/>
      <c r="D320" s="16" t="str">
        <f aca="false">IF(C320="","",IFERROR(INDEX(LOOKAHEAD!$B$5:$B$204,MATCH(C320,LOOKAHEAD!$A$5:$A$204,0)),""))</f>
        <v/>
      </c>
      <c r="E320" s="16" t="str">
        <f aca="false">IF(C320="","",IFERROR(INDEX(LOOKAHEAD!$E$5:$E$204,MATCH(C320,LOOKAHEAD!$A$5:$A$204,0)),""))</f>
        <v/>
      </c>
      <c r="F320" s="16" t="str">
        <f aca="false">IF(C320="","",IFERROR(INDEX(LOOKAHEAD!$M$5:$M$204,MATCH(C320,LOOKAHEAD!$A$5:$A$204,0)),""))</f>
        <v/>
      </c>
      <c r="G320" s="9"/>
      <c r="H320" s="9"/>
      <c r="I320" s="16" t="str">
        <f aca="false">IF(C320="","",IFERROR(INDEX(LOOKAHEAD!$G$5:$G$204,MATCH(C320,LOOKAHEAD!$A$5:$A$204,0)),""))</f>
        <v/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36" t="str">
        <f aca="false">IF(C320="","",SUM(J320:O320))</f>
        <v/>
      </c>
      <c r="W320" s="36" t="str">
        <f aca="false">IF(C320="","",SUM(P320:U320))</f>
        <v/>
      </c>
      <c r="X320" s="19" t="str">
        <f aca="false">IF(OR(C320="",V320=0),"",W320/V320)</f>
        <v/>
      </c>
      <c r="Y320" s="16" t="str">
        <f aca="false">IF(OR(C320="",V320=0),"",IF(W320&gt;=V320,"Sí","No"))</f>
        <v/>
      </c>
      <c r="Z320" s="9"/>
      <c r="AA320" s="9"/>
    </row>
    <row r="321" customFormat="false" ht="15" hidden="false" customHeight="false" outlineLevel="0" collapsed="false">
      <c r="A321" s="9"/>
      <c r="B321" s="9"/>
      <c r="C321" s="9"/>
      <c r="D321" s="16" t="str">
        <f aca="false">IF(C321="","",IFERROR(INDEX(LOOKAHEAD!$B$5:$B$204,MATCH(C321,LOOKAHEAD!$A$5:$A$204,0)),""))</f>
        <v/>
      </c>
      <c r="E321" s="16" t="str">
        <f aca="false">IF(C321="","",IFERROR(INDEX(LOOKAHEAD!$E$5:$E$204,MATCH(C321,LOOKAHEAD!$A$5:$A$204,0)),""))</f>
        <v/>
      </c>
      <c r="F321" s="16" t="str">
        <f aca="false">IF(C321="","",IFERROR(INDEX(LOOKAHEAD!$M$5:$M$204,MATCH(C321,LOOKAHEAD!$A$5:$A$204,0)),""))</f>
        <v/>
      </c>
      <c r="G321" s="9"/>
      <c r="H321" s="9"/>
      <c r="I321" s="16" t="str">
        <f aca="false">IF(C321="","",IFERROR(INDEX(LOOKAHEAD!$G$5:$G$204,MATCH(C321,LOOKAHEAD!$A$5:$A$204,0)),""))</f>
        <v/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36" t="str">
        <f aca="false">IF(C321="","",SUM(J321:O321))</f>
        <v/>
      </c>
      <c r="W321" s="36" t="str">
        <f aca="false">IF(C321="","",SUM(P321:U321))</f>
        <v/>
      </c>
      <c r="X321" s="19" t="str">
        <f aca="false">IF(OR(C321="",V321=0),"",W321/V321)</f>
        <v/>
      </c>
      <c r="Y321" s="16" t="str">
        <f aca="false">IF(OR(C321="",V321=0),"",IF(W321&gt;=V321,"Sí","No"))</f>
        <v/>
      </c>
      <c r="Z321" s="9"/>
      <c r="AA321" s="9"/>
    </row>
    <row r="322" customFormat="false" ht="15" hidden="false" customHeight="false" outlineLevel="0" collapsed="false">
      <c r="A322" s="9"/>
      <c r="B322" s="9"/>
      <c r="C322" s="9"/>
      <c r="D322" s="16" t="str">
        <f aca="false">IF(C322="","",IFERROR(INDEX(LOOKAHEAD!$B$5:$B$204,MATCH(C322,LOOKAHEAD!$A$5:$A$204,0)),""))</f>
        <v/>
      </c>
      <c r="E322" s="16" t="str">
        <f aca="false">IF(C322="","",IFERROR(INDEX(LOOKAHEAD!$E$5:$E$204,MATCH(C322,LOOKAHEAD!$A$5:$A$204,0)),""))</f>
        <v/>
      </c>
      <c r="F322" s="16" t="str">
        <f aca="false">IF(C322="","",IFERROR(INDEX(LOOKAHEAD!$M$5:$M$204,MATCH(C322,LOOKAHEAD!$A$5:$A$204,0)),""))</f>
        <v/>
      </c>
      <c r="G322" s="9"/>
      <c r="H322" s="9"/>
      <c r="I322" s="16" t="str">
        <f aca="false">IF(C322="","",IFERROR(INDEX(LOOKAHEAD!$G$5:$G$204,MATCH(C322,LOOKAHEAD!$A$5:$A$204,0)),""))</f>
        <v/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36" t="str">
        <f aca="false">IF(C322="","",SUM(J322:O322))</f>
        <v/>
      </c>
      <c r="W322" s="36" t="str">
        <f aca="false">IF(C322="","",SUM(P322:U322))</f>
        <v/>
      </c>
      <c r="X322" s="19" t="str">
        <f aca="false">IF(OR(C322="",V322=0),"",W322/V322)</f>
        <v/>
      </c>
      <c r="Y322" s="16" t="str">
        <f aca="false">IF(OR(C322="",V322=0),"",IF(W322&gt;=V322,"Sí","No"))</f>
        <v/>
      </c>
      <c r="Z322" s="9"/>
      <c r="AA322" s="9"/>
    </row>
    <row r="323" customFormat="false" ht="15" hidden="false" customHeight="false" outlineLevel="0" collapsed="false">
      <c r="A323" s="9"/>
      <c r="B323" s="9"/>
      <c r="C323" s="9"/>
      <c r="D323" s="16" t="str">
        <f aca="false">IF(C323="","",IFERROR(INDEX(LOOKAHEAD!$B$5:$B$204,MATCH(C323,LOOKAHEAD!$A$5:$A$204,0)),""))</f>
        <v/>
      </c>
      <c r="E323" s="16" t="str">
        <f aca="false">IF(C323="","",IFERROR(INDEX(LOOKAHEAD!$E$5:$E$204,MATCH(C323,LOOKAHEAD!$A$5:$A$204,0)),""))</f>
        <v/>
      </c>
      <c r="F323" s="16" t="str">
        <f aca="false">IF(C323="","",IFERROR(INDEX(LOOKAHEAD!$M$5:$M$204,MATCH(C323,LOOKAHEAD!$A$5:$A$204,0)),""))</f>
        <v/>
      </c>
      <c r="G323" s="9"/>
      <c r="H323" s="9"/>
      <c r="I323" s="16" t="str">
        <f aca="false">IF(C323="","",IFERROR(INDEX(LOOKAHEAD!$G$5:$G$204,MATCH(C323,LOOKAHEAD!$A$5:$A$204,0)),""))</f>
        <v/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36" t="str">
        <f aca="false">IF(C323="","",SUM(J323:O323))</f>
        <v/>
      </c>
      <c r="W323" s="36" t="str">
        <f aca="false">IF(C323="","",SUM(P323:U323))</f>
        <v/>
      </c>
      <c r="X323" s="19" t="str">
        <f aca="false">IF(OR(C323="",V323=0),"",W323/V323)</f>
        <v/>
      </c>
      <c r="Y323" s="16" t="str">
        <f aca="false">IF(OR(C323="",V323=0),"",IF(W323&gt;=V323,"Sí","No"))</f>
        <v/>
      </c>
      <c r="Z323" s="9"/>
      <c r="AA323" s="9"/>
    </row>
    <row r="324" customFormat="false" ht="15" hidden="false" customHeight="false" outlineLevel="0" collapsed="false">
      <c r="A324" s="9"/>
      <c r="B324" s="9"/>
      <c r="C324" s="9"/>
      <c r="D324" s="16" t="str">
        <f aca="false">IF(C324="","",IFERROR(INDEX(LOOKAHEAD!$B$5:$B$204,MATCH(C324,LOOKAHEAD!$A$5:$A$204,0)),""))</f>
        <v/>
      </c>
      <c r="E324" s="16" t="str">
        <f aca="false">IF(C324="","",IFERROR(INDEX(LOOKAHEAD!$E$5:$E$204,MATCH(C324,LOOKAHEAD!$A$5:$A$204,0)),""))</f>
        <v/>
      </c>
      <c r="F324" s="16" t="str">
        <f aca="false">IF(C324="","",IFERROR(INDEX(LOOKAHEAD!$M$5:$M$204,MATCH(C324,LOOKAHEAD!$A$5:$A$204,0)),""))</f>
        <v/>
      </c>
      <c r="G324" s="9"/>
      <c r="H324" s="9"/>
      <c r="I324" s="16" t="str">
        <f aca="false">IF(C324="","",IFERROR(INDEX(LOOKAHEAD!$G$5:$G$204,MATCH(C324,LOOKAHEAD!$A$5:$A$204,0)),""))</f>
        <v/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36" t="str">
        <f aca="false">IF(C324="","",SUM(J324:O324))</f>
        <v/>
      </c>
      <c r="W324" s="36" t="str">
        <f aca="false">IF(C324="","",SUM(P324:U324))</f>
        <v/>
      </c>
      <c r="X324" s="19" t="str">
        <f aca="false">IF(OR(C324="",V324=0),"",W324/V324)</f>
        <v/>
      </c>
      <c r="Y324" s="16" t="str">
        <f aca="false">IF(OR(C324="",V324=0),"",IF(W324&gt;=V324,"Sí","No"))</f>
        <v/>
      </c>
      <c r="Z324" s="9"/>
      <c r="AA324" s="9"/>
    </row>
    <row r="325" customFormat="false" ht="15" hidden="false" customHeight="false" outlineLevel="0" collapsed="false">
      <c r="A325" s="9"/>
      <c r="B325" s="9"/>
      <c r="C325" s="9"/>
      <c r="D325" s="16" t="str">
        <f aca="false">IF(C325="","",IFERROR(INDEX(LOOKAHEAD!$B$5:$B$204,MATCH(C325,LOOKAHEAD!$A$5:$A$204,0)),""))</f>
        <v/>
      </c>
      <c r="E325" s="16" t="str">
        <f aca="false">IF(C325="","",IFERROR(INDEX(LOOKAHEAD!$E$5:$E$204,MATCH(C325,LOOKAHEAD!$A$5:$A$204,0)),""))</f>
        <v/>
      </c>
      <c r="F325" s="16" t="str">
        <f aca="false">IF(C325="","",IFERROR(INDEX(LOOKAHEAD!$M$5:$M$204,MATCH(C325,LOOKAHEAD!$A$5:$A$204,0)),""))</f>
        <v/>
      </c>
      <c r="G325" s="9"/>
      <c r="H325" s="9"/>
      <c r="I325" s="16" t="str">
        <f aca="false">IF(C325="","",IFERROR(INDEX(LOOKAHEAD!$G$5:$G$204,MATCH(C325,LOOKAHEAD!$A$5:$A$204,0)),""))</f>
        <v/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36" t="str">
        <f aca="false">IF(C325="","",SUM(J325:O325))</f>
        <v/>
      </c>
      <c r="W325" s="36" t="str">
        <f aca="false">IF(C325="","",SUM(P325:U325))</f>
        <v/>
      </c>
      <c r="X325" s="19" t="str">
        <f aca="false">IF(OR(C325="",V325=0),"",W325/V325)</f>
        <v/>
      </c>
      <c r="Y325" s="16" t="str">
        <f aca="false">IF(OR(C325="",V325=0),"",IF(W325&gt;=V325,"Sí","No"))</f>
        <v/>
      </c>
      <c r="Z325" s="9"/>
      <c r="AA325" s="9"/>
    </row>
    <row r="326" customFormat="false" ht="15" hidden="false" customHeight="false" outlineLevel="0" collapsed="false">
      <c r="A326" s="9"/>
      <c r="B326" s="9"/>
      <c r="C326" s="9"/>
      <c r="D326" s="16" t="str">
        <f aca="false">IF(C326="","",IFERROR(INDEX(LOOKAHEAD!$B$5:$B$204,MATCH(C326,LOOKAHEAD!$A$5:$A$204,0)),""))</f>
        <v/>
      </c>
      <c r="E326" s="16" t="str">
        <f aca="false">IF(C326="","",IFERROR(INDEX(LOOKAHEAD!$E$5:$E$204,MATCH(C326,LOOKAHEAD!$A$5:$A$204,0)),""))</f>
        <v/>
      </c>
      <c r="F326" s="16" t="str">
        <f aca="false">IF(C326="","",IFERROR(INDEX(LOOKAHEAD!$M$5:$M$204,MATCH(C326,LOOKAHEAD!$A$5:$A$204,0)),""))</f>
        <v/>
      </c>
      <c r="G326" s="9"/>
      <c r="H326" s="9"/>
      <c r="I326" s="16" t="str">
        <f aca="false">IF(C326="","",IFERROR(INDEX(LOOKAHEAD!$G$5:$G$204,MATCH(C326,LOOKAHEAD!$A$5:$A$204,0)),""))</f>
        <v/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36" t="str">
        <f aca="false">IF(C326="","",SUM(J326:O326))</f>
        <v/>
      </c>
      <c r="W326" s="36" t="str">
        <f aca="false">IF(C326="","",SUM(P326:U326))</f>
        <v/>
      </c>
      <c r="X326" s="19" t="str">
        <f aca="false">IF(OR(C326="",V326=0),"",W326/V326)</f>
        <v/>
      </c>
      <c r="Y326" s="16" t="str">
        <f aca="false">IF(OR(C326="",V326=0),"",IF(W326&gt;=V326,"Sí","No"))</f>
        <v/>
      </c>
      <c r="Z326" s="9"/>
      <c r="AA326" s="9"/>
    </row>
    <row r="327" customFormat="false" ht="15" hidden="false" customHeight="false" outlineLevel="0" collapsed="false">
      <c r="A327" s="9"/>
      <c r="B327" s="9"/>
      <c r="C327" s="9"/>
      <c r="D327" s="16" t="str">
        <f aca="false">IF(C327="","",IFERROR(INDEX(LOOKAHEAD!$B$5:$B$204,MATCH(C327,LOOKAHEAD!$A$5:$A$204,0)),""))</f>
        <v/>
      </c>
      <c r="E327" s="16" t="str">
        <f aca="false">IF(C327="","",IFERROR(INDEX(LOOKAHEAD!$E$5:$E$204,MATCH(C327,LOOKAHEAD!$A$5:$A$204,0)),""))</f>
        <v/>
      </c>
      <c r="F327" s="16" t="str">
        <f aca="false">IF(C327="","",IFERROR(INDEX(LOOKAHEAD!$M$5:$M$204,MATCH(C327,LOOKAHEAD!$A$5:$A$204,0)),""))</f>
        <v/>
      </c>
      <c r="G327" s="9"/>
      <c r="H327" s="9"/>
      <c r="I327" s="16" t="str">
        <f aca="false">IF(C327="","",IFERROR(INDEX(LOOKAHEAD!$G$5:$G$204,MATCH(C327,LOOKAHEAD!$A$5:$A$204,0)),""))</f>
        <v/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36" t="str">
        <f aca="false">IF(C327="","",SUM(J327:O327))</f>
        <v/>
      </c>
      <c r="W327" s="36" t="str">
        <f aca="false">IF(C327="","",SUM(P327:U327))</f>
        <v/>
      </c>
      <c r="X327" s="19" t="str">
        <f aca="false">IF(OR(C327="",V327=0),"",W327/V327)</f>
        <v/>
      </c>
      <c r="Y327" s="16" t="str">
        <f aca="false">IF(OR(C327="",V327=0),"",IF(W327&gt;=V327,"Sí","No"))</f>
        <v/>
      </c>
      <c r="Z327" s="9"/>
      <c r="AA327" s="9"/>
    </row>
    <row r="328" customFormat="false" ht="15" hidden="false" customHeight="false" outlineLevel="0" collapsed="false">
      <c r="A328" s="9"/>
      <c r="B328" s="9"/>
      <c r="C328" s="9"/>
      <c r="D328" s="16" t="str">
        <f aca="false">IF(C328="","",IFERROR(INDEX(LOOKAHEAD!$B$5:$B$204,MATCH(C328,LOOKAHEAD!$A$5:$A$204,0)),""))</f>
        <v/>
      </c>
      <c r="E328" s="16" t="str">
        <f aca="false">IF(C328="","",IFERROR(INDEX(LOOKAHEAD!$E$5:$E$204,MATCH(C328,LOOKAHEAD!$A$5:$A$204,0)),""))</f>
        <v/>
      </c>
      <c r="F328" s="16" t="str">
        <f aca="false">IF(C328="","",IFERROR(INDEX(LOOKAHEAD!$M$5:$M$204,MATCH(C328,LOOKAHEAD!$A$5:$A$204,0)),""))</f>
        <v/>
      </c>
      <c r="G328" s="9"/>
      <c r="H328" s="9"/>
      <c r="I328" s="16" t="str">
        <f aca="false">IF(C328="","",IFERROR(INDEX(LOOKAHEAD!$G$5:$G$204,MATCH(C328,LOOKAHEAD!$A$5:$A$204,0)),""))</f>
        <v/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36" t="str">
        <f aca="false">IF(C328="","",SUM(J328:O328))</f>
        <v/>
      </c>
      <c r="W328" s="36" t="str">
        <f aca="false">IF(C328="","",SUM(P328:U328))</f>
        <v/>
      </c>
      <c r="X328" s="19" t="str">
        <f aca="false">IF(OR(C328="",V328=0),"",W328/V328)</f>
        <v/>
      </c>
      <c r="Y328" s="16" t="str">
        <f aca="false">IF(OR(C328="",V328=0),"",IF(W328&gt;=V328,"Sí","No"))</f>
        <v/>
      </c>
      <c r="Z328" s="9"/>
      <c r="AA328" s="9"/>
    </row>
    <row r="329" customFormat="false" ht="15" hidden="false" customHeight="false" outlineLevel="0" collapsed="false">
      <c r="A329" s="9"/>
      <c r="B329" s="9"/>
      <c r="C329" s="9"/>
      <c r="D329" s="16" t="str">
        <f aca="false">IF(C329="","",IFERROR(INDEX(LOOKAHEAD!$B$5:$B$204,MATCH(C329,LOOKAHEAD!$A$5:$A$204,0)),""))</f>
        <v/>
      </c>
      <c r="E329" s="16" t="str">
        <f aca="false">IF(C329="","",IFERROR(INDEX(LOOKAHEAD!$E$5:$E$204,MATCH(C329,LOOKAHEAD!$A$5:$A$204,0)),""))</f>
        <v/>
      </c>
      <c r="F329" s="16" t="str">
        <f aca="false">IF(C329="","",IFERROR(INDEX(LOOKAHEAD!$M$5:$M$204,MATCH(C329,LOOKAHEAD!$A$5:$A$204,0)),""))</f>
        <v/>
      </c>
      <c r="G329" s="9"/>
      <c r="H329" s="9"/>
      <c r="I329" s="16" t="str">
        <f aca="false">IF(C329="","",IFERROR(INDEX(LOOKAHEAD!$G$5:$G$204,MATCH(C329,LOOKAHEAD!$A$5:$A$204,0)),""))</f>
        <v/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36" t="str">
        <f aca="false">IF(C329="","",SUM(J329:O329))</f>
        <v/>
      </c>
      <c r="W329" s="36" t="str">
        <f aca="false">IF(C329="","",SUM(P329:U329))</f>
        <v/>
      </c>
      <c r="X329" s="19" t="str">
        <f aca="false">IF(OR(C329="",V329=0),"",W329/V329)</f>
        <v/>
      </c>
      <c r="Y329" s="16" t="str">
        <f aca="false">IF(OR(C329="",V329=0),"",IF(W329&gt;=V329,"Sí","No"))</f>
        <v/>
      </c>
      <c r="Z329" s="9"/>
      <c r="AA329" s="9"/>
    </row>
    <row r="330" customFormat="false" ht="15" hidden="false" customHeight="false" outlineLevel="0" collapsed="false">
      <c r="A330" s="9"/>
      <c r="B330" s="9"/>
      <c r="C330" s="9"/>
      <c r="D330" s="16" t="str">
        <f aca="false">IF(C330="","",IFERROR(INDEX(LOOKAHEAD!$B$5:$B$204,MATCH(C330,LOOKAHEAD!$A$5:$A$204,0)),""))</f>
        <v/>
      </c>
      <c r="E330" s="16" t="str">
        <f aca="false">IF(C330="","",IFERROR(INDEX(LOOKAHEAD!$E$5:$E$204,MATCH(C330,LOOKAHEAD!$A$5:$A$204,0)),""))</f>
        <v/>
      </c>
      <c r="F330" s="16" t="str">
        <f aca="false">IF(C330="","",IFERROR(INDEX(LOOKAHEAD!$M$5:$M$204,MATCH(C330,LOOKAHEAD!$A$5:$A$204,0)),""))</f>
        <v/>
      </c>
      <c r="G330" s="9"/>
      <c r="H330" s="9"/>
      <c r="I330" s="16" t="str">
        <f aca="false">IF(C330="","",IFERROR(INDEX(LOOKAHEAD!$G$5:$G$204,MATCH(C330,LOOKAHEAD!$A$5:$A$204,0)),""))</f>
        <v/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36" t="str">
        <f aca="false">IF(C330="","",SUM(J330:O330))</f>
        <v/>
      </c>
      <c r="W330" s="36" t="str">
        <f aca="false">IF(C330="","",SUM(P330:U330))</f>
        <v/>
      </c>
      <c r="X330" s="19" t="str">
        <f aca="false">IF(OR(C330="",V330=0),"",W330/V330)</f>
        <v/>
      </c>
      <c r="Y330" s="16" t="str">
        <f aca="false">IF(OR(C330="",V330=0),"",IF(W330&gt;=V330,"Sí","No"))</f>
        <v/>
      </c>
      <c r="Z330" s="9"/>
      <c r="AA330" s="9"/>
    </row>
    <row r="331" customFormat="false" ht="15" hidden="false" customHeight="false" outlineLevel="0" collapsed="false">
      <c r="A331" s="9"/>
      <c r="B331" s="9"/>
      <c r="C331" s="9"/>
      <c r="D331" s="16" t="str">
        <f aca="false">IF(C331="","",IFERROR(INDEX(LOOKAHEAD!$B$5:$B$204,MATCH(C331,LOOKAHEAD!$A$5:$A$204,0)),""))</f>
        <v/>
      </c>
      <c r="E331" s="16" t="str">
        <f aca="false">IF(C331="","",IFERROR(INDEX(LOOKAHEAD!$E$5:$E$204,MATCH(C331,LOOKAHEAD!$A$5:$A$204,0)),""))</f>
        <v/>
      </c>
      <c r="F331" s="16" t="str">
        <f aca="false">IF(C331="","",IFERROR(INDEX(LOOKAHEAD!$M$5:$M$204,MATCH(C331,LOOKAHEAD!$A$5:$A$204,0)),""))</f>
        <v/>
      </c>
      <c r="G331" s="9"/>
      <c r="H331" s="9"/>
      <c r="I331" s="16" t="str">
        <f aca="false">IF(C331="","",IFERROR(INDEX(LOOKAHEAD!$G$5:$G$204,MATCH(C331,LOOKAHEAD!$A$5:$A$204,0)),""))</f>
        <v/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36" t="str">
        <f aca="false">IF(C331="","",SUM(J331:O331))</f>
        <v/>
      </c>
      <c r="W331" s="36" t="str">
        <f aca="false">IF(C331="","",SUM(P331:U331))</f>
        <v/>
      </c>
      <c r="X331" s="19" t="str">
        <f aca="false">IF(OR(C331="",V331=0),"",W331/V331)</f>
        <v/>
      </c>
      <c r="Y331" s="16" t="str">
        <f aca="false">IF(OR(C331="",V331=0),"",IF(W331&gt;=V331,"Sí","No"))</f>
        <v/>
      </c>
      <c r="Z331" s="9"/>
      <c r="AA331" s="9"/>
    </row>
    <row r="332" customFormat="false" ht="15" hidden="false" customHeight="false" outlineLevel="0" collapsed="false">
      <c r="A332" s="9"/>
      <c r="B332" s="9"/>
      <c r="C332" s="9"/>
      <c r="D332" s="16" t="str">
        <f aca="false">IF(C332="","",IFERROR(INDEX(LOOKAHEAD!$B$5:$B$204,MATCH(C332,LOOKAHEAD!$A$5:$A$204,0)),""))</f>
        <v/>
      </c>
      <c r="E332" s="16" t="str">
        <f aca="false">IF(C332="","",IFERROR(INDEX(LOOKAHEAD!$E$5:$E$204,MATCH(C332,LOOKAHEAD!$A$5:$A$204,0)),""))</f>
        <v/>
      </c>
      <c r="F332" s="16" t="str">
        <f aca="false">IF(C332="","",IFERROR(INDEX(LOOKAHEAD!$M$5:$M$204,MATCH(C332,LOOKAHEAD!$A$5:$A$204,0)),""))</f>
        <v/>
      </c>
      <c r="G332" s="9"/>
      <c r="H332" s="9"/>
      <c r="I332" s="16" t="str">
        <f aca="false">IF(C332="","",IFERROR(INDEX(LOOKAHEAD!$G$5:$G$204,MATCH(C332,LOOKAHEAD!$A$5:$A$204,0)),""))</f>
        <v/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36" t="str">
        <f aca="false">IF(C332="","",SUM(J332:O332))</f>
        <v/>
      </c>
      <c r="W332" s="36" t="str">
        <f aca="false">IF(C332="","",SUM(P332:U332))</f>
        <v/>
      </c>
      <c r="X332" s="19" t="str">
        <f aca="false">IF(OR(C332="",V332=0),"",W332/V332)</f>
        <v/>
      </c>
      <c r="Y332" s="16" t="str">
        <f aca="false">IF(OR(C332="",V332=0),"",IF(W332&gt;=V332,"Sí","No"))</f>
        <v/>
      </c>
      <c r="Z332" s="9"/>
      <c r="AA332" s="9"/>
    </row>
    <row r="333" customFormat="false" ht="15" hidden="false" customHeight="false" outlineLevel="0" collapsed="false">
      <c r="A333" s="9"/>
      <c r="B333" s="9"/>
      <c r="C333" s="9"/>
      <c r="D333" s="16" t="str">
        <f aca="false">IF(C333="","",IFERROR(INDEX(LOOKAHEAD!$B$5:$B$204,MATCH(C333,LOOKAHEAD!$A$5:$A$204,0)),""))</f>
        <v/>
      </c>
      <c r="E333" s="16" t="str">
        <f aca="false">IF(C333="","",IFERROR(INDEX(LOOKAHEAD!$E$5:$E$204,MATCH(C333,LOOKAHEAD!$A$5:$A$204,0)),""))</f>
        <v/>
      </c>
      <c r="F333" s="16" t="str">
        <f aca="false">IF(C333="","",IFERROR(INDEX(LOOKAHEAD!$M$5:$M$204,MATCH(C333,LOOKAHEAD!$A$5:$A$204,0)),""))</f>
        <v/>
      </c>
      <c r="G333" s="9"/>
      <c r="H333" s="9"/>
      <c r="I333" s="16" t="str">
        <f aca="false">IF(C333="","",IFERROR(INDEX(LOOKAHEAD!$G$5:$G$204,MATCH(C333,LOOKAHEAD!$A$5:$A$204,0)),""))</f>
        <v/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36" t="str">
        <f aca="false">IF(C333="","",SUM(J333:O333))</f>
        <v/>
      </c>
      <c r="W333" s="36" t="str">
        <f aca="false">IF(C333="","",SUM(P333:U333))</f>
        <v/>
      </c>
      <c r="X333" s="19" t="str">
        <f aca="false">IF(OR(C333="",V333=0),"",W333/V333)</f>
        <v/>
      </c>
      <c r="Y333" s="16" t="str">
        <f aca="false">IF(OR(C333="",V333=0),"",IF(W333&gt;=V333,"Sí","No"))</f>
        <v/>
      </c>
      <c r="Z333" s="9"/>
      <c r="AA333" s="9"/>
    </row>
    <row r="334" customFormat="false" ht="15" hidden="false" customHeight="false" outlineLevel="0" collapsed="false">
      <c r="A334" s="9"/>
      <c r="B334" s="9"/>
      <c r="C334" s="9"/>
      <c r="D334" s="16" t="str">
        <f aca="false">IF(C334="","",IFERROR(INDEX(LOOKAHEAD!$B$5:$B$204,MATCH(C334,LOOKAHEAD!$A$5:$A$204,0)),""))</f>
        <v/>
      </c>
      <c r="E334" s="16" t="str">
        <f aca="false">IF(C334="","",IFERROR(INDEX(LOOKAHEAD!$E$5:$E$204,MATCH(C334,LOOKAHEAD!$A$5:$A$204,0)),""))</f>
        <v/>
      </c>
      <c r="F334" s="16" t="str">
        <f aca="false">IF(C334="","",IFERROR(INDEX(LOOKAHEAD!$M$5:$M$204,MATCH(C334,LOOKAHEAD!$A$5:$A$204,0)),""))</f>
        <v/>
      </c>
      <c r="G334" s="9"/>
      <c r="H334" s="9"/>
      <c r="I334" s="16" t="str">
        <f aca="false">IF(C334="","",IFERROR(INDEX(LOOKAHEAD!$G$5:$G$204,MATCH(C334,LOOKAHEAD!$A$5:$A$204,0)),""))</f>
        <v/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36" t="str">
        <f aca="false">IF(C334="","",SUM(J334:O334))</f>
        <v/>
      </c>
      <c r="W334" s="36" t="str">
        <f aca="false">IF(C334="","",SUM(P334:U334))</f>
        <v/>
      </c>
      <c r="X334" s="19" t="str">
        <f aca="false">IF(OR(C334="",V334=0),"",W334/V334)</f>
        <v/>
      </c>
      <c r="Y334" s="16" t="str">
        <f aca="false">IF(OR(C334="",V334=0),"",IF(W334&gt;=V334,"Sí","No"))</f>
        <v/>
      </c>
      <c r="Z334" s="9"/>
      <c r="AA334" s="9"/>
    </row>
    <row r="335" customFormat="false" ht="15" hidden="false" customHeight="false" outlineLevel="0" collapsed="false">
      <c r="A335" s="9"/>
      <c r="B335" s="9"/>
      <c r="C335" s="9"/>
      <c r="D335" s="16" t="str">
        <f aca="false">IF(C335="","",IFERROR(INDEX(LOOKAHEAD!$B$5:$B$204,MATCH(C335,LOOKAHEAD!$A$5:$A$204,0)),""))</f>
        <v/>
      </c>
      <c r="E335" s="16" t="str">
        <f aca="false">IF(C335="","",IFERROR(INDEX(LOOKAHEAD!$E$5:$E$204,MATCH(C335,LOOKAHEAD!$A$5:$A$204,0)),""))</f>
        <v/>
      </c>
      <c r="F335" s="16" t="str">
        <f aca="false">IF(C335="","",IFERROR(INDEX(LOOKAHEAD!$M$5:$M$204,MATCH(C335,LOOKAHEAD!$A$5:$A$204,0)),""))</f>
        <v/>
      </c>
      <c r="G335" s="9"/>
      <c r="H335" s="9"/>
      <c r="I335" s="16" t="str">
        <f aca="false">IF(C335="","",IFERROR(INDEX(LOOKAHEAD!$G$5:$G$204,MATCH(C335,LOOKAHEAD!$A$5:$A$204,0)),""))</f>
        <v/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36" t="str">
        <f aca="false">IF(C335="","",SUM(J335:O335))</f>
        <v/>
      </c>
      <c r="W335" s="36" t="str">
        <f aca="false">IF(C335="","",SUM(P335:U335))</f>
        <v/>
      </c>
      <c r="X335" s="19" t="str">
        <f aca="false">IF(OR(C335="",V335=0),"",W335/V335)</f>
        <v/>
      </c>
      <c r="Y335" s="16" t="str">
        <f aca="false">IF(OR(C335="",V335=0),"",IF(W335&gt;=V335,"Sí","No"))</f>
        <v/>
      </c>
      <c r="Z335" s="9"/>
      <c r="AA335" s="9"/>
    </row>
    <row r="336" customFormat="false" ht="15" hidden="false" customHeight="false" outlineLevel="0" collapsed="false">
      <c r="A336" s="9"/>
      <c r="B336" s="9"/>
      <c r="C336" s="9"/>
      <c r="D336" s="16" t="str">
        <f aca="false">IF(C336="","",IFERROR(INDEX(LOOKAHEAD!$B$5:$B$204,MATCH(C336,LOOKAHEAD!$A$5:$A$204,0)),""))</f>
        <v/>
      </c>
      <c r="E336" s="16" t="str">
        <f aca="false">IF(C336="","",IFERROR(INDEX(LOOKAHEAD!$E$5:$E$204,MATCH(C336,LOOKAHEAD!$A$5:$A$204,0)),""))</f>
        <v/>
      </c>
      <c r="F336" s="16" t="str">
        <f aca="false">IF(C336="","",IFERROR(INDEX(LOOKAHEAD!$M$5:$M$204,MATCH(C336,LOOKAHEAD!$A$5:$A$204,0)),""))</f>
        <v/>
      </c>
      <c r="G336" s="9"/>
      <c r="H336" s="9"/>
      <c r="I336" s="16" t="str">
        <f aca="false">IF(C336="","",IFERROR(INDEX(LOOKAHEAD!$G$5:$G$204,MATCH(C336,LOOKAHEAD!$A$5:$A$204,0)),""))</f>
        <v/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36" t="str">
        <f aca="false">IF(C336="","",SUM(J336:O336))</f>
        <v/>
      </c>
      <c r="W336" s="36" t="str">
        <f aca="false">IF(C336="","",SUM(P336:U336))</f>
        <v/>
      </c>
      <c r="X336" s="19" t="str">
        <f aca="false">IF(OR(C336="",V336=0),"",W336/V336)</f>
        <v/>
      </c>
      <c r="Y336" s="16" t="str">
        <f aca="false">IF(OR(C336="",V336=0),"",IF(W336&gt;=V336,"Sí","No"))</f>
        <v/>
      </c>
      <c r="Z336" s="9"/>
      <c r="AA336" s="9"/>
    </row>
    <row r="337" customFormat="false" ht="15" hidden="false" customHeight="false" outlineLevel="0" collapsed="false">
      <c r="A337" s="9"/>
      <c r="B337" s="9"/>
      <c r="C337" s="9"/>
      <c r="D337" s="16" t="str">
        <f aca="false">IF(C337="","",IFERROR(INDEX(LOOKAHEAD!$B$5:$B$204,MATCH(C337,LOOKAHEAD!$A$5:$A$204,0)),""))</f>
        <v/>
      </c>
      <c r="E337" s="16" t="str">
        <f aca="false">IF(C337="","",IFERROR(INDEX(LOOKAHEAD!$E$5:$E$204,MATCH(C337,LOOKAHEAD!$A$5:$A$204,0)),""))</f>
        <v/>
      </c>
      <c r="F337" s="16" t="str">
        <f aca="false">IF(C337="","",IFERROR(INDEX(LOOKAHEAD!$M$5:$M$204,MATCH(C337,LOOKAHEAD!$A$5:$A$204,0)),""))</f>
        <v/>
      </c>
      <c r="G337" s="9"/>
      <c r="H337" s="9"/>
      <c r="I337" s="16" t="str">
        <f aca="false">IF(C337="","",IFERROR(INDEX(LOOKAHEAD!$G$5:$G$204,MATCH(C337,LOOKAHEAD!$A$5:$A$204,0)),""))</f>
        <v/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36" t="str">
        <f aca="false">IF(C337="","",SUM(J337:O337))</f>
        <v/>
      </c>
      <c r="W337" s="36" t="str">
        <f aca="false">IF(C337="","",SUM(P337:U337))</f>
        <v/>
      </c>
      <c r="X337" s="19" t="str">
        <f aca="false">IF(OR(C337="",V337=0),"",W337/V337)</f>
        <v/>
      </c>
      <c r="Y337" s="16" t="str">
        <f aca="false">IF(OR(C337="",V337=0),"",IF(W337&gt;=V337,"Sí","No"))</f>
        <v/>
      </c>
      <c r="Z337" s="9"/>
      <c r="AA337" s="9"/>
    </row>
    <row r="338" customFormat="false" ht="15" hidden="false" customHeight="false" outlineLevel="0" collapsed="false">
      <c r="A338" s="9"/>
      <c r="B338" s="9"/>
      <c r="C338" s="9"/>
      <c r="D338" s="16" t="str">
        <f aca="false">IF(C338="","",IFERROR(INDEX(LOOKAHEAD!$B$5:$B$204,MATCH(C338,LOOKAHEAD!$A$5:$A$204,0)),""))</f>
        <v/>
      </c>
      <c r="E338" s="16" t="str">
        <f aca="false">IF(C338="","",IFERROR(INDEX(LOOKAHEAD!$E$5:$E$204,MATCH(C338,LOOKAHEAD!$A$5:$A$204,0)),""))</f>
        <v/>
      </c>
      <c r="F338" s="16" t="str">
        <f aca="false">IF(C338="","",IFERROR(INDEX(LOOKAHEAD!$M$5:$M$204,MATCH(C338,LOOKAHEAD!$A$5:$A$204,0)),""))</f>
        <v/>
      </c>
      <c r="G338" s="9"/>
      <c r="H338" s="9"/>
      <c r="I338" s="16" t="str">
        <f aca="false">IF(C338="","",IFERROR(INDEX(LOOKAHEAD!$G$5:$G$204,MATCH(C338,LOOKAHEAD!$A$5:$A$204,0)),""))</f>
        <v/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36" t="str">
        <f aca="false">IF(C338="","",SUM(J338:O338))</f>
        <v/>
      </c>
      <c r="W338" s="36" t="str">
        <f aca="false">IF(C338="","",SUM(P338:U338))</f>
        <v/>
      </c>
      <c r="X338" s="19" t="str">
        <f aca="false">IF(OR(C338="",V338=0),"",W338/V338)</f>
        <v/>
      </c>
      <c r="Y338" s="16" t="str">
        <f aca="false">IF(OR(C338="",V338=0),"",IF(W338&gt;=V338,"Sí","No"))</f>
        <v/>
      </c>
      <c r="Z338" s="9"/>
      <c r="AA338" s="9"/>
    </row>
    <row r="339" customFormat="false" ht="15" hidden="false" customHeight="false" outlineLevel="0" collapsed="false">
      <c r="A339" s="9"/>
      <c r="B339" s="9"/>
      <c r="C339" s="9"/>
      <c r="D339" s="16" t="str">
        <f aca="false">IF(C339="","",IFERROR(INDEX(LOOKAHEAD!$B$5:$B$204,MATCH(C339,LOOKAHEAD!$A$5:$A$204,0)),""))</f>
        <v/>
      </c>
      <c r="E339" s="16" t="str">
        <f aca="false">IF(C339="","",IFERROR(INDEX(LOOKAHEAD!$E$5:$E$204,MATCH(C339,LOOKAHEAD!$A$5:$A$204,0)),""))</f>
        <v/>
      </c>
      <c r="F339" s="16" t="str">
        <f aca="false">IF(C339="","",IFERROR(INDEX(LOOKAHEAD!$M$5:$M$204,MATCH(C339,LOOKAHEAD!$A$5:$A$204,0)),""))</f>
        <v/>
      </c>
      <c r="G339" s="9"/>
      <c r="H339" s="9"/>
      <c r="I339" s="16" t="str">
        <f aca="false">IF(C339="","",IFERROR(INDEX(LOOKAHEAD!$G$5:$G$204,MATCH(C339,LOOKAHEAD!$A$5:$A$204,0)),""))</f>
        <v/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36" t="str">
        <f aca="false">IF(C339="","",SUM(J339:O339))</f>
        <v/>
      </c>
      <c r="W339" s="36" t="str">
        <f aca="false">IF(C339="","",SUM(P339:U339))</f>
        <v/>
      </c>
      <c r="X339" s="19" t="str">
        <f aca="false">IF(OR(C339="",V339=0),"",W339/V339)</f>
        <v/>
      </c>
      <c r="Y339" s="16" t="str">
        <f aca="false">IF(OR(C339="",V339=0),"",IF(W339&gt;=V339,"Sí","No"))</f>
        <v/>
      </c>
      <c r="Z339" s="9"/>
      <c r="AA339" s="9"/>
    </row>
    <row r="340" customFormat="false" ht="15" hidden="false" customHeight="false" outlineLevel="0" collapsed="false">
      <c r="A340" s="9"/>
      <c r="B340" s="9"/>
      <c r="C340" s="9"/>
      <c r="D340" s="16" t="str">
        <f aca="false">IF(C340="","",IFERROR(INDEX(LOOKAHEAD!$B$5:$B$204,MATCH(C340,LOOKAHEAD!$A$5:$A$204,0)),""))</f>
        <v/>
      </c>
      <c r="E340" s="16" t="str">
        <f aca="false">IF(C340="","",IFERROR(INDEX(LOOKAHEAD!$E$5:$E$204,MATCH(C340,LOOKAHEAD!$A$5:$A$204,0)),""))</f>
        <v/>
      </c>
      <c r="F340" s="16" t="str">
        <f aca="false">IF(C340="","",IFERROR(INDEX(LOOKAHEAD!$M$5:$M$204,MATCH(C340,LOOKAHEAD!$A$5:$A$204,0)),""))</f>
        <v/>
      </c>
      <c r="G340" s="9"/>
      <c r="H340" s="9"/>
      <c r="I340" s="16" t="str">
        <f aca="false">IF(C340="","",IFERROR(INDEX(LOOKAHEAD!$G$5:$G$204,MATCH(C340,LOOKAHEAD!$A$5:$A$204,0)),""))</f>
        <v/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36" t="str">
        <f aca="false">IF(C340="","",SUM(J340:O340))</f>
        <v/>
      </c>
      <c r="W340" s="36" t="str">
        <f aca="false">IF(C340="","",SUM(P340:U340))</f>
        <v/>
      </c>
      <c r="X340" s="19" t="str">
        <f aca="false">IF(OR(C340="",V340=0),"",W340/V340)</f>
        <v/>
      </c>
      <c r="Y340" s="16" t="str">
        <f aca="false">IF(OR(C340="",V340=0),"",IF(W340&gt;=V340,"Sí","No"))</f>
        <v/>
      </c>
      <c r="Z340" s="9"/>
      <c r="AA340" s="9"/>
    </row>
    <row r="341" customFormat="false" ht="15" hidden="false" customHeight="false" outlineLevel="0" collapsed="false">
      <c r="A341" s="9"/>
      <c r="B341" s="9"/>
      <c r="C341" s="9"/>
      <c r="D341" s="16" t="str">
        <f aca="false">IF(C341="","",IFERROR(INDEX(LOOKAHEAD!$B$5:$B$204,MATCH(C341,LOOKAHEAD!$A$5:$A$204,0)),""))</f>
        <v/>
      </c>
      <c r="E341" s="16" t="str">
        <f aca="false">IF(C341="","",IFERROR(INDEX(LOOKAHEAD!$E$5:$E$204,MATCH(C341,LOOKAHEAD!$A$5:$A$204,0)),""))</f>
        <v/>
      </c>
      <c r="F341" s="16" t="str">
        <f aca="false">IF(C341="","",IFERROR(INDEX(LOOKAHEAD!$M$5:$M$204,MATCH(C341,LOOKAHEAD!$A$5:$A$204,0)),""))</f>
        <v/>
      </c>
      <c r="G341" s="9"/>
      <c r="H341" s="9"/>
      <c r="I341" s="16" t="str">
        <f aca="false">IF(C341="","",IFERROR(INDEX(LOOKAHEAD!$G$5:$G$204,MATCH(C341,LOOKAHEAD!$A$5:$A$204,0)),""))</f>
        <v/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36" t="str">
        <f aca="false">IF(C341="","",SUM(J341:O341))</f>
        <v/>
      </c>
      <c r="W341" s="36" t="str">
        <f aca="false">IF(C341="","",SUM(P341:U341))</f>
        <v/>
      </c>
      <c r="X341" s="19" t="str">
        <f aca="false">IF(OR(C341="",V341=0),"",W341/V341)</f>
        <v/>
      </c>
      <c r="Y341" s="16" t="str">
        <f aca="false">IF(OR(C341="",V341=0),"",IF(W341&gt;=V341,"Sí","No"))</f>
        <v/>
      </c>
      <c r="Z341" s="9"/>
      <c r="AA341" s="9"/>
    </row>
    <row r="342" customFormat="false" ht="15" hidden="false" customHeight="false" outlineLevel="0" collapsed="false">
      <c r="A342" s="9"/>
      <c r="B342" s="9"/>
      <c r="C342" s="9"/>
      <c r="D342" s="16" t="str">
        <f aca="false">IF(C342="","",IFERROR(INDEX(LOOKAHEAD!$B$5:$B$204,MATCH(C342,LOOKAHEAD!$A$5:$A$204,0)),""))</f>
        <v/>
      </c>
      <c r="E342" s="16" t="str">
        <f aca="false">IF(C342="","",IFERROR(INDEX(LOOKAHEAD!$E$5:$E$204,MATCH(C342,LOOKAHEAD!$A$5:$A$204,0)),""))</f>
        <v/>
      </c>
      <c r="F342" s="16" t="str">
        <f aca="false">IF(C342="","",IFERROR(INDEX(LOOKAHEAD!$M$5:$M$204,MATCH(C342,LOOKAHEAD!$A$5:$A$204,0)),""))</f>
        <v/>
      </c>
      <c r="G342" s="9"/>
      <c r="H342" s="9"/>
      <c r="I342" s="16" t="str">
        <f aca="false">IF(C342="","",IFERROR(INDEX(LOOKAHEAD!$G$5:$G$204,MATCH(C342,LOOKAHEAD!$A$5:$A$204,0)),""))</f>
        <v/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36" t="str">
        <f aca="false">IF(C342="","",SUM(J342:O342))</f>
        <v/>
      </c>
      <c r="W342" s="36" t="str">
        <f aca="false">IF(C342="","",SUM(P342:U342))</f>
        <v/>
      </c>
      <c r="X342" s="19" t="str">
        <f aca="false">IF(OR(C342="",V342=0),"",W342/V342)</f>
        <v/>
      </c>
      <c r="Y342" s="16" t="str">
        <f aca="false">IF(OR(C342="",V342=0),"",IF(W342&gt;=V342,"Sí","No"))</f>
        <v/>
      </c>
      <c r="Z342" s="9"/>
      <c r="AA342" s="9"/>
    </row>
    <row r="343" customFormat="false" ht="15" hidden="false" customHeight="false" outlineLevel="0" collapsed="false">
      <c r="A343" s="9"/>
      <c r="B343" s="9"/>
      <c r="C343" s="9"/>
      <c r="D343" s="16" t="str">
        <f aca="false">IF(C343="","",IFERROR(INDEX(LOOKAHEAD!$B$5:$B$204,MATCH(C343,LOOKAHEAD!$A$5:$A$204,0)),""))</f>
        <v/>
      </c>
      <c r="E343" s="16" t="str">
        <f aca="false">IF(C343="","",IFERROR(INDEX(LOOKAHEAD!$E$5:$E$204,MATCH(C343,LOOKAHEAD!$A$5:$A$204,0)),""))</f>
        <v/>
      </c>
      <c r="F343" s="16" t="str">
        <f aca="false">IF(C343="","",IFERROR(INDEX(LOOKAHEAD!$M$5:$M$204,MATCH(C343,LOOKAHEAD!$A$5:$A$204,0)),""))</f>
        <v/>
      </c>
      <c r="G343" s="9"/>
      <c r="H343" s="9"/>
      <c r="I343" s="16" t="str">
        <f aca="false">IF(C343="","",IFERROR(INDEX(LOOKAHEAD!$G$5:$G$204,MATCH(C343,LOOKAHEAD!$A$5:$A$204,0)),""))</f>
        <v/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36" t="str">
        <f aca="false">IF(C343="","",SUM(J343:O343))</f>
        <v/>
      </c>
      <c r="W343" s="36" t="str">
        <f aca="false">IF(C343="","",SUM(P343:U343))</f>
        <v/>
      </c>
      <c r="X343" s="19" t="str">
        <f aca="false">IF(OR(C343="",V343=0),"",W343/V343)</f>
        <v/>
      </c>
      <c r="Y343" s="16" t="str">
        <f aca="false">IF(OR(C343="",V343=0),"",IF(W343&gt;=V343,"Sí","No"))</f>
        <v/>
      </c>
      <c r="Z343" s="9"/>
      <c r="AA343" s="9"/>
    </row>
    <row r="344" customFormat="false" ht="15" hidden="false" customHeight="false" outlineLevel="0" collapsed="false">
      <c r="A344" s="9"/>
      <c r="B344" s="9"/>
      <c r="C344" s="9"/>
      <c r="D344" s="16" t="str">
        <f aca="false">IF(C344="","",IFERROR(INDEX(LOOKAHEAD!$B$5:$B$204,MATCH(C344,LOOKAHEAD!$A$5:$A$204,0)),""))</f>
        <v/>
      </c>
      <c r="E344" s="16" t="str">
        <f aca="false">IF(C344="","",IFERROR(INDEX(LOOKAHEAD!$E$5:$E$204,MATCH(C344,LOOKAHEAD!$A$5:$A$204,0)),""))</f>
        <v/>
      </c>
      <c r="F344" s="16" t="str">
        <f aca="false">IF(C344="","",IFERROR(INDEX(LOOKAHEAD!$M$5:$M$204,MATCH(C344,LOOKAHEAD!$A$5:$A$204,0)),""))</f>
        <v/>
      </c>
      <c r="G344" s="9"/>
      <c r="H344" s="9"/>
      <c r="I344" s="16" t="str">
        <f aca="false">IF(C344="","",IFERROR(INDEX(LOOKAHEAD!$G$5:$G$204,MATCH(C344,LOOKAHEAD!$A$5:$A$204,0)),""))</f>
        <v/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36" t="str">
        <f aca="false">IF(C344="","",SUM(J344:O344))</f>
        <v/>
      </c>
      <c r="W344" s="36" t="str">
        <f aca="false">IF(C344="","",SUM(P344:U344))</f>
        <v/>
      </c>
      <c r="X344" s="19" t="str">
        <f aca="false">IF(OR(C344="",V344=0),"",W344/V344)</f>
        <v/>
      </c>
      <c r="Y344" s="16" t="str">
        <f aca="false">IF(OR(C344="",V344=0),"",IF(W344&gt;=V344,"Sí","No"))</f>
        <v/>
      </c>
      <c r="Z344" s="9"/>
      <c r="AA344" s="9"/>
    </row>
    <row r="345" customFormat="false" ht="15" hidden="false" customHeight="false" outlineLevel="0" collapsed="false">
      <c r="A345" s="9"/>
      <c r="B345" s="9"/>
      <c r="C345" s="9"/>
      <c r="D345" s="16" t="str">
        <f aca="false">IF(C345="","",IFERROR(INDEX(LOOKAHEAD!$B$5:$B$204,MATCH(C345,LOOKAHEAD!$A$5:$A$204,0)),""))</f>
        <v/>
      </c>
      <c r="E345" s="16" t="str">
        <f aca="false">IF(C345="","",IFERROR(INDEX(LOOKAHEAD!$E$5:$E$204,MATCH(C345,LOOKAHEAD!$A$5:$A$204,0)),""))</f>
        <v/>
      </c>
      <c r="F345" s="16" t="str">
        <f aca="false">IF(C345="","",IFERROR(INDEX(LOOKAHEAD!$M$5:$M$204,MATCH(C345,LOOKAHEAD!$A$5:$A$204,0)),""))</f>
        <v/>
      </c>
      <c r="G345" s="9"/>
      <c r="H345" s="9"/>
      <c r="I345" s="16" t="str">
        <f aca="false">IF(C345="","",IFERROR(INDEX(LOOKAHEAD!$G$5:$G$204,MATCH(C345,LOOKAHEAD!$A$5:$A$204,0)),""))</f>
        <v/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36" t="str">
        <f aca="false">IF(C345="","",SUM(J345:O345))</f>
        <v/>
      </c>
      <c r="W345" s="36" t="str">
        <f aca="false">IF(C345="","",SUM(P345:U345))</f>
        <v/>
      </c>
      <c r="X345" s="19" t="str">
        <f aca="false">IF(OR(C345="",V345=0),"",W345/V345)</f>
        <v/>
      </c>
      <c r="Y345" s="16" t="str">
        <f aca="false">IF(OR(C345="",V345=0),"",IF(W345&gt;=V345,"Sí","No"))</f>
        <v/>
      </c>
      <c r="Z345" s="9"/>
      <c r="AA345" s="9"/>
    </row>
    <row r="346" customFormat="false" ht="15" hidden="false" customHeight="false" outlineLevel="0" collapsed="false">
      <c r="A346" s="9"/>
      <c r="B346" s="9"/>
      <c r="C346" s="9"/>
      <c r="D346" s="16" t="str">
        <f aca="false">IF(C346="","",IFERROR(INDEX(LOOKAHEAD!$B$5:$B$204,MATCH(C346,LOOKAHEAD!$A$5:$A$204,0)),""))</f>
        <v/>
      </c>
      <c r="E346" s="16" t="str">
        <f aca="false">IF(C346="","",IFERROR(INDEX(LOOKAHEAD!$E$5:$E$204,MATCH(C346,LOOKAHEAD!$A$5:$A$204,0)),""))</f>
        <v/>
      </c>
      <c r="F346" s="16" t="str">
        <f aca="false">IF(C346="","",IFERROR(INDEX(LOOKAHEAD!$M$5:$M$204,MATCH(C346,LOOKAHEAD!$A$5:$A$204,0)),""))</f>
        <v/>
      </c>
      <c r="G346" s="9"/>
      <c r="H346" s="9"/>
      <c r="I346" s="16" t="str">
        <f aca="false">IF(C346="","",IFERROR(INDEX(LOOKAHEAD!$G$5:$G$204,MATCH(C346,LOOKAHEAD!$A$5:$A$204,0)),""))</f>
        <v/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36" t="str">
        <f aca="false">IF(C346="","",SUM(J346:O346))</f>
        <v/>
      </c>
      <c r="W346" s="36" t="str">
        <f aca="false">IF(C346="","",SUM(P346:U346))</f>
        <v/>
      </c>
      <c r="X346" s="19" t="str">
        <f aca="false">IF(OR(C346="",V346=0),"",W346/V346)</f>
        <v/>
      </c>
      <c r="Y346" s="16" t="str">
        <f aca="false">IF(OR(C346="",V346=0),"",IF(W346&gt;=V346,"Sí","No"))</f>
        <v/>
      </c>
      <c r="Z346" s="9"/>
      <c r="AA346" s="9"/>
    </row>
    <row r="347" customFormat="false" ht="15" hidden="false" customHeight="false" outlineLevel="0" collapsed="false">
      <c r="A347" s="9"/>
      <c r="B347" s="9"/>
      <c r="C347" s="9"/>
      <c r="D347" s="16" t="str">
        <f aca="false">IF(C347="","",IFERROR(INDEX(LOOKAHEAD!$B$5:$B$204,MATCH(C347,LOOKAHEAD!$A$5:$A$204,0)),""))</f>
        <v/>
      </c>
      <c r="E347" s="16" t="str">
        <f aca="false">IF(C347="","",IFERROR(INDEX(LOOKAHEAD!$E$5:$E$204,MATCH(C347,LOOKAHEAD!$A$5:$A$204,0)),""))</f>
        <v/>
      </c>
      <c r="F347" s="16" t="str">
        <f aca="false">IF(C347="","",IFERROR(INDEX(LOOKAHEAD!$M$5:$M$204,MATCH(C347,LOOKAHEAD!$A$5:$A$204,0)),""))</f>
        <v/>
      </c>
      <c r="G347" s="9"/>
      <c r="H347" s="9"/>
      <c r="I347" s="16" t="str">
        <f aca="false">IF(C347="","",IFERROR(INDEX(LOOKAHEAD!$G$5:$G$204,MATCH(C347,LOOKAHEAD!$A$5:$A$204,0)),""))</f>
        <v/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36" t="str">
        <f aca="false">IF(C347="","",SUM(J347:O347))</f>
        <v/>
      </c>
      <c r="W347" s="36" t="str">
        <f aca="false">IF(C347="","",SUM(P347:U347))</f>
        <v/>
      </c>
      <c r="X347" s="19" t="str">
        <f aca="false">IF(OR(C347="",V347=0),"",W347/V347)</f>
        <v/>
      </c>
      <c r="Y347" s="16" t="str">
        <f aca="false">IF(OR(C347="",V347=0),"",IF(W347&gt;=V347,"Sí","No"))</f>
        <v/>
      </c>
      <c r="Z347" s="9"/>
      <c r="AA347" s="9"/>
    </row>
    <row r="348" customFormat="false" ht="15" hidden="false" customHeight="false" outlineLevel="0" collapsed="false">
      <c r="A348" s="9"/>
      <c r="B348" s="9"/>
      <c r="C348" s="9"/>
      <c r="D348" s="16" t="str">
        <f aca="false">IF(C348="","",IFERROR(INDEX(LOOKAHEAD!$B$5:$B$204,MATCH(C348,LOOKAHEAD!$A$5:$A$204,0)),""))</f>
        <v/>
      </c>
      <c r="E348" s="16" t="str">
        <f aca="false">IF(C348="","",IFERROR(INDEX(LOOKAHEAD!$E$5:$E$204,MATCH(C348,LOOKAHEAD!$A$5:$A$204,0)),""))</f>
        <v/>
      </c>
      <c r="F348" s="16" t="str">
        <f aca="false">IF(C348="","",IFERROR(INDEX(LOOKAHEAD!$M$5:$M$204,MATCH(C348,LOOKAHEAD!$A$5:$A$204,0)),""))</f>
        <v/>
      </c>
      <c r="G348" s="9"/>
      <c r="H348" s="9"/>
      <c r="I348" s="16" t="str">
        <f aca="false">IF(C348="","",IFERROR(INDEX(LOOKAHEAD!$G$5:$G$204,MATCH(C348,LOOKAHEAD!$A$5:$A$204,0)),""))</f>
        <v/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36" t="str">
        <f aca="false">IF(C348="","",SUM(J348:O348))</f>
        <v/>
      </c>
      <c r="W348" s="36" t="str">
        <f aca="false">IF(C348="","",SUM(P348:U348))</f>
        <v/>
      </c>
      <c r="X348" s="19" t="str">
        <f aca="false">IF(OR(C348="",V348=0),"",W348/V348)</f>
        <v/>
      </c>
      <c r="Y348" s="16" t="str">
        <f aca="false">IF(OR(C348="",V348=0),"",IF(W348&gt;=V348,"Sí","No"))</f>
        <v/>
      </c>
      <c r="Z348" s="9"/>
      <c r="AA348" s="9"/>
    </row>
    <row r="349" customFormat="false" ht="15" hidden="false" customHeight="false" outlineLevel="0" collapsed="false">
      <c r="A349" s="9"/>
      <c r="B349" s="9"/>
      <c r="C349" s="9"/>
      <c r="D349" s="16" t="str">
        <f aca="false">IF(C349="","",IFERROR(INDEX(LOOKAHEAD!$B$5:$B$204,MATCH(C349,LOOKAHEAD!$A$5:$A$204,0)),""))</f>
        <v/>
      </c>
      <c r="E349" s="16" t="str">
        <f aca="false">IF(C349="","",IFERROR(INDEX(LOOKAHEAD!$E$5:$E$204,MATCH(C349,LOOKAHEAD!$A$5:$A$204,0)),""))</f>
        <v/>
      </c>
      <c r="F349" s="16" t="str">
        <f aca="false">IF(C349="","",IFERROR(INDEX(LOOKAHEAD!$M$5:$M$204,MATCH(C349,LOOKAHEAD!$A$5:$A$204,0)),""))</f>
        <v/>
      </c>
      <c r="G349" s="9"/>
      <c r="H349" s="9"/>
      <c r="I349" s="16" t="str">
        <f aca="false">IF(C349="","",IFERROR(INDEX(LOOKAHEAD!$G$5:$G$204,MATCH(C349,LOOKAHEAD!$A$5:$A$204,0)),""))</f>
        <v/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36" t="str">
        <f aca="false">IF(C349="","",SUM(J349:O349))</f>
        <v/>
      </c>
      <c r="W349" s="36" t="str">
        <f aca="false">IF(C349="","",SUM(P349:U349))</f>
        <v/>
      </c>
      <c r="X349" s="19" t="str">
        <f aca="false">IF(OR(C349="",V349=0),"",W349/V349)</f>
        <v/>
      </c>
      <c r="Y349" s="16" t="str">
        <f aca="false">IF(OR(C349="",V349=0),"",IF(W349&gt;=V349,"Sí","No"))</f>
        <v/>
      </c>
      <c r="Z349" s="9"/>
      <c r="AA349" s="9"/>
    </row>
    <row r="350" customFormat="false" ht="15" hidden="false" customHeight="false" outlineLevel="0" collapsed="false">
      <c r="A350" s="9"/>
      <c r="B350" s="9"/>
      <c r="C350" s="9"/>
      <c r="D350" s="16" t="str">
        <f aca="false">IF(C350="","",IFERROR(INDEX(LOOKAHEAD!$B$5:$B$204,MATCH(C350,LOOKAHEAD!$A$5:$A$204,0)),""))</f>
        <v/>
      </c>
      <c r="E350" s="16" t="str">
        <f aca="false">IF(C350="","",IFERROR(INDEX(LOOKAHEAD!$E$5:$E$204,MATCH(C350,LOOKAHEAD!$A$5:$A$204,0)),""))</f>
        <v/>
      </c>
      <c r="F350" s="16" t="str">
        <f aca="false">IF(C350="","",IFERROR(INDEX(LOOKAHEAD!$M$5:$M$204,MATCH(C350,LOOKAHEAD!$A$5:$A$204,0)),""))</f>
        <v/>
      </c>
      <c r="G350" s="9"/>
      <c r="H350" s="9"/>
      <c r="I350" s="16" t="str">
        <f aca="false">IF(C350="","",IFERROR(INDEX(LOOKAHEAD!$G$5:$G$204,MATCH(C350,LOOKAHEAD!$A$5:$A$204,0)),""))</f>
        <v/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36" t="str">
        <f aca="false">IF(C350="","",SUM(J350:O350))</f>
        <v/>
      </c>
      <c r="W350" s="36" t="str">
        <f aca="false">IF(C350="","",SUM(P350:U350))</f>
        <v/>
      </c>
      <c r="X350" s="19" t="str">
        <f aca="false">IF(OR(C350="",V350=0),"",W350/V350)</f>
        <v/>
      </c>
      <c r="Y350" s="16" t="str">
        <f aca="false">IF(OR(C350="",V350=0),"",IF(W350&gt;=V350,"Sí","No"))</f>
        <v/>
      </c>
      <c r="Z350" s="9"/>
      <c r="AA350" s="9"/>
    </row>
    <row r="351" customFormat="false" ht="15" hidden="false" customHeight="false" outlineLevel="0" collapsed="false">
      <c r="A351" s="9"/>
      <c r="B351" s="9"/>
      <c r="C351" s="9"/>
      <c r="D351" s="16" t="str">
        <f aca="false">IF(C351="","",IFERROR(INDEX(LOOKAHEAD!$B$5:$B$204,MATCH(C351,LOOKAHEAD!$A$5:$A$204,0)),""))</f>
        <v/>
      </c>
      <c r="E351" s="16" t="str">
        <f aca="false">IF(C351="","",IFERROR(INDEX(LOOKAHEAD!$E$5:$E$204,MATCH(C351,LOOKAHEAD!$A$5:$A$204,0)),""))</f>
        <v/>
      </c>
      <c r="F351" s="16" t="str">
        <f aca="false">IF(C351="","",IFERROR(INDEX(LOOKAHEAD!$M$5:$M$204,MATCH(C351,LOOKAHEAD!$A$5:$A$204,0)),""))</f>
        <v/>
      </c>
      <c r="G351" s="9"/>
      <c r="H351" s="9"/>
      <c r="I351" s="16" t="str">
        <f aca="false">IF(C351="","",IFERROR(INDEX(LOOKAHEAD!$G$5:$G$204,MATCH(C351,LOOKAHEAD!$A$5:$A$204,0)),""))</f>
        <v/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36" t="str">
        <f aca="false">IF(C351="","",SUM(J351:O351))</f>
        <v/>
      </c>
      <c r="W351" s="36" t="str">
        <f aca="false">IF(C351="","",SUM(P351:U351))</f>
        <v/>
      </c>
      <c r="X351" s="19" t="str">
        <f aca="false">IF(OR(C351="",V351=0),"",W351/V351)</f>
        <v/>
      </c>
      <c r="Y351" s="16" t="str">
        <f aca="false">IF(OR(C351="",V351=0),"",IF(W351&gt;=V351,"Sí","No"))</f>
        <v/>
      </c>
      <c r="Z351" s="9"/>
      <c r="AA351" s="9"/>
    </row>
    <row r="352" customFormat="false" ht="15" hidden="false" customHeight="false" outlineLevel="0" collapsed="false">
      <c r="A352" s="9"/>
      <c r="B352" s="9"/>
      <c r="C352" s="9"/>
      <c r="D352" s="16" t="str">
        <f aca="false">IF(C352="","",IFERROR(INDEX(LOOKAHEAD!$B$5:$B$204,MATCH(C352,LOOKAHEAD!$A$5:$A$204,0)),""))</f>
        <v/>
      </c>
      <c r="E352" s="16" t="str">
        <f aca="false">IF(C352="","",IFERROR(INDEX(LOOKAHEAD!$E$5:$E$204,MATCH(C352,LOOKAHEAD!$A$5:$A$204,0)),""))</f>
        <v/>
      </c>
      <c r="F352" s="16" t="str">
        <f aca="false">IF(C352="","",IFERROR(INDEX(LOOKAHEAD!$M$5:$M$204,MATCH(C352,LOOKAHEAD!$A$5:$A$204,0)),""))</f>
        <v/>
      </c>
      <c r="G352" s="9"/>
      <c r="H352" s="9"/>
      <c r="I352" s="16" t="str">
        <f aca="false">IF(C352="","",IFERROR(INDEX(LOOKAHEAD!$G$5:$G$204,MATCH(C352,LOOKAHEAD!$A$5:$A$204,0)),""))</f>
        <v/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36" t="str">
        <f aca="false">IF(C352="","",SUM(J352:O352))</f>
        <v/>
      </c>
      <c r="W352" s="36" t="str">
        <f aca="false">IF(C352="","",SUM(P352:U352))</f>
        <v/>
      </c>
      <c r="X352" s="19" t="str">
        <f aca="false">IF(OR(C352="",V352=0),"",W352/V352)</f>
        <v/>
      </c>
      <c r="Y352" s="16" t="str">
        <f aca="false">IF(OR(C352="",V352=0),"",IF(W352&gt;=V352,"Sí","No"))</f>
        <v/>
      </c>
      <c r="Z352" s="9"/>
      <c r="AA352" s="9"/>
    </row>
    <row r="353" customFormat="false" ht="15" hidden="false" customHeight="false" outlineLevel="0" collapsed="false">
      <c r="A353" s="9"/>
      <c r="B353" s="9"/>
      <c r="C353" s="9"/>
      <c r="D353" s="16" t="str">
        <f aca="false">IF(C353="","",IFERROR(INDEX(LOOKAHEAD!$B$5:$B$204,MATCH(C353,LOOKAHEAD!$A$5:$A$204,0)),""))</f>
        <v/>
      </c>
      <c r="E353" s="16" t="str">
        <f aca="false">IF(C353="","",IFERROR(INDEX(LOOKAHEAD!$E$5:$E$204,MATCH(C353,LOOKAHEAD!$A$5:$A$204,0)),""))</f>
        <v/>
      </c>
      <c r="F353" s="16" t="str">
        <f aca="false">IF(C353="","",IFERROR(INDEX(LOOKAHEAD!$M$5:$M$204,MATCH(C353,LOOKAHEAD!$A$5:$A$204,0)),""))</f>
        <v/>
      </c>
      <c r="G353" s="9"/>
      <c r="H353" s="9"/>
      <c r="I353" s="16" t="str">
        <f aca="false">IF(C353="","",IFERROR(INDEX(LOOKAHEAD!$G$5:$G$204,MATCH(C353,LOOKAHEAD!$A$5:$A$204,0)),""))</f>
        <v/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36" t="str">
        <f aca="false">IF(C353="","",SUM(J353:O353))</f>
        <v/>
      </c>
      <c r="W353" s="36" t="str">
        <f aca="false">IF(C353="","",SUM(P353:U353))</f>
        <v/>
      </c>
      <c r="X353" s="19" t="str">
        <f aca="false">IF(OR(C353="",V353=0),"",W353/V353)</f>
        <v/>
      </c>
      <c r="Y353" s="16" t="str">
        <f aca="false">IF(OR(C353="",V353=0),"",IF(W353&gt;=V353,"Sí","No"))</f>
        <v/>
      </c>
      <c r="Z353" s="9"/>
      <c r="AA353" s="9"/>
    </row>
    <row r="354" customFormat="false" ht="15" hidden="false" customHeight="false" outlineLevel="0" collapsed="false">
      <c r="A354" s="9"/>
      <c r="B354" s="9"/>
      <c r="C354" s="9"/>
      <c r="D354" s="16" t="str">
        <f aca="false">IF(C354="","",IFERROR(INDEX(LOOKAHEAD!$B$5:$B$204,MATCH(C354,LOOKAHEAD!$A$5:$A$204,0)),""))</f>
        <v/>
      </c>
      <c r="E354" s="16" t="str">
        <f aca="false">IF(C354="","",IFERROR(INDEX(LOOKAHEAD!$E$5:$E$204,MATCH(C354,LOOKAHEAD!$A$5:$A$204,0)),""))</f>
        <v/>
      </c>
      <c r="F354" s="16" t="str">
        <f aca="false">IF(C354="","",IFERROR(INDEX(LOOKAHEAD!$M$5:$M$204,MATCH(C354,LOOKAHEAD!$A$5:$A$204,0)),""))</f>
        <v/>
      </c>
      <c r="G354" s="9"/>
      <c r="H354" s="9"/>
      <c r="I354" s="16" t="str">
        <f aca="false">IF(C354="","",IFERROR(INDEX(LOOKAHEAD!$G$5:$G$204,MATCH(C354,LOOKAHEAD!$A$5:$A$204,0)),""))</f>
        <v/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36" t="str">
        <f aca="false">IF(C354="","",SUM(J354:O354))</f>
        <v/>
      </c>
      <c r="W354" s="36" t="str">
        <f aca="false">IF(C354="","",SUM(P354:U354))</f>
        <v/>
      </c>
      <c r="X354" s="19" t="str">
        <f aca="false">IF(OR(C354="",V354=0),"",W354/V354)</f>
        <v/>
      </c>
      <c r="Y354" s="16" t="str">
        <f aca="false">IF(OR(C354="",V354=0),"",IF(W354&gt;=V354,"Sí","No"))</f>
        <v/>
      </c>
      <c r="Z354" s="9"/>
      <c r="AA354" s="9"/>
    </row>
    <row r="355" customFormat="false" ht="15" hidden="false" customHeight="false" outlineLevel="0" collapsed="false">
      <c r="A355" s="9"/>
      <c r="B355" s="9"/>
      <c r="C355" s="9"/>
      <c r="D355" s="16" t="str">
        <f aca="false">IF(C355="","",IFERROR(INDEX(LOOKAHEAD!$B$5:$B$204,MATCH(C355,LOOKAHEAD!$A$5:$A$204,0)),""))</f>
        <v/>
      </c>
      <c r="E355" s="16" t="str">
        <f aca="false">IF(C355="","",IFERROR(INDEX(LOOKAHEAD!$E$5:$E$204,MATCH(C355,LOOKAHEAD!$A$5:$A$204,0)),""))</f>
        <v/>
      </c>
      <c r="F355" s="16" t="str">
        <f aca="false">IF(C355="","",IFERROR(INDEX(LOOKAHEAD!$M$5:$M$204,MATCH(C355,LOOKAHEAD!$A$5:$A$204,0)),""))</f>
        <v/>
      </c>
      <c r="G355" s="9"/>
      <c r="H355" s="9"/>
      <c r="I355" s="16" t="str">
        <f aca="false">IF(C355="","",IFERROR(INDEX(LOOKAHEAD!$G$5:$G$204,MATCH(C355,LOOKAHEAD!$A$5:$A$204,0)),""))</f>
        <v/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36" t="str">
        <f aca="false">IF(C355="","",SUM(J355:O355))</f>
        <v/>
      </c>
      <c r="W355" s="36" t="str">
        <f aca="false">IF(C355="","",SUM(P355:U355))</f>
        <v/>
      </c>
      <c r="X355" s="19" t="str">
        <f aca="false">IF(OR(C355="",V355=0),"",W355/V355)</f>
        <v/>
      </c>
      <c r="Y355" s="16" t="str">
        <f aca="false">IF(OR(C355="",V355=0),"",IF(W355&gt;=V355,"Sí","No"))</f>
        <v/>
      </c>
      <c r="Z355" s="9"/>
      <c r="AA355" s="9"/>
    </row>
    <row r="356" customFormat="false" ht="15" hidden="false" customHeight="false" outlineLevel="0" collapsed="false">
      <c r="A356" s="9"/>
      <c r="B356" s="9"/>
      <c r="C356" s="9"/>
      <c r="D356" s="16" t="str">
        <f aca="false">IF(C356="","",IFERROR(INDEX(LOOKAHEAD!$B$5:$B$204,MATCH(C356,LOOKAHEAD!$A$5:$A$204,0)),""))</f>
        <v/>
      </c>
      <c r="E356" s="16" t="str">
        <f aca="false">IF(C356="","",IFERROR(INDEX(LOOKAHEAD!$E$5:$E$204,MATCH(C356,LOOKAHEAD!$A$5:$A$204,0)),""))</f>
        <v/>
      </c>
      <c r="F356" s="16" t="str">
        <f aca="false">IF(C356="","",IFERROR(INDEX(LOOKAHEAD!$M$5:$M$204,MATCH(C356,LOOKAHEAD!$A$5:$A$204,0)),""))</f>
        <v/>
      </c>
      <c r="G356" s="9"/>
      <c r="H356" s="9"/>
      <c r="I356" s="16" t="str">
        <f aca="false">IF(C356="","",IFERROR(INDEX(LOOKAHEAD!$G$5:$G$204,MATCH(C356,LOOKAHEAD!$A$5:$A$204,0)),""))</f>
        <v/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36" t="str">
        <f aca="false">IF(C356="","",SUM(J356:O356))</f>
        <v/>
      </c>
      <c r="W356" s="36" t="str">
        <f aca="false">IF(C356="","",SUM(P356:U356))</f>
        <v/>
      </c>
      <c r="X356" s="19" t="str">
        <f aca="false">IF(OR(C356="",V356=0),"",W356/V356)</f>
        <v/>
      </c>
      <c r="Y356" s="16" t="str">
        <f aca="false">IF(OR(C356="",V356=0),"",IF(W356&gt;=V356,"Sí","No"))</f>
        <v/>
      </c>
      <c r="Z356" s="9"/>
      <c r="AA356" s="9"/>
    </row>
    <row r="357" customFormat="false" ht="15" hidden="false" customHeight="false" outlineLevel="0" collapsed="false">
      <c r="A357" s="9"/>
      <c r="B357" s="9"/>
      <c r="C357" s="9"/>
      <c r="D357" s="16" t="str">
        <f aca="false">IF(C357="","",IFERROR(INDEX(LOOKAHEAD!$B$5:$B$204,MATCH(C357,LOOKAHEAD!$A$5:$A$204,0)),""))</f>
        <v/>
      </c>
      <c r="E357" s="16" t="str">
        <f aca="false">IF(C357="","",IFERROR(INDEX(LOOKAHEAD!$E$5:$E$204,MATCH(C357,LOOKAHEAD!$A$5:$A$204,0)),""))</f>
        <v/>
      </c>
      <c r="F357" s="16" t="str">
        <f aca="false">IF(C357="","",IFERROR(INDEX(LOOKAHEAD!$M$5:$M$204,MATCH(C357,LOOKAHEAD!$A$5:$A$204,0)),""))</f>
        <v/>
      </c>
      <c r="G357" s="9"/>
      <c r="H357" s="9"/>
      <c r="I357" s="16" t="str">
        <f aca="false">IF(C357="","",IFERROR(INDEX(LOOKAHEAD!$G$5:$G$204,MATCH(C357,LOOKAHEAD!$A$5:$A$204,0)),""))</f>
        <v/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36" t="str">
        <f aca="false">IF(C357="","",SUM(J357:O357))</f>
        <v/>
      </c>
      <c r="W357" s="36" t="str">
        <f aca="false">IF(C357="","",SUM(P357:U357))</f>
        <v/>
      </c>
      <c r="X357" s="19" t="str">
        <f aca="false">IF(OR(C357="",V357=0),"",W357/V357)</f>
        <v/>
      </c>
      <c r="Y357" s="16" t="str">
        <f aca="false">IF(OR(C357="",V357=0),"",IF(W357&gt;=V357,"Sí","No"))</f>
        <v/>
      </c>
      <c r="Z357" s="9"/>
      <c r="AA357" s="9"/>
    </row>
    <row r="358" customFormat="false" ht="15" hidden="false" customHeight="false" outlineLevel="0" collapsed="false">
      <c r="A358" s="9"/>
      <c r="B358" s="9"/>
      <c r="C358" s="9"/>
      <c r="D358" s="16" t="str">
        <f aca="false">IF(C358="","",IFERROR(INDEX(LOOKAHEAD!$B$5:$B$204,MATCH(C358,LOOKAHEAD!$A$5:$A$204,0)),""))</f>
        <v/>
      </c>
      <c r="E358" s="16" t="str">
        <f aca="false">IF(C358="","",IFERROR(INDEX(LOOKAHEAD!$E$5:$E$204,MATCH(C358,LOOKAHEAD!$A$5:$A$204,0)),""))</f>
        <v/>
      </c>
      <c r="F358" s="16" t="str">
        <f aca="false">IF(C358="","",IFERROR(INDEX(LOOKAHEAD!$M$5:$M$204,MATCH(C358,LOOKAHEAD!$A$5:$A$204,0)),""))</f>
        <v/>
      </c>
      <c r="G358" s="9"/>
      <c r="H358" s="9"/>
      <c r="I358" s="16" t="str">
        <f aca="false">IF(C358="","",IFERROR(INDEX(LOOKAHEAD!$G$5:$G$204,MATCH(C358,LOOKAHEAD!$A$5:$A$204,0)),""))</f>
        <v/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36" t="str">
        <f aca="false">IF(C358="","",SUM(J358:O358))</f>
        <v/>
      </c>
      <c r="W358" s="36" t="str">
        <f aca="false">IF(C358="","",SUM(P358:U358))</f>
        <v/>
      </c>
      <c r="X358" s="19" t="str">
        <f aca="false">IF(OR(C358="",V358=0),"",W358/V358)</f>
        <v/>
      </c>
      <c r="Y358" s="16" t="str">
        <f aca="false">IF(OR(C358="",V358=0),"",IF(W358&gt;=V358,"Sí","No"))</f>
        <v/>
      </c>
      <c r="Z358" s="9"/>
      <c r="AA358" s="9"/>
    </row>
    <row r="359" customFormat="false" ht="15" hidden="false" customHeight="false" outlineLevel="0" collapsed="false">
      <c r="A359" s="9"/>
      <c r="B359" s="9"/>
      <c r="C359" s="9"/>
      <c r="D359" s="16" t="str">
        <f aca="false">IF(C359="","",IFERROR(INDEX(LOOKAHEAD!$B$5:$B$204,MATCH(C359,LOOKAHEAD!$A$5:$A$204,0)),""))</f>
        <v/>
      </c>
      <c r="E359" s="16" t="str">
        <f aca="false">IF(C359="","",IFERROR(INDEX(LOOKAHEAD!$E$5:$E$204,MATCH(C359,LOOKAHEAD!$A$5:$A$204,0)),""))</f>
        <v/>
      </c>
      <c r="F359" s="16" t="str">
        <f aca="false">IF(C359="","",IFERROR(INDEX(LOOKAHEAD!$M$5:$M$204,MATCH(C359,LOOKAHEAD!$A$5:$A$204,0)),""))</f>
        <v/>
      </c>
      <c r="G359" s="9"/>
      <c r="H359" s="9"/>
      <c r="I359" s="16" t="str">
        <f aca="false">IF(C359="","",IFERROR(INDEX(LOOKAHEAD!$G$5:$G$204,MATCH(C359,LOOKAHEAD!$A$5:$A$204,0)),""))</f>
        <v/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36" t="str">
        <f aca="false">IF(C359="","",SUM(J359:O359))</f>
        <v/>
      </c>
      <c r="W359" s="36" t="str">
        <f aca="false">IF(C359="","",SUM(P359:U359))</f>
        <v/>
      </c>
      <c r="X359" s="19" t="str">
        <f aca="false">IF(OR(C359="",V359=0),"",W359/V359)</f>
        <v/>
      </c>
      <c r="Y359" s="16" t="str">
        <f aca="false">IF(OR(C359="",V359=0),"",IF(W359&gt;=V359,"Sí","No"))</f>
        <v/>
      </c>
      <c r="Z359" s="9"/>
      <c r="AA359" s="9"/>
    </row>
    <row r="360" customFormat="false" ht="15" hidden="false" customHeight="false" outlineLevel="0" collapsed="false">
      <c r="A360" s="9"/>
      <c r="B360" s="9"/>
      <c r="C360" s="9"/>
      <c r="D360" s="16" t="str">
        <f aca="false">IF(C360="","",IFERROR(INDEX(LOOKAHEAD!$B$5:$B$204,MATCH(C360,LOOKAHEAD!$A$5:$A$204,0)),""))</f>
        <v/>
      </c>
      <c r="E360" s="16" t="str">
        <f aca="false">IF(C360="","",IFERROR(INDEX(LOOKAHEAD!$E$5:$E$204,MATCH(C360,LOOKAHEAD!$A$5:$A$204,0)),""))</f>
        <v/>
      </c>
      <c r="F360" s="16" t="str">
        <f aca="false">IF(C360="","",IFERROR(INDEX(LOOKAHEAD!$M$5:$M$204,MATCH(C360,LOOKAHEAD!$A$5:$A$204,0)),""))</f>
        <v/>
      </c>
      <c r="G360" s="9"/>
      <c r="H360" s="9"/>
      <c r="I360" s="16" t="str">
        <f aca="false">IF(C360="","",IFERROR(INDEX(LOOKAHEAD!$G$5:$G$204,MATCH(C360,LOOKAHEAD!$A$5:$A$204,0)),""))</f>
        <v/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36" t="str">
        <f aca="false">IF(C360="","",SUM(J360:O360))</f>
        <v/>
      </c>
      <c r="W360" s="36" t="str">
        <f aca="false">IF(C360="","",SUM(P360:U360))</f>
        <v/>
      </c>
      <c r="X360" s="19" t="str">
        <f aca="false">IF(OR(C360="",V360=0),"",W360/V360)</f>
        <v/>
      </c>
      <c r="Y360" s="16" t="str">
        <f aca="false">IF(OR(C360="",V360=0),"",IF(W360&gt;=V360,"Sí","No"))</f>
        <v/>
      </c>
      <c r="Z360" s="9"/>
      <c r="AA360" s="9"/>
    </row>
    <row r="361" customFormat="false" ht="15" hidden="false" customHeight="false" outlineLevel="0" collapsed="false">
      <c r="A361" s="9"/>
      <c r="B361" s="9"/>
      <c r="C361" s="9"/>
      <c r="D361" s="16" t="str">
        <f aca="false">IF(C361="","",IFERROR(INDEX(LOOKAHEAD!$B$5:$B$204,MATCH(C361,LOOKAHEAD!$A$5:$A$204,0)),""))</f>
        <v/>
      </c>
      <c r="E361" s="16" t="str">
        <f aca="false">IF(C361="","",IFERROR(INDEX(LOOKAHEAD!$E$5:$E$204,MATCH(C361,LOOKAHEAD!$A$5:$A$204,0)),""))</f>
        <v/>
      </c>
      <c r="F361" s="16" t="str">
        <f aca="false">IF(C361="","",IFERROR(INDEX(LOOKAHEAD!$M$5:$M$204,MATCH(C361,LOOKAHEAD!$A$5:$A$204,0)),""))</f>
        <v/>
      </c>
      <c r="G361" s="9"/>
      <c r="H361" s="9"/>
      <c r="I361" s="16" t="str">
        <f aca="false">IF(C361="","",IFERROR(INDEX(LOOKAHEAD!$G$5:$G$204,MATCH(C361,LOOKAHEAD!$A$5:$A$204,0)),""))</f>
        <v/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36" t="str">
        <f aca="false">IF(C361="","",SUM(J361:O361))</f>
        <v/>
      </c>
      <c r="W361" s="36" t="str">
        <f aca="false">IF(C361="","",SUM(P361:U361))</f>
        <v/>
      </c>
      <c r="X361" s="19" t="str">
        <f aca="false">IF(OR(C361="",V361=0),"",W361/V361)</f>
        <v/>
      </c>
      <c r="Y361" s="16" t="str">
        <f aca="false">IF(OR(C361="",V361=0),"",IF(W361&gt;=V361,"Sí","No"))</f>
        <v/>
      </c>
      <c r="Z361" s="9"/>
      <c r="AA361" s="9"/>
    </row>
    <row r="362" customFormat="false" ht="15" hidden="false" customHeight="false" outlineLevel="0" collapsed="false">
      <c r="A362" s="9"/>
      <c r="B362" s="9"/>
      <c r="C362" s="9"/>
      <c r="D362" s="16" t="str">
        <f aca="false">IF(C362="","",IFERROR(INDEX(LOOKAHEAD!$B$5:$B$204,MATCH(C362,LOOKAHEAD!$A$5:$A$204,0)),""))</f>
        <v/>
      </c>
      <c r="E362" s="16" t="str">
        <f aca="false">IF(C362="","",IFERROR(INDEX(LOOKAHEAD!$E$5:$E$204,MATCH(C362,LOOKAHEAD!$A$5:$A$204,0)),""))</f>
        <v/>
      </c>
      <c r="F362" s="16" t="str">
        <f aca="false">IF(C362="","",IFERROR(INDEX(LOOKAHEAD!$M$5:$M$204,MATCH(C362,LOOKAHEAD!$A$5:$A$204,0)),""))</f>
        <v/>
      </c>
      <c r="G362" s="9"/>
      <c r="H362" s="9"/>
      <c r="I362" s="16" t="str">
        <f aca="false">IF(C362="","",IFERROR(INDEX(LOOKAHEAD!$G$5:$G$204,MATCH(C362,LOOKAHEAD!$A$5:$A$204,0)),""))</f>
        <v/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36" t="str">
        <f aca="false">IF(C362="","",SUM(J362:O362))</f>
        <v/>
      </c>
      <c r="W362" s="36" t="str">
        <f aca="false">IF(C362="","",SUM(P362:U362))</f>
        <v/>
      </c>
      <c r="X362" s="19" t="str">
        <f aca="false">IF(OR(C362="",V362=0),"",W362/V362)</f>
        <v/>
      </c>
      <c r="Y362" s="16" t="str">
        <f aca="false">IF(OR(C362="",V362=0),"",IF(W362&gt;=V362,"Sí","No"))</f>
        <v/>
      </c>
      <c r="Z362" s="9"/>
      <c r="AA362" s="9"/>
    </row>
    <row r="363" customFormat="false" ht="15" hidden="false" customHeight="false" outlineLevel="0" collapsed="false">
      <c r="A363" s="9"/>
      <c r="B363" s="9"/>
      <c r="C363" s="9"/>
      <c r="D363" s="16" t="str">
        <f aca="false">IF(C363="","",IFERROR(INDEX(LOOKAHEAD!$B$5:$B$204,MATCH(C363,LOOKAHEAD!$A$5:$A$204,0)),""))</f>
        <v/>
      </c>
      <c r="E363" s="16" t="str">
        <f aca="false">IF(C363="","",IFERROR(INDEX(LOOKAHEAD!$E$5:$E$204,MATCH(C363,LOOKAHEAD!$A$5:$A$204,0)),""))</f>
        <v/>
      </c>
      <c r="F363" s="16" t="str">
        <f aca="false">IF(C363="","",IFERROR(INDEX(LOOKAHEAD!$M$5:$M$204,MATCH(C363,LOOKAHEAD!$A$5:$A$204,0)),""))</f>
        <v/>
      </c>
      <c r="G363" s="9"/>
      <c r="H363" s="9"/>
      <c r="I363" s="16" t="str">
        <f aca="false">IF(C363="","",IFERROR(INDEX(LOOKAHEAD!$G$5:$G$204,MATCH(C363,LOOKAHEAD!$A$5:$A$204,0)),""))</f>
        <v/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36" t="str">
        <f aca="false">IF(C363="","",SUM(J363:O363))</f>
        <v/>
      </c>
      <c r="W363" s="36" t="str">
        <f aca="false">IF(C363="","",SUM(P363:U363))</f>
        <v/>
      </c>
      <c r="X363" s="19" t="str">
        <f aca="false">IF(OR(C363="",V363=0),"",W363/V363)</f>
        <v/>
      </c>
      <c r="Y363" s="16" t="str">
        <f aca="false">IF(OR(C363="",V363=0),"",IF(W363&gt;=V363,"Sí","No"))</f>
        <v/>
      </c>
      <c r="Z363" s="9"/>
      <c r="AA363" s="9"/>
    </row>
    <row r="364" customFormat="false" ht="15" hidden="false" customHeight="false" outlineLevel="0" collapsed="false">
      <c r="A364" s="9"/>
      <c r="B364" s="9"/>
      <c r="C364" s="9"/>
      <c r="D364" s="16" t="str">
        <f aca="false">IF(C364="","",IFERROR(INDEX(LOOKAHEAD!$B$5:$B$204,MATCH(C364,LOOKAHEAD!$A$5:$A$204,0)),""))</f>
        <v/>
      </c>
      <c r="E364" s="16" t="str">
        <f aca="false">IF(C364="","",IFERROR(INDEX(LOOKAHEAD!$E$5:$E$204,MATCH(C364,LOOKAHEAD!$A$5:$A$204,0)),""))</f>
        <v/>
      </c>
      <c r="F364" s="16" t="str">
        <f aca="false">IF(C364="","",IFERROR(INDEX(LOOKAHEAD!$M$5:$M$204,MATCH(C364,LOOKAHEAD!$A$5:$A$204,0)),""))</f>
        <v/>
      </c>
      <c r="G364" s="9"/>
      <c r="H364" s="9"/>
      <c r="I364" s="16" t="str">
        <f aca="false">IF(C364="","",IFERROR(INDEX(LOOKAHEAD!$G$5:$G$204,MATCH(C364,LOOKAHEAD!$A$5:$A$204,0)),""))</f>
        <v/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36" t="str">
        <f aca="false">IF(C364="","",SUM(J364:O364))</f>
        <v/>
      </c>
      <c r="W364" s="36" t="str">
        <f aca="false">IF(C364="","",SUM(P364:U364))</f>
        <v/>
      </c>
      <c r="X364" s="19" t="str">
        <f aca="false">IF(OR(C364="",V364=0),"",W364/V364)</f>
        <v/>
      </c>
      <c r="Y364" s="16" t="str">
        <f aca="false">IF(OR(C364="",V364=0),"",IF(W364&gt;=V364,"Sí","No"))</f>
        <v/>
      </c>
      <c r="Z364" s="9"/>
      <c r="AA364" s="9"/>
    </row>
    <row r="365" customFormat="false" ht="15" hidden="false" customHeight="false" outlineLevel="0" collapsed="false">
      <c r="A365" s="9"/>
      <c r="B365" s="9"/>
      <c r="C365" s="9"/>
      <c r="D365" s="16" t="str">
        <f aca="false">IF(C365="","",IFERROR(INDEX(LOOKAHEAD!$B$5:$B$204,MATCH(C365,LOOKAHEAD!$A$5:$A$204,0)),""))</f>
        <v/>
      </c>
      <c r="E365" s="16" t="str">
        <f aca="false">IF(C365="","",IFERROR(INDEX(LOOKAHEAD!$E$5:$E$204,MATCH(C365,LOOKAHEAD!$A$5:$A$204,0)),""))</f>
        <v/>
      </c>
      <c r="F365" s="16" t="str">
        <f aca="false">IF(C365="","",IFERROR(INDEX(LOOKAHEAD!$M$5:$M$204,MATCH(C365,LOOKAHEAD!$A$5:$A$204,0)),""))</f>
        <v/>
      </c>
      <c r="G365" s="9"/>
      <c r="H365" s="9"/>
      <c r="I365" s="16" t="str">
        <f aca="false">IF(C365="","",IFERROR(INDEX(LOOKAHEAD!$G$5:$G$204,MATCH(C365,LOOKAHEAD!$A$5:$A$204,0)),""))</f>
        <v/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36" t="str">
        <f aca="false">IF(C365="","",SUM(J365:O365))</f>
        <v/>
      </c>
      <c r="W365" s="36" t="str">
        <f aca="false">IF(C365="","",SUM(P365:U365))</f>
        <v/>
      </c>
      <c r="X365" s="19" t="str">
        <f aca="false">IF(OR(C365="",V365=0),"",W365/V365)</f>
        <v/>
      </c>
      <c r="Y365" s="16" t="str">
        <f aca="false">IF(OR(C365="",V365=0),"",IF(W365&gt;=V365,"Sí","No"))</f>
        <v/>
      </c>
      <c r="Z365" s="9"/>
      <c r="AA365" s="9"/>
    </row>
    <row r="366" customFormat="false" ht="15" hidden="false" customHeight="false" outlineLevel="0" collapsed="false">
      <c r="A366" s="9"/>
      <c r="B366" s="9"/>
      <c r="C366" s="9"/>
      <c r="D366" s="16" t="str">
        <f aca="false">IF(C366="","",IFERROR(INDEX(LOOKAHEAD!$B$5:$B$204,MATCH(C366,LOOKAHEAD!$A$5:$A$204,0)),""))</f>
        <v/>
      </c>
      <c r="E366" s="16" t="str">
        <f aca="false">IF(C366="","",IFERROR(INDEX(LOOKAHEAD!$E$5:$E$204,MATCH(C366,LOOKAHEAD!$A$5:$A$204,0)),""))</f>
        <v/>
      </c>
      <c r="F366" s="16" t="str">
        <f aca="false">IF(C366="","",IFERROR(INDEX(LOOKAHEAD!$M$5:$M$204,MATCH(C366,LOOKAHEAD!$A$5:$A$204,0)),""))</f>
        <v/>
      </c>
      <c r="G366" s="9"/>
      <c r="H366" s="9"/>
      <c r="I366" s="16" t="str">
        <f aca="false">IF(C366="","",IFERROR(INDEX(LOOKAHEAD!$G$5:$G$204,MATCH(C366,LOOKAHEAD!$A$5:$A$204,0)),""))</f>
        <v/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36" t="str">
        <f aca="false">IF(C366="","",SUM(J366:O366))</f>
        <v/>
      </c>
      <c r="W366" s="36" t="str">
        <f aca="false">IF(C366="","",SUM(P366:U366))</f>
        <v/>
      </c>
      <c r="X366" s="19" t="str">
        <f aca="false">IF(OR(C366="",V366=0),"",W366/V366)</f>
        <v/>
      </c>
      <c r="Y366" s="16" t="str">
        <f aca="false">IF(OR(C366="",V366=0),"",IF(W366&gt;=V366,"Sí","No"))</f>
        <v/>
      </c>
      <c r="Z366" s="9"/>
      <c r="AA366" s="9"/>
    </row>
    <row r="367" customFormat="false" ht="15" hidden="false" customHeight="false" outlineLevel="0" collapsed="false">
      <c r="A367" s="9"/>
      <c r="B367" s="9"/>
      <c r="C367" s="9"/>
      <c r="D367" s="16" t="str">
        <f aca="false">IF(C367="","",IFERROR(INDEX(LOOKAHEAD!$B$5:$B$204,MATCH(C367,LOOKAHEAD!$A$5:$A$204,0)),""))</f>
        <v/>
      </c>
      <c r="E367" s="16" t="str">
        <f aca="false">IF(C367="","",IFERROR(INDEX(LOOKAHEAD!$E$5:$E$204,MATCH(C367,LOOKAHEAD!$A$5:$A$204,0)),""))</f>
        <v/>
      </c>
      <c r="F367" s="16" t="str">
        <f aca="false">IF(C367="","",IFERROR(INDEX(LOOKAHEAD!$M$5:$M$204,MATCH(C367,LOOKAHEAD!$A$5:$A$204,0)),""))</f>
        <v/>
      </c>
      <c r="G367" s="9"/>
      <c r="H367" s="9"/>
      <c r="I367" s="16" t="str">
        <f aca="false">IF(C367="","",IFERROR(INDEX(LOOKAHEAD!$G$5:$G$204,MATCH(C367,LOOKAHEAD!$A$5:$A$204,0)),""))</f>
        <v/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36" t="str">
        <f aca="false">IF(C367="","",SUM(J367:O367))</f>
        <v/>
      </c>
      <c r="W367" s="36" t="str">
        <f aca="false">IF(C367="","",SUM(P367:U367))</f>
        <v/>
      </c>
      <c r="X367" s="19" t="str">
        <f aca="false">IF(OR(C367="",V367=0),"",W367/V367)</f>
        <v/>
      </c>
      <c r="Y367" s="16" t="str">
        <f aca="false">IF(OR(C367="",V367=0),"",IF(W367&gt;=V367,"Sí","No"))</f>
        <v/>
      </c>
      <c r="Z367" s="9"/>
      <c r="AA367" s="9"/>
    </row>
    <row r="368" customFormat="false" ht="15" hidden="false" customHeight="false" outlineLevel="0" collapsed="false">
      <c r="A368" s="9"/>
      <c r="B368" s="9"/>
      <c r="C368" s="9"/>
      <c r="D368" s="16" t="str">
        <f aca="false">IF(C368="","",IFERROR(INDEX(LOOKAHEAD!$B$5:$B$204,MATCH(C368,LOOKAHEAD!$A$5:$A$204,0)),""))</f>
        <v/>
      </c>
      <c r="E368" s="16" t="str">
        <f aca="false">IF(C368="","",IFERROR(INDEX(LOOKAHEAD!$E$5:$E$204,MATCH(C368,LOOKAHEAD!$A$5:$A$204,0)),""))</f>
        <v/>
      </c>
      <c r="F368" s="16" t="str">
        <f aca="false">IF(C368="","",IFERROR(INDEX(LOOKAHEAD!$M$5:$M$204,MATCH(C368,LOOKAHEAD!$A$5:$A$204,0)),""))</f>
        <v/>
      </c>
      <c r="G368" s="9"/>
      <c r="H368" s="9"/>
      <c r="I368" s="16" t="str">
        <f aca="false">IF(C368="","",IFERROR(INDEX(LOOKAHEAD!$G$5:$G$204,MATCH(C368,LOOKAHEAD!$A$5:$A$204,0)),""))</f>
        <v/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36" t="str">
        <f aca="false">IF(C368="","",SUM(J368:O368))</f>
        <v/>
      </c>
      <c r="W368" s="36" t="str">
        <f aca="false">IF(C368="","",SUM(P368:U368))</f>
        <v/>
      </c>
      <c r="X368" s="19" t="str">
        <f aca="false">IF(OR(C368="",V368=0),"",W368/V368)</f>
        <v/>
      </c>
      <c r="Y368" s="16" t="str">
        <f aca="false">IF(OR(C368="",V368=0),"",IF(W368&gt;=V368,"Sí","No"))</f>
        <v/>
      </c>
      <c r="Z368" s="9"/>
      <c r="AA368" s="9"/>
    </row>
    <row r="369" customFormat="false" ht="15" hidden="false" customHeight="false" outlineLevel="0" collapsed="false">
      <c r="A369" s="9"/>
      <c r="B369" s="9"/>
      <c r="C369" s="9"/>
      <c r="D369" s="16" t="str">
        <f aca="false">IF(C369="","",IFERROR(INDEX(LOOKAHEAD!$B$5:$B$204,MATCH(C369,LOOKAHEAD!$A$5:$A$204,0)),""))</f>
        <v/>
      </c>
      <c r="E369" s="16" t="str">
        <f aca="false">IF(C369="","",IFERROR(INDEX(LOOKAHEAD!$E$5:$E$204,MATCH(C369,LOOKAHEAD!$A$5:$A$204,0)),""))</f>
        <v/>
      </c>
      <c r="F369" s="16" t="str">
        <f aca="false">IF(C369="","",IFERROR(INDEX(LOOKAHEAD!$M$5:$M$204,MATCH(C369,LOOKAHEAD!$A$5:$A$204,0)),""))</f>
        <v/>
      </c>
      <c r="G369" s="9"/>
      <c r="H369" s="9"/>
      <c r="I369" s="16" t="str">
        <f aca="false">IF(C369="","",IFERROR(INDEX(LOOKAHEAD!$G$5:$G$204,MATCH(C369,LOOKAHEAD!$A$5:$A$204,0)),""))</f>
        <v/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36" t="str">
        <f aca="false">IF(C369="","",SUM(J369:O369))</f>
        <v/>
      </c>
      <c r="W369" s="36" t="str">
        <f aca="false">IF(C369="","",SUM(P369:U369))</f>
        <v/>
      </c>
      <c r="X369" s="19" t="str">
        <f aca="false">IF(OR(C369="",V369=0),"",W369/V369)</f>
        <v/>
      </c>
      <c r="Y369" s="16" t="str">
        <f aca="false">IF(OR(C369="",V369=0),"",IF(W369&gt;=V369,"Sí","No"))</f>
        <v/>
      </c>
      <c r="Z369" s="9"/>
      <c r="AA369" s="9"/>
    </row>
    <row r="370" customFormat="false" ht="15" hidden="false" customHeight="false" outlineLevel="0" collapsed="false">
      <c r="A370" s="9"/>
      <c r="B370" s="9"/>
      <c r="C370" s="9"/>
      <c r="D370" s="16" t="str">
        <f aca="false">IF(C370="","",IFERROR(INDEX(LOOKAHEAD!$B$5:$B$204,MATCH(C370,LOOKAHEAD!$A$5:$A$204,0)),""))</f>
        <v/>
      </c>
      <c r="E370" s="16" t="str">
        <f aca="false">IF(C370="","",IFERROR(INDEX(LOOKAHEAD!$E$5:$E$204,MATCH(C370,LOOKAHEAD!$A$5:$A$204,0)),""))</f>
        <v/>
      </c>
      <c r="F370" s="16" t="str">
        <f aca="false">IF(C370="","",IFERROR(INDEX(LOOKAHEAD!$M$5:$M$204,MATCH(C370,LOOKAHEAD!$A$5:$A$204,0)),""))</f>
        <v/>
      </c>
      <c r="G370" s="9"/>
      <c r="H370" s="9"/>
      <c r="I370" s="16" t="str">
        <f aca="false">IF(C370="","",IFERROR(INDEX(LOOKAHEAD!$G$5:$G$204,MATCH(C370,LOOKAHEAD!$A$5:$A$204,0)),""))</f>
        <v/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36" t="str">
        <f aca="false">IF(C370="","",SUM(J370:O370))</f>
        <v/>
      </c>
      <c r="W370" s="36" t="str">
        <f aca="false">IF(C370="","",SUM(P370:U370))</f>
        <v/>
      </c>
      <c r="X370" s="19" t="str">
        <f aca="false">IF(OR(C370="",V370=0),"",W370/V370)</f>
        <v/>
      </c>
      <c r="Y370" s="16" t="str">
        <f aca="false">IF(OR(C370="",V370=0),"",IF(W370&gt;=V370,"Sí","No"))</f>
        <v/>
      </c>
      <c r="Z370" s="9"/>
      <c r="AA370" s="9"/>
    </row>
    <row r="371" customFormat="false" ht="15" hidden="false" customHeight="false" outlineLevel="0" collapsed="false">
      <c r="A371" s="9"/>
      <c r="B371" s="9"/>
      <c r="C371" s="9"/>
      <c r="D371" s="16" t="str">
        <f aca="false">IF(C371="","",IFERROR(INDEX(LOOKAHEAD!$B$5:$B$204,MATCH(C371,LOOKAHEAD!$A$5:$A$204,0)),""))</f>
        <v/>
      </c>
      <c r="E371" s="16" t="str">
        <f aca="false">IF(C371="","",IFERROR(INDEX(LOOKAHEAD!$E$5:$E$204,MATCH(C371,LOOKAHEAD!$A$5:$A$204,0)),""))</f>
        <v/>
      </c>
      <c r="F371" s="16" t="str">
        <f aca="false">IF(C371="","",IFERROR(INDEX(LOOKAHEAD!$M$5:$M$204,MATCH(C371,LOOKAHEAD!$A$5:$A$204,0)),""))</f>
        <v/>
      </c>
      <c r="G371" s="9"/>
      <c r="H371" s="9"/>
      <c r="I371" s="16" t="str">
        <f aca="false">IF(C371="","",IFERROR(INDEX(LOOKAHEAD!$G$5:$G$204,MATCH(C371,LOOKAHEAD!$A$5:$A$204,0)),""))</f>
        <v/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36" t="str">
        <f aca="false">IF(C371="","",SUM(J371:O371))</f>
        <v/>
      </c>
      <c r="W371" s="36" t="str">
        <f aca="false">IF(C371="","",SUM(P371:U371))</f>
        <v/>
      </c>
      <c r="X371" s="19" t="str">
        <f aca="false">IF(OR(C371="",V371=0),"",W371/V371)</f>
        <v/>
      </c>
      <c r="Y371" s="16" t="str">
        <f aca="false">IF(OR(C371="",V371=0),"",IF(W371&gt;=V371,"Sí","No"))</f>
        <v/>
      </c>
      <c r="Z371" s="9"/>
      <c r="AA371" s="9"/>
    </row>
    <row r="372" customFormat="false" ht="15" hidden="false" customHeight="false" outlineLevel="0" collapsed="false">
      <c r="A372" s="9"/>
      <c r="B372" s="9"/>
      <c r="C372" s="9"/>
      <c r="D372" s="16" t="str">
        <f aca="false">IF(C372="","",IFERROR(INDEX(LOOKAHEAD!$B$5:$B$204,MATCH(C372,LOOKAHEAD!$A$5:$A$204,0)),""))</f>
        <v/>
      </c>
      <c r="E372" s="16" t="str">
        <f aca="false">IF(C372="","",IFERROR(INDEX(LOOKAHEAD!$E$5:$E$204,MATCH(C372,LOOKAHEAD!$A$5:$A$204,0)),""))</f>
        <v/>
      </c>
      <c r="F372" s="16" t="str">
        <f aca="false">IF(C372="","",IFERROR(INDEX(LOOKAHEAD!$M$5:$M$204,MATCH(C372,LOOKAHEAD!$A$5:$A$204,0)),""))</f>
        <v/>
      </c>
      <c r="G372" s="9"/>
      <c r="H372" s="9"/>
      <c r="I372" s="16" t="str">
        <f aca="false">IF(C372="","",IFERROR(INDEX(LOOKAHEAD!$G$5:$G$204,MATCH(C372,LOOKAHEAD!$A$5:$A$204,0)),""))</f>
        <v/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36" t="str">
        <f aca="false">IF(C372="","",SUM(J372:O372))</f>
        <v/>
      </c>
      <c r="W372" s="36" t="str">
        <f aca="false">IF(C372="","",SUM(P372:U372))</f>
        <v/>
      </c>
      <c r="X372" s="19" t="str">
        <f aca="false">IF(OR(C372="",V372=0),"",W372/V372)</f>
        <v/>
      </c>
      <c r="Y372" s="16" t="str">
        <f aca="false">IF(OR(C372="",V372=0),"",IF(W372&gt;=V372,"Sí","No"))</f>
        <v/>
      </c>
      <c r="Z372" s="9"/>
      <c r="AA372" s="9"/>
    </row>
    <row r="373" customFormat="false" ht="15" hidden="false" customHeight="false" outlineLevel="0" collapsed="false">
      <c r="A373" s="9"/>
      <c r="B373" s="9"/>
      <c r="C373" s="9"/>
      <c r="D373" s="16" t="str">
        <f aca="false">IF(C373="","",IFERROR(INDEX(LOOKAHEAD!$B$5:$B$204,MATCH(C373,LOOKAHEAD!$A$5:$A$204,0)),""))</f>
        <v/>
      </c>
      <c r="E373" s="16" t="str">
        <f aca="false">IF(C373="","",IFERROR(INDEX(LOOKAHEAD!$E$5:$E$204,MATCH(C373,LOOKAHEAD!$A$5:$A$204,0)),""))</f>
        <v/>
      </c>
      <c r="F373" s="16" t="str">
        <f aca="false">IF(C373="","",IFERROR(INDEX(LOOKAHEAD!$M$5:$M$204,MATCH(C373,LOOKAHEAD!$A$5:$A$204,0)),""))</f>
        <v/>
      </c>
      <c r="G373" s="9"/>
      <c r="H373" s="9"/>
      <c r="I373" s="16" t="str">
        <f aca="false">IF(C373="","",IFERROR(INDEX(LOOKAHEAD!$G$5:$G$204,MATCH(C373,LOOKAHEAD!$A$5:$A$204,0)),""))</f>
        <v/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36" t="str">
        <f aca="false">IF(C373="","",SUM(J373:O373))</f>
        <v/>
      </c>
      <c r="W373" s="36" t="str">
        <f aca="false">IF(C373="","",SUM(P373:U373))</f>
        <v/>
      </c>
      <c r="X373" s="19" t="str">
        <f aca="false">IF(OR(C373="",V373=0),"",W373/V373)</f>
        <v/>
      </c>
      <c r="Y373" s="16" t="str">
        <f aca="false">IF(OR(C373="",V373=0),"",IF(W373&gt;=V373,"Sí","No"))</f>
        <v/>
      </c>
      <c r="Z373" s="9"/>
      <c r="AA373" s="9"/>
    </row>
    <row r="374" customFormat="false" ht="15" hidden="false" customHeight="false" outlineLevel="0" collapsed="false">
      <c r="A374" s="9"/>
      <c r="B374" s="9"/>
      <c r="C374" s="9"/>
      <c r="D374" s="16" t="str">
        <f aca="false">IF(C374="","",IFERROR(INDEX(LOOKAHEAD!$B$5:$B$204,MATCH(C374,LOOKAHEAD!$A$5:$A$204,0)),""))</f>
        <v/>
      </c>
      <c r="E374" s="16" t="str">
        <f aca="false">IF(C374="","",IFERROR(INDEX(LOOKAHEAD!$E$5:$E$204,MATCH(C374,LOOKAHEAD!$A$5:$A$204,0)),""))</f>
        <v/>
      </c>
      <c r="F374" s="16" t="str">
        <f aca="false">IF(C374="","",IFERROR(INDEX(LOOKAHEAD!$M$5:$M$204,MATCH(C374,LOOKAHEAD!$A$5:$A$204,0)),""))</f>
        <v/>
      </c>
      <c r="G374" s="9"/>
      <c r="H374" s="9"/>
      <c r="I374" s="16" t="str">
        <f aca="false">IF(C374="","",IFERROR(INDEX(LOOKAHEAD!$G$5:$G$204,MATCH(C374,LOOKAHEAD!$A$5:$A$204,0)),""))</f>
        <v/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36" t="str">
        <f aca="false">IF(C374="","",SUM(J374:O374))</f>
        <v/>
      </c>
      <c r="W374" s="36" t="str">
        <f aca="false">IF(C374="","",SUM(P374:U374))</f>
        <v/>
      </c>
      <c r="X374" s="19" t="str">
        <f aca="false">IF(OR(C374="",V374=0),"",W374/V374)</f>
        <v/>
      </c>
      <c r="Y374" s="16" t="str">
        <f aca="false">IF(OR(C374="",V374=0),"",IF(W374&gt;=V374,"Sí","No"))</f>
        <v/>
      </c>
      <c r="Z374" s="9"/>
      <c r="AA374" s="9"/>
    </row>
    <row r="375" customFormat="false" ht="15" hidden="false" customHeight="false" outlineLevel="0" collapsed="false">
      <c r="A375" s="9"/>
      <c r="B375" s="9"/>
      <c r="C375" s="9"/>
      <c r="D375" s="16" t="str">
        <f aca="false">IF(C375="","",IFERROR(INDEX(LOOKAHEAD!$B$5:$B$204,MATCH(C375,LOOKAHEAD!$A$5:$A$204,0)),""))</f>
        <v/>
      </c>
      <c r="E375" s="16" t="str">
        <f aca="false">IF(C375="","",IFERROR(INDEX(LOOKAHEAD!$E$5:$E$204,MATCH(C375,LOOKAHEAD!$A$5:$A$204,0)),""))</f>
        <v/>
      </c>
      <c r="F375" s="16" t="str">
        <f aca="false">IF(C375="","",IFERROR(INDEX(LOOKAHEAD!$M$5:$M$204,MATCH(C375,LOOKAHEAD!$A$5:$A$204,0)),""))</f>
        <v/>
      </c>
      <c r="G375" s="9"/>
      <c r="H375" s="9"/>
      <c r="I375" s="16" t="str">
        <f aca="false">IF(C375="","",IFERROR(INDEX(LOOKAHEAD!$G$5:$G$204,MATCH(C375,LOOKAHEAD!$A$5:$A$204,0)),""))</f>
        <v/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36" t="str">
        <f aca="false">IF(C375="","",SUM(J375:O375))</f>
        <v/>
      </c>
      <c r="W375" s="36" t="str">
        <f aca="false">IF(C375="","",SUM(P375:U375))</f>
        <v/>
      </c>
      <c r="X375" s="19" t="str">
        <f aca="false">IF(OR(C375="",V375=0),"",W375/V375)</f>
        <v/>
      </c>
      <c r="Y375" s="16" t="str">
        <f aca="false">IF(OR(C375="",V375=0),"",IF(W375&gt;=V375,"Sí","No"))</f>
        <v/>
      </c>
      <c r="Z375" s="9"/>
      <c r="AA375" s="9"/>
    </row>
    <row r="376" customFormat="false" ht="15" hidden="false" customHeight="false" outlineLevel="0" collapsed="false">
      <c r="A376" s="9"/>
      <c r="B376" s="9"/>
      <c r="C376" s="9"/>
      <c r="D376" s="16" t="str">
        <f aca="false">IF(C376="","",IFERROR(INDEX(LOOKAHEAD!$B$5:$B$204,MATCH(C376,LOOKAHEAD!$A$5:$A$204,0)),""))</f>
        <v/>
      </c>
      <c r="E376" s="16" t="str">
        <f aca="false">IF(C376="","",IFERROR(INDEX(LOOKAHEAD!$E$5:$E$204,MATCH(C376,LOOKAHEAD!$A$5:$A$204,0)),""))</f>
        <v/>
      </c>
      <c r="F376" s="16" t="str">
        <f aca="false">IF(C376="","",IFERROR(INDEX(LOOKAHEAD!$M$5:$M$204,MATCH(C376,LOOKAHEAD!$A$5:$A$204,0)),""))</f>
        <v/>
      </c>
      <c r="G376" s="9"/>
      <c r="H376" s="9"/>
      <c r="I376" s="16" t="str">
        <f aca="false">IF(C376="","",IFERROR(INDEX(LOOKAHEAD!$G$5:$G$204,MATCH(C376,LOOKAHEAD!$A$5:$A$204,0)),""))</f>
        <v/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36" t="str">
        <f aca="false">IF(C376="","",SUM(J376:O376))</f>
        <v/>
      </c>
      <c r="W376" s="36" t="str">
        <f aca="false">IF(C376="","",SUM(P376:U376))</f>
        <v/>
      </c>
      <c r="X376" s="19" t="str">
        <f aca="false">IF(OR(C376="",V376=0),"",W376/V376)</f>
        <v/>
      </c>
      <c r="Y376" s="16" t="str">
        <f aca="false">IF(OR(C376="",V376=0),"",IF(W376&gt;=V376,"Sí","No"))</f>
        <v/>
      </c>
      <c r="Z376" s="9"/>
      <c r="AA376" s="9"/>
    </row>
    <row r="377" customFormat="false" ht="15" hidden="false" customHeight="false" outlineLevel="0" collapsed="false">
      <c r="A377" s="9"/>
      <c r="B377" s="9"/>
      <c r="C377" s="9"/>
      <c r="D377" s="16" t="str">
        <f aca="false">IF(C377="","",IFERROR(INDEX(LOOKAHEAD!$B$5:$B$204,MATCH(C377,LOOKAHEAD!$A$5:$A$204,0)),""))</f>
        <v/>
      </c>
      <c r="E377" s="16" t="str">
        <f aca="false">IF(C377="","",IFERROR(INDEX(LOOKAHEAD!$E$5:$E$204,MATCH(C377,LOOKAHEAD!$A$5:$A$204,0)),""))</f>
        <v/>
      </c>
      <c r="F377" s="16" t="str">
        <f aca="false">IF(C377="","",IFERROR(INDEX(LOOKAHEAD!$M$5:$M$204,MATCH(C377,LOOKAHEAD!$A$5:$A$204,0)),""))</f>
        <v/>
      </c>
      <c r="G377" s="9"/>
      <c r="H377" s="9"/>
      <c r="I377" s="16" t="str">
        <f aca="false">IF(C377="","",IFERROR(INDEX(LOOKAHEAD!$G$5:$G$204,MATCH(C377,LOOKAHEAD!$A$5:$A$204,0)),""))</f>
        <v/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36" t="str">
        <f aca="false">IF(C377="","",SUM(J377:O377))</f>
        <v/>
      </c>
      <c r="W377" s="36" t="str">
        <f aca="false">IF(C377="","",SUM(P377:U377))</f>
        <v/>
      </c>
      <c r="X377" s="19" t="str">
        <f aca="false">IF(OR(C377="",V377=0),"",W377/V377)</f>
        <v/>
      </c>
      <c r="Y377" s="16" t="str">
        <f aca="false">IF(OR(C377="",V377=0),"",IF(W377&gt;=V377,"Sí","No"))</f>
        <v/>
      </c>
      <c r="Z377" s="9"/>
      <c r="AA377" s="9"/>
    </row>
    <row r="378" customFormat="false" ht="15" hidden="false" customHeight="false" outlineLevel="0" collapsed="false">
      <c r="A378" s="9"/>
      <c r="B378" s="9"/>
      <c r="C378" s="9"/>
      <c r="D378" s="16" t="str">
        <f aca="false">IF(C378="","",IFERROR(INDEX(LOOKAHEAD!$B$5:$B$204,MATCH(C378,LOOKAHEAD!$A$5:$A$204,0)),""))</f>
        <v/>
      </c>
      <c r="E378" s="16" t="str">
        <f aca="false">IF(C378="","",IFERROR(INDEX(LOOKAHEAD!$E$5:$E$204,MATCH(C378,LOOKAHEAD!$A$5:$A$204,0)),""))</f>
        <v/>
      </c>
      <c r="F378" s="16" t="str">
        <f aca="false">IF(C378="","",IFERROR(INDEX(LOOKAHEAD!$M$5:$M$204,MATCH(C378,LOOKAHEAD!$A$5:$A$204,0)),""))</f>
        <v/>
      </c>
      <c r="G378" s="9"/>
      <c r="H378" s="9"/>
      <c r="I378" s="16" t="str">
        <f aca="false">IF(C378="","",IFERROR(INDEX(LOOKAHEAD!$G$5:$G$204,MATCH(C378,LOOKAHEAD!$A$5:$A$204,0)),""))</f>
        <v/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36" t="str">
        <f aca="false">IF(C378="","",SUM(J378:O378))</f>
        <v/>
      </c>
      <c r="W378" s="36" t="str">
        <f aca="false">IF(C378="","",SUM(P378:U378))</f>
        <v/>
      </c>
      <c r="X378" s="19" t="str">
        <f aca="false">IF(OR(C378="",V378=0),"",W378/V378)</f>
        <v/>
      </c>
      <c r="Y378" s="16" t="str">
        <f aca="false">IF(OR(C378="",V378=0),"",IF(W378&gt;=V378,"Sí","No"))</f>
        <v/>
      </c>
      <c r="Z378" s="9"/>
      <c r="AA378" s="9"/>
    </row>
    <row r="379" customFormat="false" ht="15" hidden="false" customHeight="false" outlineLevel="0" collapsed="false">
      <c r="A379" s="9"/>
      <c r="B379" s="9"/>
      <c r="C379" s="9"/>
      <c r="D379" s="16" t="str">
        <f aca="false">IF(C379="","",IFERROR(INDEX(LOOKAHEAD!$B$5:$B$204,MATCH(C379,LOOKAHEAD!$A$5:$A$204,0)),""))</f>
        <v/>
      </c>
      <c r="E379" s="16" t="str">
        <f aca="false">IF(C379="","",IFERROR(INDEX(LOOKAHEAD!$E$5:$E$204,MATCH(C379,LOOKAHEAD!$A$5:$A$204,0)),""))</f>
        <v/>
      </c>
      <c r="F379" s="16" t="str">
        <f aca="false">IF(C379="","",IFERROR(INDEX(LOOKAHEAD!$M$5:$M$204,MATCH(C379,LOOKAHEAD!$A$5:$A$204,0)),""))</f>
        <v/>
      </c>
      <c r="G379" s="9"/>
      <c r="H379" s="9"/>
      <c r="I379" s="16" t="str">
        <f aca="false">IF(C379="","",IFERROR(INDEX(LOOKAHEAD!$G$5:$G$204,MATCH(C379,LOOKAHEAD!$A$5:$A$204,0)),""))</f>
        <v/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36" t="str">
        <f aca="false">IF(C379="","",SUM(J379:O379))</f>
        <v/>
      </c>
      <c r="W379" s="36" t="str">
        <f aca="false">IF(C379="","",SUM(P379:U379))</f>
        <v/>
      </c>
      <c r="X379" s="19" t="str">
        <f aca="false">IF(OR(C379="",V379=0),"",W379/V379)</f>
        <v/>
      </c>
      <c r="Y379" s="16" t="str">
        <f aca="false">IF(OR(C379="",V379=0),"",IF(W379&gt;=V379,"Sí","No"))</f>
        <v/>
      </c>
      <c r="Z379" s="9"/>
      <c r="AA379" s="9"/>
    </row>
    <row r="380" customFormat="false" ht="15" hidden="false" customHeight="false" outlineLevel="0" collapsed="false">
      <c r="A380" s="9"/>
      <c r="B380" s="9"/>
      <c r="C380" s="9"/>
      <c r="D380" s="16" t="str">
        <f aca="false">IF(C380="","",IFERROR(INDEX(LOOKAHEAD!$B$5:$B$204,MATCH(C380,LOOKAHEAD!$A$5:$A$204,0)),""))</f>
        <v/>
      </c>
      <c r="E380" s="16" t="str">
        <f aca="false">IF(C380="","",IFERROR(INDEX(LOOKAHEAD!$E$5:$E$204,MATCH(C380,LOOKAHEAD!$A$5:$A$204,0)),""))</f>
        <v/>
      </c>
      <c r="F380" s="16" t="str">
        <f aca="false">IF(C380="","",IFERROR(INDEX(LOOKAHEAD!$M$5:$M$204,MATCH(C380,LOOKAHEAD!$A$5:$A$204,0)),""))</f>
        <v/>
      </c>
      <c r="G380" s="9"/>
      <c r="H380" s="9"/>
      <c r="I380" s="16" t="str">
        <f aca="false">IF(C380="","",IFERROR(INDEX(LOOKAHEAD!$G$5:$G$204,MATCH(C380,LOOKAHEAD!$A$5:$A$204,0)),""))</f>
        <v/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36" t="str">
        <f aca="false">IF(C380="","",SUM(J380:O380))</f>
        <v/>
      </c>
      <c r="W380" s="36" t="str">
        <f aca="false">IF(C380="","",SUM(P380:U380))</f>
        <v/>
      </c>
      <c r="X380" s="19" t="str">
        <f aca="false">IF(OR(C380="",V380=0),"",W380/V380)</f>
        <v/>
      </c>
      <c r="Y380" s="16" t="str">
        <f aca="false">IF(OR(C380="",V380=0),"",IF(W380&gt;=V380,"Sí","No"))</f>
        <v/>
      </c>
      <c r="Z380" s="9"/>
      <c r="AA380" s="9"/>
    </row>
    <row r="381" customFormat="false" ht="15" hidden="false" customHeight="false" outlineLevel="0" collapsed="false">
      <c r="A381" s="9"/>
      <c r="B381" s="9"/>
      <c r="C381" s="9"/>
      <c r="D381" s="16" t="str">
        <f aca="false">IF(C381="","",IFERROR(INDEX(LOOKAHEAD!$B$5:$B$204,MATCH(C381,LOOKAHEAD!$A$5:$A$204,0)),""))</f>
        <v/>
      </c>
      <c r="E381" s="16" t="str">
        <f aca="false">IF(C381="","",IFERROR(INDEX(LOOKAHEAD!$E$5:$E$204,MATCH(C381,LOOKAHEAD!$A$5:$A$204,0)),""))</f>
        <v/>
      </c>
      <c r="F381" s="16" t="str">
        <f aca="false">IF(C381="","",IFERROR(INDEX(LOOKAHEAD!$M$5:$M$204,MATCH(C381,LOOKAHEAD!$A$5:$A$204,0)),""))</f>
        <v/>
      </c>
      <c r="G381" s="9"/>
      <c r="H381" s="9"/>
      <c r="I381" s="16" t="str">
        <f aca="false">IF(C381="","",IFERROR(INDEX(LOOKAHEAD!$G$5:$G$204,MATCH(C381,LOOKAHEAD!$A$5:$A$204,0)),""))</f>
        <v/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36" t="str">
        <f aca="false">IF(C381="","",SUM(J381:O381))</f>
        <v/>
      </c>
      <c r="W381" s="36" t="str">
        <f aca="false">IF(C381="","",SUM(P381:U381))</f>
        <v/>
      </c>
      <c r="X381" s="19" t="str">
        <f aca="false">IF(OR(C381="",V381=0),"",W381/V381)</f>
        <v/>
      </c>
      <c r="Y381" s="16" t="str">
        <f aca="false">IF(OR(C381="",V381=0),"",IF(W381&gt;=V381,"Sí","No"))</f>
        <v/>
      </c>
      <c r="Z381" s="9"/>
      <c r="AA381" s="9"/>
    </row>
    <row r="382" customFormat="false" ht="15" hidden="false" customHeight="false" outlineLevel="0" collapsed="false">
      <c r="A382" s="9"/>
      <c r="B382" s="9"/>
      <c r="C382" s="9"/>
      <c r="D382" s="16" t="str">
        <f aca="false">IF(C382="","",IFERROR(INDEX(LOOKAHEAD!$B$5:$B$204,MATCH(C382,LOOKAHEAD!$A$5:$A$204,0)),""))</f>
        <v/>
      </c>
      <c r="E382" s="16" t="str">
        <f aca="false">IF(C382="","",IFERROR(INDEX(LOOKAHEAD!$E$5:$E$204,MATCH(C382,LOOKAHEAD!$A$5:$A$204,0)),""))</f>
        <v/>
      </c>
      <c r="F382" s="16" t="str">
        <f aca="false">IF(C382="","",IFERROR(INDEX(LOOKAHEAD!$M$5:$M$204,MATCH(C382,LOOKAHEAD!$A$5:$A$204,0)),""))</f>
        <v/>
      </c>
      <c r="G382" s="9"/>
      <c r="H382" s="9"/>
      <c r="I382" s="16" t="str">
        <f aca="false">IF(C382="","",IFERROR(INDEX(LOOKAHEAD!$G$5:$G$204,MATCH(C382,LOOKAHEAD!$A$5:$A$204,0)),""))</f>
        <v/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36" t="str">
        <f aca="false">IF(C382="","",SUM(J382:O382))</f>
        <v/>
      </c>
      <c r="W382" s="36" t="str">
        <f aca="false">IF(C382="","",SUM(P382:U382))</f>
        <v/>
      </c>
      <c r="X382" s="19" t="str">
        <f aca="false">IF(OR(C382="",V382=0),"",W382/V382)</f>
        <v/>
      </c>
      <c r="Y382" s="16" t="str">
        <f aca="false">IF(OR(C382="",V382=0),"",IF(W382&gt;=V382,"Sí","No"))</f>
        <v/>
      </c>
      <c r="Z382" s="9"/>
      <c r="AA382" s="9"/>
    </row>
    <row r="383" customFormat="false" ht="15" hidden="false" customHeight="false" outlineLevel="0" collapsed="false">
      <c r="A383" s="9"/>
      <c r="B383" s="9"/>
      <c r="C383" s="9"/>
      <c r="D383" s="16" t="str">
        <f aca="false">IF(C383="","",IFERROR(INDEX(LOOKAHEAD!$B$5:$B$204,MATCH(C383,LOOKAHEAD!$A$5:$A$204,0)),""))</f>
        <v/>
      </c>
      <c r="E383" s="16" t="str">
        <f aca="false">IF(C383="","",IFERROR(INDEX(LOOKAHEAD!$E$5:$E$204,MATCH(C383,LOOKAHEAD!$A$5:$A$204,0)),""))</f>
        <v/>
      </c>
      <c r="F383" s="16" t="str">
        <f aca="false">IF(C383="","",IFERROR(INDEX(LOOKAHEAD!$M$5:$M$204,MATCH(C383,LOOKAHEAD!$A$5:$A$204,0)),""))</f>
        <v/>
      </c>
      <c r="G383" s="9"/>
      <c r="H383" s="9"/>
      <c r="I383" s="16" t="str">
        <f aca="false">IF(C383="","",IFERROR(INDEX(LOOKAHEAD!$G$5:$G$204,MATCH(C383,LOOKAHEAD!$A$5:$A$204,0)),""))</f>
        <v/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36" t="str">
        <f aca="false">IF(C383="","",SUM(J383:O383))</f>
        <v/>
      </c>
      <c r="W383" s="36" t="str">
        <f aca="false">IF(C383="","",SUM(P383:U383))</f>
        <v/>
      </c>
      <c r="X383" s="19" t="str">
        <f aca="false">IF(OR(C383="",V383=0),"",W383/V383)</f>
        <v/>
      </c>
      <c r="Y383" s="16" t="str">
        <f aca="false">IF(OR(C383="",V383=0),"",IF(W383&gt;=V383,"Sí","No"))</f>
        <v/>
      </c>
      <c r="Z383" s="9"/>
      <c r="AA383" s="9"/>
    </row>
    <row r="384" customFormat="false" ht="15" hidden="false" customHeight="false" outlineLevel="0" collapsed="false">
      <c r="A384" s="9"/>
      <c r="B384" s="9"/>
      <c r="C384" s="9"/>
      <c r="D384" s="16" t="str">
        <f aca="false">IF(C384="","",IFERROR(INDEX(LOOKAHEAD!$B$5:$B$204,MATCH(C384,LOOKAHEAD!$A$5:$A$204,0)),""))</f>
        <v/>
      </c>
      <c r="E384" s="16" t="str">
        <f aca="false">IF(C384="","",IFERROR(INDEX(LOOKAHEAD!$E$5:$E$204,MATCH(C384,LOOKAHEAD!$A$5:$A$204,0)),""))</f>
        <v/>
      </c>
      <c r="F384" s="16" t="str">
        <f aca="false">IF(C384="","",IFERROR(INDEX(LOOKAHEAD!$M$5:$M$204,MATCH(C384,LOOKAHEAD!$A$5:$A$204,0)),""))</f>
        <v/>
      </c>
      <c r="G384" s="9"/>
      <c r="H384" s="9"/>
      <c r="I384" s="16" t="str">
        <f aca="false">IF(C384="","",IFERROR(INDEX(LOOKAHEAD!$G$5:$G$204,MATCH(C384,LOOKAHEAD!$A$5:$A$204,0)),""))</f>
        <v/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36" t="str">
        <f aca="false">IF(C384="","",SUM(J384:O384))</f>
        <v/>
      </c>
      <c r="W384" s="36" t="str">
        <f aca="false">IF(C384="","",SUM(P384:U384))</f>
        <v/>
      </c>
      <c r="X384" s="19" t="str">
        <f aca="false">IF(OR(C384="",V384=0),"",W384/V384)</f>
        <v/>
      </c>
      <c r="Y384" s="16" t="str">
        <f aca="false">IF(OR(C384="",V384=0),"",IF(W384&gt;=V384,"Sí","No"))</f>
        <v/>
      </c>
      <c r="Z384" s="9"/>
      <c r="AA384" s="9"/>
    </row>
    <row r="385" customFormat="false" ht="15" hidden="false" customHeight="false" outlineLevel="0" collapsed="false">
      <c r="A385" s="9"/>
      <c r="B385" s="9"/>
      <c r="C385" s="9"/>
      <c r="D385" s="16" t="str">
        <f aca="false">IF(C385="","",IFERROR(INDEX(LOOKAHEAD!$B$5:$B$204,MATCH(C385,LOOKAHEAD!$A$5:$A$204,0)),""))</f>
        <v/>
      </c>
      <c r="E385" s="16" t="str">
        <f aca="false">IF(C385="","",IFERROR(INDEX(LOOKAHEAD!$E$5:$E$204,MATCH(C385,LOOKAHEAD!$A$5:$A$204,0)),""))</f>
        <v/>
      </c>
      <c r="F385" s="16" t="str">
        <f aca="false">IF(C385="","",IFERROR(INDEX(LOOKAHEAD!$M$5:$M$204,MATCH(C385,LOOKAHEAD!$A$5:$A$204,0)),""))</f>
        <v/>
      </c>
      <c r="G385" s="9"/>
      <c r="H385" s="9"/>
      <c r="I385" s="16" t="str">
        <f aca="false">IF(C385="","",IFERROR(INDEX(LOOKAHEAD!$G$5:$G$204,MATCH(C385,LOOKAHEAD!$A$5:$A$204,0)),""))</f>
        <v/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36" t="str">
        <f aca="false">IF(C385="","",SUM(J385:O385))</f>
        <v/>
      </c>
      <c r="W385" s="36" t="str">
        <f aca="false">IF(C385="","",SUM(P385:U385))</f>
        <v/>
      </c>
      <c r="X385" s="19" t="str">
        <f aca="false">IF(OR(C385="",V385=0),"",W385/V385)</f>
        <v/>
      </c>
      <c r="Y385" s="16" t="str">
        <f aca="false">IF(OR(C385="",V385=0),"",IF(W385&gt;=V385,"Sí","No"))</f>
        <v/>
      </c>
      <c r="Z385" s="9"/>
      <c r="AA385" s="9"/>
    </row>
    <row r="386" customFormat="false" ht="15" hidden="false" customHeight="false" outlineLevel="0" collapsed="false">
      <c r="A386" s="9"/>
      <c r="B386" s="9"/>
      <c r="C386" s="9"/>
      <c r="D386" s="16" t="str">
        <f aca="false">IF(C386="","",IFERROR(INDEX(LOOKAHEAD!$B$5:$B$204,MATCH(C386,LOOKAHEAD!$A$5:$A$204,0)),""))</f>
        <v/>
      </c>
      <c r="E386" s="16" t="str">
        <f aca="false">IF(C386="","",IFERROR(INDEX(LOOKAHEAD!$E$5:$E$204,MATCH(C386,LOOKAHEAD!$A$5:$A$204,0)),""))</f>
        <v/>
      </c>
      <c r="F386" s="16" t="str">
        <f aca="false">IF(C386="","",IFERROR(INDEX(LOOKAHEAD!$M$5:$M$204,MATCH(C386,LOOKAHEAD!$A$5:$A$204,0)),""))</f>
        <v/>
      </c>
      <c r="G386" s="9"/>
      <c r="H386" s="9"/>
      <c r="I386" s="16" t="str">
        <f aca="false">IF(C386="","",IFERROR(INDEX(LOOKAHEAD!$G$5:$G$204,MATCH(C386,LOOKAHEAD!$A$5:$A$204,0)),""))</f>
        <v/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36" t="str">
        <f aca="false">IF(C386="","",SUM(J386:O386))</f>
        <v/>
      </c>
      <c r="W386" s="36" t="str">
        <f aca="false">IF(C386="","",SUM(P386:U386))</f>
        <v/>
      </c>
      <c r="X386" s="19" t="str">
        <f aca="false">IF(OR(C386="",V386=0),"",W386/V386)</f>
        <v/>
      </c>
      <c r="Y386" s="16" t="str">
        <f aca="false">IF(OR(C386="",V386=0),"",IF(W386&gt;=V386,"Sí","No"))</f>
        <v/>
      </c>
      <c r="Z386" s="9"/>
      <c r="AA386" s="9"/>
    </row>
    <row r="387" customFormat="false" ht="15" hidden="false" customHeight="false" outlineLevel="0" collapsed="false">
      <c r="A387" s="9"/>
      <c r="B387" s="9"/>
      <c r="C387" s="9"/>
      <c r="D387" s="16" t="str">
        <f aca="false">IF(C387="","",IFERROR(INDEX(LOOKAHEAD!$B$5:$B$204,MATCH(C387,LOOKAHEAD!$A$5:$A$204,0)),""))</f>
        <v/>
      </c>
      <c r="E387" s="16" t="str">
        <f aca="false">IF(C387="","",IFERROR(INDEX(LOOKAHEAD!$E$5:$E$204,MATCH(C387,LOOKAHEAD!$A$5:$A$204,0)),""))</f>
        <v/>
      </c>
      <c r="F387" s="16" t="str">
        <f aca="false">IF(C387="","",IFERROR(INDEX(LOOKAHEAD!$M$5:$M$204,MATCH(C387,LOOKAHEAD!$A$5:$A$204,0)),""))</f>
        <v/>
      </c>
      <c r="G387" s="9"/>
      <c r="H387" s="9"/>
      <c r="I387" s="16" t="str">
        <f aca="false">IF(C387="","",IFERROR(INDEX(LOOKAHEAD!$G$5:$G$204,MATCH(C387,LOOKAHEAD!$A$5:$A$204,0)),""))</f>
        <v/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36" t="str">
        <f aca="false">IF(C387="","",SUM(J387:O387))</f>
        <v/>
      </c>
      <c r="W387" s="36" t="str">
        <f aca="false">IF(C387="","",SUM(P387:U387))</f>
        <v/>
      </c>
      <c r="X387" s="19" t="str">
        <f aca="false">IF(OR(C387="",V387=0),"",W387/V387)</f>
        <v/>
      </c>
      <c r="Y387" s="16" t="str">
        <f aca="false">IF(OR(C387="",V387=0),"",IF(W387&gt;=V387,"Sí","No"))</f>
        <v/>
      </c>
      <c r="Z387" s="9"/>
      <c r="AA387" s="9"/>
    </row>
    <row r="388" customFormat="false" ht="15" hidden="false" customHeight="false" outlineLevel="0" collapsed="false">
      <c r="A388" s="9"/>
      <c r="B388" s="9"/>
      <c r="C388" s="9"/>
      <c r="D388" s="16" t="str">
        <f aca="false">IF(C388="","",IFERROR(INDEX(LOOKAHEAD!$B$5:$B$204,MATCH(C388,LOOKAHEAD!$A$5:$A$204,0)),""))</f>
        <v/>
      </c>
      <c r="E388" s="16" t="str">
        <f aca="false">IF(C388="","",IFERROR(INDEX(LOOKAHEAD!$E$5:$E$204,MATCH(C388,LOOKAHEAD!$A$5:$A$204,0)),""))</f>
        <v/>
      </c>
      <c r="F388" s="16" t="str">
        <f aca="false">IF(C388="","",IFERROR(INDEX(LOOKAHEAD!$M$5:$M$204,MATCH(C388,LOOKAHEAD!$A$5:$A$204,0)),""))</f>
        <v/>
      </c>
      <c r="G388" s="9"/>
      <c r="H388" s="9"/>
      <c r="I388" s="16" t="str">
        <f aca="false">IF(C388="","",IFERROR(INDEX(LOOKAHEAD!$G$5:$G$204,MATCH(C388,LOOKAHEAD!$A$5:$A$204,0)),""))</f>
        <v/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36" t="str">
        <f aca="false">IF(C388="","",SUM(J388:O388))</f>
        <v/>
      </c>
      <c r="W388" s="36" t="str">
        <f aca="false">IF(C388="","",SUM(P388:U388))</f>
        <v/>
      </c>
      <c r="X388" s="19" t="str">
        <f aca="false">IF(OR(C388="",V388=0),"",W388/V388)</f>
        <v/>
      </c>
      <c r="Y388" s="16" t="str">
        <f aca="false">IF(OR(C388="",V388=0),"",IF(W388&gt;=V388,"Sí","No"))</f>
        <v/>
      </c>
      <c r="Z388" s="9"/>
      <c r="AA388" s="9"/>
    </row>
    <row r="389" customFormat="false" ht="15" hidden="false" customHeight="false" outlineLevel="0" collapsed="false">
      <c r="A389" s="9"/>
      <c r="B389" s="9"/>
      <c r="C389" s="9"/>
      <c r="D389" s="16" t="str">
        <f aca="false">IF(C389="","",IFERROR(INDEX(LOOKAHEAD!$B$5:$B$204,MATCH(C389,LOOKAHEAD!$A$5:$A$204,0)),""))</f>
        <v/>
      </c>
      <c r="E389" s="16" t="str">
        <f aca="false">IF(C389="","",IFERROR(INDEX(LOOKAHEAD!$E$5:$E$204,MATCH(C389,LOOKAHEAD!$A$5:$A$204,0)),""))</f>
        <v/>
      </c>
      <c r="F389" s="16" t="str">
        <f aca="false">IF(C389="","",IFERROR(INDEX(LOOKAHEAD!$M$5:$M$204,MATCH(C389,LOOKAHEAD!$A$5:$A$204,0)),""))</f>
        <v/>
      </c>
      <c r="G389" s="9"/>
      <c r="H389" s="9"/>
      <c r="I389" s="16" t="str">
        <f aca="false">IF(C389="","",IFERROR(INDEX(LOOKAHEAD!$G$5:$G$204,MATCH(C389,LOOKAHEAD!$A$5:$A$204,0)),""))</f>
        <v/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36" t="str">
        <f aca="false">IF(C389="","",SUM(J389:O389))</f>
        <v/>
      </c>
      <c r="W389" s="36" t="str">
        <f aca="false">IF(C389="","",SUM(P389:U389))</f>
        <v/>
      </c>
      <c r="X389" s="19" t="str">
        <f aca="false">IF(OR(C389="",V389=0),"",W389/V389)</f>
        <v/>
      </c>
      <c r="Y389" s="16" t="str">
        <f aca="false">IF(OR(C389="",V389=0),"",IF(W389&gt;=V389,"Sí","No"))</f>
        <v/>
      </c>
      <c r="Z389" s="9"/>
      <c r="AA389" s="9"/>
    </row>
    <row r="390" customFormat="false" ht="15" hidden="false" customHeight="false" outlineLevel="0" collapsed="false">
      <c r="A390" s="9"/>
      <c r="B390" s="9"/>
      <c r="C390" s="9"/>
      <c r="D390" s="16" t="str">
        <f aca="false">IF(C390="","",IFERROR(INDEX(LOOKAHEAD!$B$5:$B$204,MATCH(C390,LOOKAHEAD!$A$5:$A$204,0)),""))</f>
        <v/>
      </c>
      <c r="E390" s="16" t="str">
        <f aca="false">IF(C390="","",IFERROR(INDEX(LOOKAHEAD!$E$5:$E$204,MATCH(C390,LOOKAHEAD!$A$5:$A$204,0)),""))</f>
        <v/>
      </c>
      <c r="F390" s="16" t="str">
        <f aca="false">IF(C390="","",IFERROR(INDEX(LOOKAHEAD!$M$5:$M$204,MATCH(C390,LOOKAHEAD!$A$5:$A$204,0)),""))</f>
        <v/>
      </c>
      <c r="G390" s="9"/>
      <c r="H390" s="9"/>
      <c r="I390" s="16" t="str">
        <f aca="false">IF(C390="","",IFERROR(INDEX(LOOKAHEAD!$G$5:$G$204,MATCH(C390,LOOKAHEAD!$A$5:$A$204,0)),""))</f>
        <v/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36" t="str">
        <f aca="false">IF(C390="","",SUM(J390:O390))</f>
        <v/>
      </c>
      <c r="W390" s="36" t="str">
        <f aca="false">IF(C390="","",SUM(P390:U390))</f>
        <v/>
      </c>
      <c r="X390" s="19" t="str">
        <f aca="false">IF(OR(C390="",V390=0),"",W390/V390)</f>
        <v/>
      </c>
      <c r="Y390" s="16" t="str">
        <f aca="false">IF(OR(C390="",V390=0),"",IF(W390&gt;=V390,"Sí","No"))</f>
        <v/>
      </c>
      <c r="Z390" s="9"/>
      <c r="AA390" s="9"/>
    </row>
    <row r="391" customFormat="false" ht="15" hidden="false" customHeight="false" outlineLevel="0" collapsed="false">
      <c r="A391" s="9"/>
      <c r="B391" s="9"/>
      <c r="C391" s="9"/>
      <c r="D391" s="16" t="str">
        <f aca="false">IF(C391="","",IFERROR(INDEX(LOOKAHEAD!$B$5:$B$204,MATCH(C391,LOOKAHEAD!$A$5:$A$204,0)),""))</f>
        <v/>
      </c>
      <c r="E391" s="16" t="str">
        <f aca="false">IF(C391="","",IFERROR(INDEX(LOOKAHEAD!$E$5:$E$204,MATCH(C391,LOOKAHEAD!$A$5:$A$204,0)),""))</f>
        <v/>
      </c>
      <c r="F391" s="16" t="str">
        <f aca="false">IF(C391="","",IFERROR(INDEX(LOOKAHEAD!$M$5:$M$204,MATCH(C391,LOOKAHEAD!$A$5:$A$204,0)),""))</f>
        <v/>
      </c>
      <c r="G391" s="9"/>
      <c r="H391" s="9"/>
      <c r="I391" s="16" t="str">
        <f aca="false">IF(C391="","",IFERROR(INDEX(LOOKAHEAD!$G$5:$G$204,MATCH(C391,LOOKAHEAD!$A$5:$A$204,0)),""))</f>
        <v/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36" t="str">
        <f aca="false">IF(C391="","",SUM(J391:O391))</f>
        <v/>
      </c>
      <c r="W391" s="36" t="str">
        <f aca="false">IF(C391="","",SUM(P391:U391))</f>
        <v/>
      </c>
      <c r="X391" s="19" t="str">
        <f aca="false">IF(OR(C391="",V391=0),"",W391/V391)</f>
        <v/>
      </c>
      <c r="Y391" s="16" t="str">
        <f aca="false">IF(OR(C391="",V391=0),"",IF(W391&gt;=V391,"Sí","No"))</f>
        <v/>
      </c>
      <c r="Z391" s="9"/>
      <c r="AA391" s="9"/>
    </row>
    <row r="392" customFormat="false" ht="15" hidden="false" customHeight="false" outlineLevel="0" collapsed="false">
      <c r="A392" s="9"/>
      <c r="B392" s="9"/>
      <c r="C392" s="9"/>
      <c r="D392" s="16" t="str">
        <f aca="false">IF(C392="","",IFERROR(INDEX(LOOKAHEAD!$B$5:$B$204,MATCH(C392,LOOKAHEAD!$A$5:$A$204,0)),""))</f>
        <v/>
      </c>
      <c r="E392" s="16" t="str">
        <f aca="false">IF(C392="","",IFERROR(INDEX(LOOKAHEAD!$E$5:$E$204,MATCH(C392,LOOKAHEAD!$A$5:$A$204,0)),""))</f>
        <v/>
      </c>
      <c r="F392" s="16" t="str">
        <f aca="false">IF(C392="","",IFERROR(INDEX(LOOKAHEAD!$M$5:$M$204,MATCH(C392,LOOKAHEAD!$A$5:$A$204,0)),""))</f>
        <v/>
      </c>
      <c r="G392" s="9"/>
      <c r="H392" s="9"/>
      <c r="I392" s="16" t="str">
        <f aca="false">IF(C392="","",IFERROR(INDEX(LOOKAHEAD!$G$5:$G$204,MATCH(C392,LOOKAHEAD!$A$5:$A$204,0)),""))</f>
        <v/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36" t="str">
        <f aca="false">IF(C392="","",SUM(J392:O392))</f>
        <v/>
      </c>
      <c r="W392" s="36" t="str">
        <f aca="false">IF(C392="","",SUM(P392:U392))</f>
        <v/>
      </c>
      <c r="X392" s="19" t="str">
        <f aca="false">IF(OR(C392="",V392=0),"",W392/V392)</f>
        <v/>
      </c>
      <c r="Y392" s="16" t="str">
        <f aca="false">IF(OR(C392="",V392=0),"",IF(W392&gt;=V392,"Sí","No"))</f>
        <v/>
      </c>
      <c r="Z392" s="9"/>
      <c r="AA392" s="9"/>
    </row>
    <row r="393" customFormat="false" ht="15" hidden="false" customHeight="false" outlineLevel="0" collapsed="false">
      <c r="A393" s="9"/>
      <c r="B393" s="9"/>
      <c r="C393" s="9"/>
      <c r="D393" s="16" t="str">
        <f aca="false">IF(C393="","",IFERROR(INDEX(LOOKAHEAD!$B$5:$B$204,MATCH(C393,LOOKAHEAD!$A$5:$A$204,0)),""))</f>
        <v/>
      </c>
      <c r="E393" s="16" t="str">
        <f aca="false">IF(C393="","",IFERROR(INDEX(LOOKAHEAD!$E$5:$E$204,MATCH(C393,LOOKAHEAD!$A$5:$A$204,0)),""))</f>
        <v/>
      </c>
      <c r="F393" s="16" t="str">
        <f aca="false">IF(C393="","",IFERROR(INDEX(LOOKAHEAD!$M$5:$M$204,MATCH(C393,LOOKAHEAD!$A$5:$A$204,0)),""))</f>
        <v/>
      </c>
      <c r="G393" s="9"/>
      <c r="H393" s="9"/>
      <c r="I393" s="16" t="str">
        <f aca="false">IF(C393="","",IFERROR(INDEX(LOOKAHEAD!$G$5:$G$204,MATCH(C393,LOOKAHEAD!$A$5:$A$204,0)),""))</f>
        <v/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36" t="str">
        <f aca="false">IF(C393="","",SUM(J393:O393))</f>
        <v/>
      </c>
      <c r="W393" s="36" t="str">
        <f aca="false">IF(C393="","",SUM(P393:U393))</f>
        <v/>
      </c>
      <c r="X393" s="19" t="str">
        <f aca="false">IF(OR(C393="",V393=0),"",W393/V393)</f>
        <v/>
      </c>
      <c r="Y393" s="16" t="str">
        <f aca="false">IF(OR(C393="",V393=0),"",IF(W393&gt;=V393,"Sí","No"))</f>
        <v/>
      </c>
      <c r="Z393" s="9"/>
      <c r="AA393" s="9"/>
    </row>
    <row r="394" customFormat="false" ht="15" hidden="false" customHeight="false" outlineLevel="0" collapsed="false">
      <c r="A394" s="9"/>
      <c r="B394" s="9"/>
      <c r="C394" s="9"/>
      <c r="D394" s="16" t="str">
        <f aca="false">IF(C394="","",IFERROR(INDEX(LOOKAHEAD!$B$5:$B$204,MATCH(C394,LOOKAHEAD!$A$5:$A$204,0)),""))</f>
        <v/>
      </c>
      <c r="E394" s="16" t="str">
        <f aca="false">IF(C394="","",IFERROR(INDEX(LOOKAHEAD!$E$5:$E$204,MATCH(C394,LOOKAHEAD!$A$5:$A$204,0)),""))</f>
        <v/>
      </c>
      <c r="F394" s="16" t="str">
        <f aca="false">IF(C394="","",IFERROR(INDEX(LOOKAHEAD!$M$5:$M$204,MATCH(C394,LOOKAHEAD!$A$5:$A$204,0)),""))</f>
        <v/>
      </c>
      <c r="G394" s="9"/>
      <c r="H394" s="9"/>
      <c r="I394" s="16" t="str">
        <f aca="false">IF(C394="","",IFERROR(INDEX(LOOKAHEAD!$G$5:$G$204,MATCH(C394,LOOKAHEAD!$A$5:$A$204,0)),""))</f>
        <v/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36" t="str">
        <f aca="false">IF(C394="","",SUM(J394:O394))</f>
        <v/>
      </c>
      <c r="W394" s="36" t="str">
        <f aca="false">IF(C394="","",SUM(P394:U394))</f>
        <v/>
      </c>
      <c r="X394" s="19" t="str">
        <f aca="false">IF(OR(C394="",V394=0),"",W394/V394)</f>
        <v/>
      </c>
      <c r="Y394" s="16" t="str">
        <f aca="false">IF(OR(C394="",V394=0),"",IF(W394&gt;=V394,"Sí","No"))</f>
        <v/>
      </c>
      <c r="Z394" s="9"/>
      <c r="AA394" s="9"/>
    </row>
    <row r="395" customFormat="false" ht="15" hidden="false" customHeight="false" outlineLevel="0" collapsed="false">
      <c r="A395" s="9"/>
      <c r="B395" s="9"/>
      <c r="C395" s="9"/>
      <c r="D395" s="16" t="str">
        <f aca="false">IF(C395="","",IFERROR(INDEX(LOOKAHEAD!$B$5:$B$204,MATCH(C395,LOOKAHEAD!$A$5:$A$204,0)),""))</f>
        <v/>
      </c>
      <c r="E395" s="16" t="str">
        <f aca="false">IF(C395="","",IFERROR(INDEX(LOOKAHEAD!$E$5:$E$204,MATCH(C395,LOOKAHEAD!$A$5:$A$204,0)),""))</f>
        <v/>
      </c>
      <c r="F395" s="16" t="str">
        <f aca="false">IF(C395="","",IFERROR(INDEX(LOOKAHEAD!$M$5:$M$204,MATCH(C395,LOOKAHEAD!$A$5:$A$204,0)),""))</f>
        <v/>
      </c>
      <c r="G395" s="9"/>
      <c r="H395" s="9"/>
      <c r="I395" s="16" t="str">
        <f aca="false">IF(C395="","",IFERROR(INDEX(LOOKAHEAD!$G$5:$G$204,MATCH(C395,LOOKAHEAD!$A$5:$A$204,0)),""))</f>
        <v/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36" t="str">
        <f aca="false">IF(C395="","",SUM(J395:O395))</f>
        <v/>
      </c>
      <c r="W395" s="36" t="str">
        <f aca="false">IF(C395="","",SUM(P395:U395))</f>
        <v/>
      </c>
      <c r="X395" s="19" t="str">
        <f aca="false">IF(OR(C395="",V395=0),"",W395/V395)</f>
        <v/>
      </c>
      <c r="Y395" s="16" t="str">
        <f aca="false">IF(OR(C395="",V395=0),"",IF(W395&gt;=V395,"Sí","No"))</f>
        <v/>
      </c>
      <c r="Z395" s="9"/>
      <c r="AA395" s="9"/>
    </row>
    <row r="396" customFormat="false" ht="15" hidden="false" customHeight="false" outlineLevel="0" collapsed="false">
      <c r="A396" s="9"/>
      <c r="B396" s="9"/>
      <c r="C396" s="9"/>
      <c r="D396" s="16" t="str">
        <f aca="false">IF(C396="","",IFERROR(INDEX(LOOKAHEAD!$B$5:$B$204,MATCH(C396,LOOKAHEAD!$A$5:$A$204,0)),""))</f>
        <v/>
      </c>
      <c r="E396" s="16" t="str">
        <f aca="false">IF(C396="","",IFERROR(INDEX(LOOKAHEAD!$E$5:$E$204,MATCH(C396,LOOKAHEAD!$A$5:$A$204,0)),""))</f>
        <v/>
      </c>
      <c r="F396" s="16" t="str">
        <f aca="false">IF(C396="","",IFERROR(INDEX(LOOKAHEAD!$M$5:$M$204,MATCH(C396,LOOKAHEAD!$A$5:$A$204,0)),""))</f>
        <v/>
      </c>
      <c r="G396" s="9"/>
      <c r="H396" s="9"/>
      <c r="I396" s="16" t="str">
        <f aca="false">IF(C396="","",IFERROR(INDEX(LOOKAHEAD!$G$5:$G$204,MATCH(C396,LOOKAHEAD!$A$5:$A$204,0)),""))</f>
        <v/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36" t="str">
        <f aca="false">IF(C396="","",SUM(J396:O396))</f>
        <v/>
      </c>
      <c r="W396" s="36" t="str">
        <f aca="false">IF(C396="","",SUM(P396:U396))</f>
        <v/>
      </c>
      <c r="X396" s="19" t="str">
        <f aca="false">IF(OR(C396="",V396=0),"",W396/V396)</f>
        <v/>
      </c>
      <c r="Y396" s="16" t="str">
        <f aca="false">IF(OR(C396="",V396=0),"",IF(W396&gt;=V396,"Sí","No"))</f>
        <v/>
      </c>
      <c r="Z396" s="9"/>
      <c r="AA396" s="9"/>
    </row>
    <row r="397" customFormat="false" ht="15" hidden="false" customHeight="false" outlineLevel="0" collapsed="false">
      <c r="A397" s="9"/>
      <c r="B397" s="9"/>
      <c r="C397" s="9"/>
      <c r="D397" s="16" t="str">
        <f aca="false">IF(C397="","",IFERROR(INDEX(LOOKAHEAD!$B$5:$B$204,MATCH(C397,LOOKAHEAD!$A$5:$A$204,0)),""))</f>
        <v/>
      </c>
      <c r="E397" s="16" t="str">
        <f aca="false">IF(C397="","",IFERROR(INDEX(LOOKAHEAD!$E$5:$E$204,MATCH(C397,LOOKAHEAD!$A$5:$A$204,0)),""))</f>
        <v/>
      </c>
      <c r="F397" s="16" t="str">
        <f aca="false">IF(C397="","",IFERROR(INDEX(LOOKAHEAD!$M$5:$M$204,MATCH(C397,LOOKAHEAD!$A$5:$A$204,0)),""))</f>
        <v/>
      </c>
      <c r="G397" s="9"/>
      <c r="H397" s="9"/>
      <c r="I397" s="16" t="str">
        <f aca="false">IF(C397="","",IFERROR(INDEX(LOOKAHEAD!$G$5:$G$204,MATCH(C397,LOOKAHEAD!$A$5:$A$204,0)),""))</f>
        <v/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36" t="str">
        <f aca="false">IF(C397="","",SUM(J397:O397))</f>
        <v/>
      </c>
      <c r="W397" s="36" t="str">
        <f aca="false">IF(C397="","",SUM(P397:U397))</f>
        <v/>
      </c>
      <c r="X397" s="19" t="str">
        <f aca="false">IF(OR(C397="",V397=0),"",W397/V397)</f>
        <v/>
      </c>
      <c r="Y397" s="16" t="str">
        <f aca="false">IF(OR(C397="",V397=0),"",IF(W397&gt;=V397,"Sí","No"))</f>
        <v/>
      </c>
      <c r="Z397" s="9"/>
      <c r="AA397" s="9"/>
    </row>
    <row r="398" customFormat="false" ht="15" hidden="false" customHeight="false" outlineLevel="0" collapsed="false">
      <c r="A398" s="9"/>
      <c r="B398" s="9"/>
      <c r="C398" s="9"/>
      <c r="D398" s="16" t="str">
        <f aca="false">IF(C398="","",IFERROR(INDEX(LOOKAHEAD!$B$5:$B$204,MATCH(C398,LOOKAHEAD!$A$5:$A$204,0)),""))</f>
        <v/>
      </c>
      <c r="E398" s="16" t="str">
        <f aca="false">IF(C398="","",IFERROR(INDEX(LOOKAHEAD!$E$5:$E$204,MATCH(C398,LOOKAHEAD!$A$5:$A$204,0)),""))</f>
        <v/>
      </c>
      <c r="F398" s="16" t="str">
        <f aca="false">IF(C398="","",IFERROR(INDEX(LOOKAHEAD!$M$5:$M$204,MATCH(C398,LOOKAHEAD!$A$5:$A$204,0)),""))</f>
        <v/>
      </c>
      <c r="G398" s="9"/>
      <c r="H398" s="9"/>
      <c r="I398" s="16" t="str">
        <f aca="false">IF(C398="","",IFERROR(INDEX(LOOKAHEAD!$G$5:$G$204,MATCH(C398,LOOKAHEAD!$A$5:$A$204,0)),""))</f>
        <v/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36" t="str">
        <f aca="false">IF(C398="","",SUM(J398:O398))</f>
        <v/>
      </c>
      <c r="W398" s="36" t="str">
        <f aca="false">IF(C398="","",SUM(P398:U398))</f>
        <v/>
      </c>
      <c r="X398" s="19" t="str">
        <f aca="false">IF(OR(C398="",V398=0),"",W398/V398)</f>
        <v/>
      </c>
      <c r="Y398" s="16" t="str">
        <f aca="false">IF(OR(C398="",V398=0),"",IF(W398&gt;=V398,"Sí","No"))</f>
        <v/>
      </c>
      <c r="Z398" s="9"/>
      <c r="AA398" s="9"/>
    </row>
    <row r="399" customFormat="false" ht="15" hidden="false" customHeight="false" outlineLevel="0" collapsed="false">
      <c r="A399" s="9"/>
      <c r="B399" s="9"/>
      <c r="C399" s="9"/>
      <c r="D399" s="16" t="str">
        <f aca="false">IF(C399="","",IFERROR(INDEX(LOOKAHEAD!$B$5:$B$204,MATCH(C399,LOOKAHEAD!$A$5:$A$204,0)),""))</f>
        <v/>
      </c>
      <c r="E399" s="16" t="str">
        <f aca="false">IF(C399="","",IFERROR(INDEX(LOOKAHEAD!$E$5:$E$204,MATCH(C399,LOOKAHEAD!$A$5:$A$204,0)),""))</f>
        <v/>
      </c>
      <c r="F399" s="16" t="str">
        <f aca="false">IF(C399="","",IFERROR(INDEX(LOOKAHEAD!$M$5:$M$204,MATCH(C399,LOOKAHEAD!$A$5:$A$204,0)),""))</f>
        <v/>
      </c>
      <c r="G399" s="9"/>
      <c r="H399" s="9"/>
      <c r="I399" s="16" t="str">
        <f aca="false">IF(C399="","",IFERROR(INDEX(LOOKAHEAD!$G$5:$G$204,MATCH(C399,LOOKAHEAD!$A$5:$A$204,0)),""))</f>
        <v/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36" t="str">
        <f aca="false">IF(C399="","",SUM(J399:O399))</f>
        <v/>
      </c>
      <c r="W399" s="36" t="str">
        <f aca="false">IF(C399="","",SUM(P399:U399))</f>
        <v/>
      </c>
      <c r="X399" s="19" t="str">
        <f aca="false">IF(OR(C399="",V399=0),"",W399/V399)</f>
        <v/>
      </c>
      <c r="Y399" s="16" t="str">
        <f aca="false">IF(OR(C399="",V399=0),"",IF(W399&gt;=V399,"Sí","No"))</f>
        <v/>
      </c>
      <c r="Z399" s="9"/>
      <c r="AA399" s="9"/>
    </row>
    <row r="400" customFormat="false" ht="15" hidden="false" customHeight="false" outlineLevel="0" collapsed="false">
      <c r="A400" s="9"/>
      <c r="B400" s="9"/>
      <c r="C400" s="9"/>
      <c r="D400" s="16" t="str">
        <f aca="false">IF(C400="","",IFERROR(INDEX(LOOKAHEAD!$B$5:$B$204,MATCH(C400,LOOKAHEAD!$A$5:$A$204,0)),""))</f>
        <v/>
      </c>
      <c r="E400" s="16" t="str">
        <f aca="false">IF(C400="","",IFERROR(INDEX(LOOKAHEAD!$E$5:$E$204,MATCH(C400,LOOKAHEAD!$A$5:$A$204,0)),""))</f>
        <v/>
      </c>
      <c r="F400" s="16" t="str">
        <f aca="false">IF(C400="","",IFERROR(INDEX(LOOKAHEAD!$M$5:$M$204,MATCH(C400,LOOKAHEAD!$A$5:$A$204,0)),""))</f>
        <v/>
      </c>
      <c r="G400" s="9"/>
      <c r="H400" s="9"/>
      <c r="I400" s="16" t="str">
        <f aca="false">IF(C400="","",IFERROR(INDEX(LOOKAHEAD!$G$5:$G$204,MATCH(C400,LOOKAHEAD!$A$5:$A$204,0)),""))</f>
        <v/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36" t="str">
        <f aca="false">IF(C400="","",SUM(J400:O400))</f>
        <v/>
      </c>
      <c r="W400" s="36" t="str">
        <f aca="false">IF(C400="","",SUM(P400:U400))</f>
        <v/>
      </c>
      <c r="X400" s="19" t="str">
        <f aca="false">IF(OR(C400="",V400=0),"",W400/V400)</f>
        <v/>
      </c>
      <c r="Y400" s="16" t="str">
        <f aca="false">IF(OR(C400="",V400=0),"",IF(W400&gt;=V400,"Sí","No"))</f>
        <v/>
      </c>
      <c r="Z400" s="9"/>
      <c r="AA400" s="9"/>
    </row>
    <row r="401" customFormat="false" ht="15" hidden="false" customHeight="false" outlineLevel="0" collapsed="false">
      <c r="A401" s="9"/>
      <c r="B401" s="9"/>
      <c r="C401" s="9"/>
      <c r="D401" s="16" t="str">
        <f aca="false">IF(C401="","",IFERROR(INDEX(LOOKAHEAD!$B$5:$B$204,MATCH(C401,LOOKAHEAD!$A$5:$A$204,0)),""))</f>
        <v/>
      </c>
      <c r="E401" s="16" t="str">
        <f aca="false">IF(C401="","",IFERROR(INDEX(LOOKAHEAD!$E$5:$E$204,MATCH(C401,LOOKAHEAD!$A$5:$A$204,0)),""))</f>
        <v/>
      </c>
      <c r="F401" s="16" t="str">
        <f aca="false">IF(C401="","",IFERROR(INDEX(LOOKAHEAD!$M$5:$M$204,MATCH(C401,LOOKAHEAD!$A$5:$A$204,0)),""))</f>
        <v/>
      </c>
      <c r="G401" s="9"/>
      <c r="H401" s="9"/>
      <c r="I401" s="16" t="str">
        <f aca="false">IF(C401="","",IFERROR(INDEX(LOOKAHEAD!$G$5:$G$204,MATCH(C401,LOOKAHEAD!$A$5:$A$204,0)),""))</f>
        <v/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36" t="str">
        <f aca="false">IF(C401="","",SUM(J401:O401))</f>
        <v/>
      </c>
      <c r="W401" s="36" t="str">
        <f aca="false">IF(C401="","",SUM(P401:U401))</f>
        <v/>
      </c>
      <c r="X401" s="19" t="str">
        <f aca="false">IF(OR(C401="",V401=0),"",W401/V401)</f>
        <v/>
      </c>
      <c r="Y401" s="16" t="str">
        <f aca="false">IF(OR(C401="",V401=0),"",IF(W401&gt;=V401,"Sí","No"))</f>
        <v/>
      </c>
      <c r="Z401" s="9"/>
      <c r="AA401" s="9"/>
    </row>
    <row r="402" customFormat="false" ht="15" hidden="false" customHeight="false" outlineLevel="0" collapsed="false">
      <c r="A402" s="9"/>
      <c r="B402" s="9"/>
      <c r="C402" s="9"/>
      <c r="D402" s="16" t="str">
        <f aca="false">IF(C402="","",IFERROR(INDEX(LOOKAHEAD!$B$5:$B$204,MATCH(C402,LOOKAHEAD!$A$5:$A$204,0)),""))</f>
        <v/>
      </c>
      <c r="E402" s="16" t="str">
        <f aca="false">IF(C402="","",IFERROR(INDEX(LOOKAHEAD!$E$5:$E$204,MATCH(C402,LOOKAHEAD!$A$5:$A$204,0)),""))</f>
        <v/>
      </c>
      <c r="F402" s="16" t="str">
        <f aca="false">IF(C402="","",IFERROR(INDEX(LOOKAHEAD!$M$5:$M$204,MATCH(C402,LOOKAHEAD!$A$5:$A$204,0)),""))</f>
        <v/>
      </c>
      <c r="G402" s="9"/>
      <c r="H402" s="9"/>
      <c r="I402" s="16" t="str">
        <f aca="false">IF(C402="","",IFERROR(INDEX(LOOKAHEAD!$G$5:$G$204,MATCH(C402,LOOKAHEAD!$A$5:$A$204,0)),""))</f>
        <v/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36" t="str">
        <f aca="false">IF(C402="","",SUM(J402:O402))</f>
        <v/>
      </c>
      <c r="W402" s="36" t="str">
        <f aca="false">IF(C402="","",SUM(P402:U402))</f>
        <v/>
      </c>
      <c r="X402" s="19" t="str">
        <f aca="false">IF(OR(C402="",V402=0),"",W402/V402)</f>
        <v/>
      </c>
      <c r="Y402" s="16" t="str">
        <f aca="false">IF(OR(C402="",V402=0),"",IF(W402&gt;=V402,"Sí","No"))</f>
        <v/>
      </c>
      <c r="Z402" s="9"/>
      <c r="AA402" s="9"/>
    </row>
    <row r="403" customFormat="false" ht="15" hidden="false" customHeight="false" outlineLevel="0" collapsed="false">
      <c r="A403" s="9"/>
      <c r="B403" s="9"/>
      <c r="C403" s="9"/>
      <c r="D403" s="16" t="str">
        <f aca="false">IF(C403="","",IFERROR(INDEX(LOOKAHEAD!$B$5:$B$204,MATCH(C403,LOOKAHEAD!$A$5:$A$204,0)),""))</f>
        <v/>
      </c>
      <c r="E403" s="16" t="str">
        <f aca="false">IF(C403="","",IFERROR(INDEX(LOOKAHEAD!$E$5:$E$204,MATCH(C403,LOOKAHEAD!$A$5:$A$204,0)),""))</f>
        <v/>
      </c>
      <c r="F403" s="16" t="str">
        <f aca="false">IF(C403="","",IFERROR(INDEX(LOOKAHEAD!$M$5:$M$204,MATCH(C403,LOOKAHEAD!$A$5:$A$204,0)),""))</f>
        <v/>
      </c>
      <c r="G403" s="9"/>
      <c r="H403" s="9"/>
      <c r="I403" s="16" t="str">
        <f aca="false">IF(C403="","",IFERROR(INDEX(LOOKAHEAD!$G$5:$G$204,MATCH(C403,LOOKAHEAD!$A$5:$A$204,0)),""))</f>
        <v/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36" t="str">
        <f aca="false">IF(C403="","",SUM(J403:O403))</f>
        <v/>
      </c>
      <c r="W403" s="36" t="str">
        <f aca="false">IF(C403="","",SUM(P403:U403))</f>
        <v/>
      </c>
      <c r="X403" s="19" t="str">
        <f aca="false">IF(OR(C403="",V403=0),"",W403/V403)</f>
        <v/>
      </c>
      <c r="Y403" s="16" t="str">
        <f aca="false">IF(OR(C403="",V403=0),"",IF(W403&gt;=V403,"Sí","No"))</f>
        <v/>
      </c>
      <c r="Z403" s="9"/>
      <c r="AA403" s="9"/>
    </row>
    <row r="404" customFormat="false" ht="15" hidden="false" customHeight="false" outlineLevel="0" collapsed="false">
      <c r="A404" s="9"/>
      <c r="B404" s="9"/>
      <c r="C404" s="9"/>
      <c r="D404" s="16" t="str">
        <f aca="false">IF(C404="","",IFERROR(INDEX(LOOKAHEAD!$B$5:$B$204,MATCH(C404,LOOKAHEAD!$A$5:$A$204,0)),""))</f>
        <v/>
      </c>
      <c r="E404" s="16" t="str">
        <f aca="false">IF(C404="","",IFERROR(INDEX(LOOKAHEAD!$E$5:$E$204,MATCH(C404,LOOKAHEAD!$A$5:$A$204,0)),""))</f>
        <v/>
      </c>
      <c r="F404" s="16" t="str">
        <f aca="false">IF(C404="","",IFERROR(INDEX(LOOKAHEAD!$M$5:$M$204,MATCH(C404,LOOKAHEAD!$A$5:$A$204,0)),""))</f>
        <v/>
      </c>
      <c r="G404" s="9"/>
      <c r="H404" s="9"/>
      <c r="I404" s="16" t="str">
        <f aca="false">IF(C404="","",IFERROR(INDEX(LOOKAHEAD!$G$5:$G$204,MATCH(C404,LOOKAHEAD!$A$5:$A$204,0)),""))</f>
        <v/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36" t="str">
        <f aca="false">IF(C404="","",SUM(J404:O404))</f>
        <v/>
      </c>
      <c r="W404" s="36" t="str">
        <f aca="false">IF(C404="","",SUM(P404:U404))</f>
        <v/>
      </c>
      <c r="X404" s="19" t="str">
        <f aca="false">IF(OR(C404="",V404=0),"",W404/V404)</f>
        <v/>
      </c>
      <c r="Y404" s="16" t="str">
        <f aca="false">IF(OR(C404="",V404=0),"",IF(W404&gt;=V404,"Sí","No"))</f>
        <v/>
      </c>
      <c r="Z404" s="9"/>
      <c r="AA404" s="9"/>
    </row>
    <row r="405" customFormat="false" ht="15" hidden="false" customHeight="false" outlineLevel="0" collapsed="false">
      <c r="A405" s="9"/>
      <c r="B405" s="9"/>
      <c r="C405" s="9"/>
      <c r="D405" s="16" t="str">
        <f aca="false">IF(C405="","",IFERROR(INDEX(LOOKAHEAD!$B$5:$B$204,MATCH(C405,LOOKAHEAD!$A$5:$A$204,0)),""))</f>
        <v/>
      </c>
      <c r="E405" s="16" t="str">
        <f aca="false">IF(C405="","",IFERROR(INDEX(LOOKAHEAD!$E$5:$E$204,MATCH(C405,LOOKAHEAD!$A$5:$A$204,0)),""))</f>
        <v/>
      </c>
      <c r="F405" s="16" t="str">
        <f aca="false">IF(C405="","",IFERROR(INDEX(LOOKAHEAD!$M$5:$M$204,MATCH(C405,LOOKAHEAD!$A$5:$A$204,0)),""))</f>
        <v/>
      </c>
      <c r="G405" s="9"/>
      <c r="H405" s="9"/>
      <c r="I405" s="16" t="str">
        <f aca="false">IF(C405="","",IFERROR(INDEX(LOOKAHEAD!$G$5:$G$204,MATCH(C405,LOOKAHEAD!$A$5:$A$204,0)),""))</f>
        <v/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36" t="str">
        <f aca="false">IF(C405="","",SUM(J405:O405))</f>
        <v/>
      </c>
      <c r="W405" s="36" t="str">
        <f aca="false">IF(C405="","",SUM(P405:U405))</f>
        <v/>
      </c>
      <c r="X405" s="19" t="str">
        <f aca="false">IF(OR(C405="",V405=0),"",W405/V405)</f>
        <v/>
      </c>
      <c r="Y405" s="16" t="str">
        <f aca="false">IF(OR(C405="",V405=0),"",IF(W405&gt;=V405,"Sí","No"))</f>
        <v/>
      </c>
      <c r="Z405" s="9"/>
      <c r="AA405" s="9"/>
    </row>
    <row r="406" customFormat="false" ht="15" hidden="false" customHeight="false" outlineLevel="0" collapsed="false">
      <c r="A406" s="9"/>
      <c r="B406" s="9"/>
      <c r="C406" s="9"/>
      <c r="D406" s="16" t="str">
        <f aca="false">IF(C406="","",IFERROR(INDEX(LOOKAHEAD!$B$5:$B$204,MATCH(C406,LOOKAHEAD!$A$5:$A$204,0)),""))</f>
        <v/>
      </c>
      <c r="E406" s="16" t="str">
        <f aca="false">IF(C406="","",IFERROR(INDEX(LOOKAHEAD!$E$5:$E$204,MATCH(C406,LOOKAHEAD!$A$5:$A$204,0)),""))</f>
        <v/>
      </c>
      <c r="F406" s="16" t="str">
        <f aca="false">IF(C406="","",IFERROR(INDEX(LOOKAHEAD!$M$5:$M$204,MATCH(C406,LOOKAHEAD!$A$5:$A$204,0)),""))</f>
        <v/>
      </c>
      <c r="G406" s="9"/>
      <c r="H406" s="9"/>
      <c r="I406" s="16" t="str">
        <f aca="false">IF(C406="","",IFERROR(INDEX(LOOKAHEAD!$G$5:$G$204,MATCH(C406,LOOKAHEAD!$A$5:$A$204,0)),""))</f>
        <v/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36" t="str">
        <f aca="false">IF(C406="","",SUM(J406:O406))</f>
        <v/>
      </c>
      <c r="W406" s="36" t="str">
        <f aca="false">IF(C406="","",SUM(P406:U406))</f>
        <v/>
      </c>
      <c r="X406" s="19" t="str">
        <f aca="false">IF(OR(C406="",V406=0),"",W406/V406)</f>
        <v/>
      </c>
      <c r="Y406" s="16" t="str">
        <f aca="false">IF(OR(C406="",V406=0),"",IF(W406&gt;=V406,"Sí","No"))</f>
        <v/>
      </c>
      <c r="Z406" s="9"/>
      <c r="AA406" s="9"/>
    </row>
    <row r="407" customFormat="false" ht="15" hidden="false" customHeight="false" outlineLevel="0" collapsed="false">
      <c r="A407" s="9"/>
      <c r="B407" s="9"/>
      <c r="C407" s="9"/>
      <c r="D407" s="16" t="str">
        <f aca="false">IF(C407="","",IFERROR(INDEX(LOOKAHEAD!$B$5:$B$204,MATCH(C407,LOOKAHEAD!$A$5:$A$204,0)),""))</f>
        <v/>
      </c>
      <c r="E407" s="16" t="str">
        <f aca="false">IF(C407="","",IFERROR(INDEX(LOOKAHEAD!$E$5:$E$204,MATCH(C407,LOOKAHEAD!$A$5:$A$204,0)),""))</f>
        <v/>
      </c>
      <c r="F407" s="16" t="str">
        <f aca="false">IF(C407="","",IFERROR(INDEX(LOOKAHEAD!$M$5:$M$204,MATCH(C407,LOOKAHEAD!$A$5:$A$204,0)),""))</f>
        <v/>
      </c>
      <c r="G407" s="9"/>
      <c r="H407" s="9"/>
      <c r="I407" s="16" t="str">
        <f aca="false">IF(C407="","",IFERROR(INDEX(LOOKAHEAD!$G$5:$G$204,MATCH(C407,LOOKAHEAD!$A$5:$A$204,0)),""))</f>
        <v/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36" t="str">
        <f aca="false">IF(C407="","",SUM(J407:O407))</f>
        <v/>
      </c>
      <c r="W407" s="36" t="str">
        <f aca="false">IF(C407="","",SUM(P407:U407))</f>
        <v/>
      </c>
      <c r="X407" s="19" t="str">
        <f aca="false">IF(OR(C407="",V407=0),"",W407/V407)</f>
        <v/>
      </c>
      <c r="Y407" s="16" t="str">
        <f aca="false">IF(OR(C407="",V407=0),"",IF(W407&gt;=V407,"Sí","No"))</f>
        <v/>
      </c>
      <c r="Z407" s="9"/>
      <c r="AA407" s="9"/>
    </row>
    <row r="408" customFormat="false" ht="15" hidden="false" customHeight="false" outlineLevel="0" collapsed="false">
      <c r="A408" s="9"/>
      <c r="B408" s="9"/>
      <c r="C408" s="9"/>
      <c r="D408" s="16" t="str">
        <f aca="false">IF(C408="","",IFERROR(INDEX(LOOKAHEAD!$B$5:$B$204,MATCH(C408,LOOKAHEAD!$A$5:$A$204,0)),""))</f>
        <v/>
      </c>
      <c r="E408" s="16" t="str">
        <f aca="false">IF(C408="","",IFERROR(INDEX(LOOKAHEAD!$E$5:$E$204,MATCH(C408,LOOKAHEAD!$A$5:$A$204,0)),""))</f>
        <v/>
      </c>
      <c r="F408" s="16" t="str">
        <f aca="false">IF(C408="","",IFERROR(INDEX(LOOKAHEAD!$M$5:$M$204,MATCH(C408,LOOKAHEAD!$A$5:$A$204,0)),""))</f>
        <v/>
      </c>
      <c r="G408" s="9"/>
      <c r="H408" s="9"/>
      <c r="I408" s="16" t="str">
        <f aca="false">IF(C408="","",IFERROR(INDEX(LOOKAHEAD!$G$5:$G$204,MATCH(C408,LOOKAHEAD!$A$5:$A$204,0)),""))</f>
        <v/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36" t="str">
        <f aca="false">IF(C408="","",SUM(J408:O408))</f>
        <v/>
      </c>
      <c r="W408" s="36" t="str">
        <f aca="false">IF(C408="","",SUM(P408:U408))</f>
        <v/>
      </c>
      <c r="X408" s="19" t="str">
        <f aca="false">IF(OR(C408="",V408=0),"",W408/V408)</f>
        <v/>
      </c>
      <c r="Y408" s="16" t="str">
        <f aca="false">IF(OR(C408="",V408=0),"",IF(W408&gt;=V408,"Sí","No"))</f>
        <v/>
      </c>
      <c r="Z408" s="9"/>
      <c r="AA408" s="9"/>
    </row>
    <row r="409" customFormat="false" ht="15" hidden="false" customHeight="false" outlineLevel="0" collapsed="false">
      <c r="A409" s="9"/>
      <c r="B409" s="9"/>
      <c r="C409" s="9"/>
      <c r="D409" s="16" t="str">
        <f aca="false">IF(C409="","",IFERROR(INDEX(LOOKAHEAD!$B$5:$B$204,MATCH(C409,LOOKAHEAD!$A$5:$A$204,0)),""))</f>
        <v/>
      </c>
      <c r="E409" s="16" t="str">
        <f aca="false">IF(C409="","",IFERROR(INDEX(LOOKAHEAD!$E$5:$E$204,MATCH(C409,LOOKAHEAD!$A$5:$A$204,0)),""))</f>
        <v/>
      </c>
      <c r="F409" s="16" t="str">
        <f aca="false">IF(C409="","",IFERROR(INDEX(LOOKAHEAD!$M$5:$M$204,MATCH(C409,LOOKAHEAD!$A$5:$A$204,0)),""))</f>
        <v/>
      </c>
      <c r="G409" s="9"/>
      <c r="H409" s="9"/>
      <c r="I409" s="16" t="str">
        <f aca="false">IF(C409="","",IFERROR(INDEX(LOOKAHEAD!$G$5:$G$204,MATCH(C409,LOOKAHEAD!$A$5:$A$204,0)),""))</f>
        <v/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36" t="str">
        <f aca="false">IF(C409="","",SUM(J409:O409))</f>
        <v/>
      </c>
      <c r="W409" s="36" t="str">
        <f aca="false">IF(C409="","",SUM(P409:U409))</f>
        <v/>
      </c>
      <c r="X409" s="19" t="str">
        <f aca="false">IF(OR(C409="",V409=0),"",W409/V409)</f>
        <v/>
      </c>
      <c r="Y409" s="16" t="str">
        <f aca="false">IF(OR(C409="",V409=0),"",IF(W409&gt;=V409,"Sí","No"))</f>
        <v/>
      </c>
      <c r="Z409" s="9"/>
      <c r="AA409" s="9"/>
    </row>
    <row r="410" customFormat="false" ht="15" hidden="false" customHeight="false" outlineLevel="0" collapsed="false">
      <c r="A410" s="9"/>
      <c r="B410" s="9"/>
      <c r="C410" s="9"/>
      <c r="D410" s="16" t="str">
        <f aca="false">IF(C410="","",IFERROR(INDEX(LOOKAHEAD!$B$5:$B$204,MATCH(C410,LOOKAHEAD!$A$5:$A$204,0)),""))</f>
        <v/>
      </c>
      <c r="E410" s="16" t="str">
        <f aca="false">IF(C410="","",IFERROR(INDEX(LOOKAHEAD!$E$5:$E$204,MATCH(C410,LOOKAHEAD!$A$5:$A$204,0)),""))</f>
        <v/>
      </c>
      <c r="F410" s="16" t="str">
        <f aca="false">IF(C410="","",IFERROR(INDEX(LOOKAHEAD!$M$5:$M$204,MATCH(C410,LOOKAHEAD!$A$5:$A$204,0)),""))</f>
        <v/>
      </c>
      <c r="G410" s="9"/>
      <c r="H410" s="9"/>
      <c r="I410" s="16" t="str">
        <f aca="false">IF(C410="","",IFERROR(INDEX(LOOKAHEAD!$G$5:$G$204,MATCH(C410,LOOKAHEAD!$A$5:$A$204,0)),""))</f>
        <v/>
      </c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36" t="str">
        <f aca="false">IF(C410="","",SUM(J410:O410))</f>
        <v/>
      </c>
      <c r="W410" s="36" t="str">
        <f aca="false">IF(C410="","",SUM(P410:U410))</f>
        <v/>
      </c>
      <c r="X410" s="19" t="str">
        <f aca="false">IF(OR(C410="",V410=0),"",W410/V410)</f>
        <v/>
      </c>
      <c r="Y410" s="16" t="str">
        <f aca="false">IF(OR(C410="",V410=0),"",IF(W410&gt;=V410,"Sí","No"))</f>
        <v/>
      </c>
      <c r="Z410" s="9"/>
      <c r="AA410" s="9"/>
    </row>
    <row r="411" customFormat="false" ht="15" hidden="false" customHeight="false" outlineLevel="0" collapsed="false">
      <c r="A411" s="9"/>
      <c r="B411" s="9"/>
      <c r="C411" s="9"/>
      <c r="D411" s="16" t="str">
        <f aca="false">IF(C411="","",IFERROR(INDEX(LOOKAHEAD!$B$5:$B$204,MATCH(C411,LOOKAHEAD!$A$5:$A$204,0)),""))</f>
        <v/>
      </c>
      <c r="E411" s="16" t="str">
        <f aca="false">IF(C411="","",IFERROR(INDEX(LOOKAHEAD!$E$5:$E$204,MATCH(C411,LOOKAHEAD!$A$5:$A$204,0)),""))</f>
        <v/>
      </c>
      <c r="F411" s="16" t="str">
        <f aca="false">IF(C411="","",IFERROR(INDEX(LOOKAHEAD!$M$5:$M$204,MATCH(C411,LOOKAHEAD!$A$5:$A$204,0)),""))</f>
        <v/>
      </c>
      <c r="G411" s="9"/>
      <c r="H411" s="9"/>
      <c r="I411" s="16" t="str">
        <f aca="false">IF(C411="","",IFERROR(INDEX(LOOKAHEAD!$G$5:$G$204,MATCH(C411,LOOKAHEAD!$A$5:$A$204,0)),""))</f>
        <v/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36" t="str">
        <f aca="false">IF(C411="","",SUM(J411:O411))</f>
        <v/>
      </c>
      <c r="W411" s="36" t="str">
        <f aca="false">IF(C411="","",SUM(P411:U411))</f>
        <v/>
      </c>
      <c r="X411" s="19" t="str">
        <f aca="false">IF(OR(C411="",V411=0),"",W411/V411)</f>
        <v/>
      </c>
      <c r="Y411" s="16" t="str">
        <f aca="false">IF(OR(C411="",V411=0),"",IF(W411&gt;=V411,"Sí","No"))</f>
        <v/>
      </c>
      <c r="Z411" s="9"/>
      <c r="AA411" s="9"/>
    </row>
    <row r="412" customFormat="false" ht="15" hidden="false" customHeight="false" outlineLevel="0" collapsed="false">
      <c r="A412" s="9"/>
      <c r="B412" s="9"/>
      <c r="C412" s="9"/>
      <c r="D412" s="16" t="str">
        <f aca="false">IF(C412="","",IFERROR(INDEX(LOOKAHEAD!$B$5:$B$204,MATCH(C412,LOOKAHEAD!$A$5:$A$204,0)),""))</f>
        <v/>
      </c>
      <c r="E412" s="16" t="str">
        <f aca="false">IF(C412="","",IFERROR(INDEX(LOOKAHEAD!$E$5:$E$204,MATCH(C412,LOOKAHEAD!$A$5:$A$204,0)),""))</f>
        <v/>
      </c>
      <c r="F412" s="16" t="str">
        <f aca="false">IF(C412="","",IFERROR(INDEX(LOOKAHEAD!$M$5:$M$204,MATCH(C412,LOOKAHEAD!$A$5:$A$204,0)),""))</f>
        <v/>
      </c>
      <c r="G412" s="9"/>
      <c r="H412" s="9"/>
      <c r="I412" s="16" t="str">
        <f aca="false">IF(C412="","",IFERROR(INDEX(LOOKAHEAD!$G$5:$G$204,MATCH(C412,LOOKAHEAD!$A$5:$A$204,0)),""))</f>
        <v/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36" t="str">
        <f aca="false">IF(C412="","",SUM(J412:O412))</f>
        <v/>
      </c>
      <c r="W412" s="36" t="str">
        <f aca="false">IF(C412="","",SUM(P412:U412))</f>
        <v/>
      </c>
      <c r="X412" s="19" t="str">
        <f aca="false">IF(OR(C412="",V412=0),"",W412/V412)</f>
        <v/>
      </c>
      <c r="Y412" s="16" t="str">
        <f aca="false">IF(OR(C412="",V412=0),"",IF(W412&gt;=V412,"Sí","No"))</f>
        <v/>
      </c>
      <c r="Z412" s="9"/>
      <c r="AA412" s="9"/>
    </row>
    <row r="413" customFormat="false" ht="15" hidden="false" customHeight="false" outlineLevel="0" collapsed="false">
      <c r="A413" s="9"/>
      <c r="B413" s="9"/>
      <c r="C413" s="9"/>
      <c r="D413" s="16" t="str">
        <f aca="false">IF(C413="","",IFERROR(INDEX(LOOKAHEAD!$B$5:$B$204,MATCH(C413,LOOKAHEAD!$A$5:$A$204,0)),""))</f>
        <v/>
      </c>
      <c r="E413" s="16" t="str">
        <f aca="false">IF(C413="","",IFERROR(INDEX(LOOKAHEAD!$E$5:$E$204,MATCH(C413,LOOKAHEAD!$A$5:$A$204,0)),""))</f>
        <v/>
      </c>
      <c r="F413" s="16" t="str">
        <f aca="false">IF(C413="","",IFERROR(INDEX(LOOKAHEAD!$M$5:$M$204,MATCH(C413,LOOKAHEAD!$A$5:$A$204,0)),""))</f>
        <v/>
      </c>
      <c r="G413" s="9"/>
      <c r="H413" s="9"/>
      <c r="I413" s="16" t="str">
        <f aca="false">IF(C413="","",IFERROR(INDEX(LOOKAHEAD!$G$5:$G$204,MATCH(C413,LOOKAHEAD!$A$5:$A$204,0)),""))</f>
        <v/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36" t="str">
        <f aca="false">IF(C413="","",SUM(J413:O413))</f>
        <v/>
      </c>
      <c r="W413" s="36" t="str">
        <f aca="false">IF(C413="","",SUM(P413:U413))</f>
        <v/>
      </c>
      <c r="X413" s="19" t="str">
        <f aca="false">IF(OR(C413="",V413=0),"",W413/V413)</f>
        <v/>
      </c>
      <c r="Y413" s="16" t="str">
        <f aca="false">IF(OR(C413="",V413=0),"",IF(W413&gt;=V413,"Sí","No"))</f>
        <v/>
      </c>
      <c r="Z413" s="9"/>
      <c r="AA413" s="9"/>
    </row>
    <row r="414" customFormat="false" ht="15" hidden="false" customHeight="false" outlineLevel="0" collapsed="false">
      <c r="A414" s="9"/>
      <c r="B414" s="9"/>
      <c r="C414" s="9"/>
      <c r="D414" s="16" t="str">
        <f aca="false">IF(C414="","",IFERROR(INDEX(LOOKAHEAD!$B$5:$B$204,MATCH(C414,LOOKAHEAD!$A$5:$A$204,0)),""))</f>
        <v/>
      </c>
      <c r="E414" s="16" t="str">
        <f aca="false">IF(C414="","",IFERROR(INDEX(LOOKAHEAD!$E$5:$E$204,MATCH(C414,LOOKAHEAD!$A$5:$A$204,0)),""))</f>
        <v/>
      </c>
      <c r="F414" s="16" t="str">
        <f aca="false">IF(C414="","",IFERROR(INDEX(LOOKAHEAD!$M$5:$M$204,MATCH(C414,LOOKAHEAD!$A$5:$A$204,0)),""))</f>
        <v/>
      </c>
      <c r="G414" s="9"/>
      <c r="H414" s="9"/>
      <c r="I414" s="16" t="str">
        <f aca="false">IF(C414="","",IFERROR(INDEX(LOOKAHEAD!$G$5:$G$204,MATCH(C414,LOOKAHEAD!$A$5:$A$204,0)),""))</f>
        <v/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36" t="str">
        <f aca="false">IF(C414="","",SUM(J414:O414))</f>
        <v/>
      </c>
      <c r="W414" s="36" t="str">
        <f aca="false">IF(C414="","",SUM(P414:U414))</f>
        <v/>
      </c>
      <c r="X414" s="19" t="str">
        <f aca="false">IF(OR(C414="",V414=0),"",W414/V414)</f>
        <v/>
      </c>
      <c r="Y414" s="16" t="str">
        <f aca="false">IF(OR(C414="",V414=0),"",IF(W414&gt;=V414,"Sí","No"))</f>
        <v/>
      </c>
      <c r="Z414" s="9"/>
      <c r="AA414" s="9"/>
    </row>
    <row r="415" customFormat="false" ht="15" hidden="false" customHeight="false" outlineLevel="0" collapsed="false">
      <c r="A415" s="9"/>
      <c r="B415" s="9"/>
      <c r="C415" s="9"/>
      <c r="D415" s="16" t="str">
        <f aca="false">IF(C415="","",IFERROR(INDEX(LOOKAHEAD!$B$5:$B$204,MATCH(C415,LOOKAHEAD!$A$5:$A$204,0)),""))</f>
        <v/>
      </c>
      <c r="E415" s="16" t="str">
        <f aca="false">IF(C415="","",IFERROR(INDEX(LOOKAHEAD!$E$5:$E$204,MATCH(C415,LOOKAHEAD!$A$5:$A$204,0)),""))</f>
        <v/>
      </c>
      <c r="F415" s="16" t="str">
        <f aca="false">IF(C415="","",IFERROR(INDEX(LOOKAHEAD!$M$5:$M$204,MATCH(C415,LOOKAHEAD!$A$5:$A$204,0)),""))</f>
        <v/>
      </c>
      <c r="G415" s="9"/>
      <c r="H415" s="9"/>
      <c r="I415" s="16" t="str">
        <f aca="false">IF(C415="","",IFERROR(INDEX(LOOKAHEAD!$G$5:$G$204,MATCH(C415,LOOKAHEAD!$A$5:$A$204,0)),""))</f>
        <v/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36" t="str">
        <f aca="false">IF(C415="","",SUM(J415:O415))</f>
        <v/>
      </c>
      <c r="W415" s="36" t="str">
        <f aca="false">IF(C415="","",SUM(P415:U415))</f>
        <v/>
      </c>
      <c r="X415" s="19" t="str">
        <f aca="false">IF(OR(C415="",V415=0),"",W415/V415)</f>
        <v/>
      </c>
      <c r="Y415" s="16" t="str">
        <f aca="false">IF(OR(C415="",V415=0),"",IF(W415&gt;=V415,"Sí","No"))</f>
        <v/>
      </c>
      <c r="Z415" s="9"/>
      <c r="AA415" s="9"/>
    </row>
    <row r="416" customFormat="false" ht="15" hidden="false" customHeight="false" outlineLevel="0" collapsed="false">
      <c r="A416" s="9"/>
      <c r="B416" s="9"/>
      <c r="C416" s="9"/>
      <c r="D416" s="16" t="str">
        <f aca="false">IF(C416="","",IFERROR(INDEX(LOOKAHEAD!$B$5:$B$204,MATCH(C416,LOOKAHEAD!$A$5:$A$204,0)),""))</f>
        <v/>
      </c>
      <c r="E416" s="16" t="str">
        <f aca="false">IF(C416="","",IFERROR(INDEX(LOOKAHEAD!$E$5:$E$204,MATCH(C416,LOOKAHEAD!$A$5:$A$204,0)),""))</f>
        <v/>
      </c>
      <c r="F416" s="16" t="str">
        <f aca="false">IF(C416="","",IFERROR(INDEX(LOOKAHEAD!$M$5:$M$204,MATCH(C416,LOOKAHEAD!$A$5:$A$204,0)),""))</f>
        <v/>
      </c>
      <c r="G416" s="9"/>
      <c r="H416" s="9"/>
      <c r="I416" s="16" t="str">
        <f aca="false">IF(C416="","",IFERROR(INDEX(LOOKAHEAD!$G$5:$G$204,MATCH(C416,LOOKAHEAD!$A$5:$A$204,0)),""))</f>
        <v/>
      </c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36" t="str">
        <f aca="false">IF(C416="","",SUM(J416:O416))</f>
        <v/>
      </c>
      <c r="W416" s="36" t="str">
        <f aca="false">IF(C416="","",SUM(P416:U416))</f>
        <v/>
      </c>
      <c r="X416" s="19" t="str">
        <f aca="false">IF(OR(C416="",V416=0),"",W416/V416)</f>
        <v/>
      </c>
      <c r="Y416" s="16" t="str">
        <f aca="false">IF(OR(C416="",V416=0),"",IF(W416&gt;=V416,"Sí","No"))</f>
        <v/>
      </c>
      <c r="Z416" s="9"/>
      <c r="AA416" s="9"/>
    </row>
    <row r="417" customFormat="false" ht="15" hidden="false" customHeight="false" outlineLevel="0" collapsed="false">
      <c r="A417" s="9"/>
      <c r="B417" s="9"/>
      <c r="C417" s="9"/>
      <c r="D417" s="16" t="str">
        <f aca="false">IF(C417="","",IFERROR(INDEX(LOOKAHEAD!$B$5:$B$204,MATCH(C417,LOOKAHEAD!$A$5:$A$204,0)),""))</f>
        <v/>
      </c>
      <c r="E417" s="16" t="str">
        <f aca="false">IF(C417="","",IFERROR(INDEX(LOOKAHEAD!$E$5:$E$204,MATCH(C417,LOOKAHEAD!$A$5:$A$204,0)),""))</f>
        <v/>
      </c>
      <c r="F417" s="16" t="str">
        <f aca="false">IF(C417="","",IFERROR(INDEX(LOOKAHEAD!$M$5:$M$204,MATCH(C417,LOOKAHEAD!$A$5:$A$204,0)),""))</f>
        <v/>
      </c>
      <c r="G417" s="9"/>
      <c r="H417" s="9"/>
      <c r="I417" s="16" t="str">
        <f aca="false">IF(C417="","",IFERROR(INDEX(LOOKAHEAD!$G$5:$G$204,MATCH(C417,LOOKAHEAD!$A$5:$A$204,0)),""))</f>
        <v/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36" t="str">
        <f aca="false">IF(C417="","",SUM(J417:O417))</f>
        <v/>
      </c>
      <c r="W417" s="36" t="str">
        <f aca="false">IF(C417="","",SUM(P417:U417))</f>
        <v/>
      </c>
      <c r="X417" s="19" t="str">
        <f aca="false">IF(OR(C417="",V417=0),"",W417/V417)</f>
        <v/>
      </c>
      <c r="Y417" s="16" t="str">
        <f aca="false">IF(OR(C417="",V417=0),"",IF(W417&gt;=V417,"Sí","No"))</f>
        <v/>
      </c>
      <c r="Z417" s="9"/>
      <c r="AA417" s="9"/>
    </row>
    <row r="418" customFormat="false" ht="15" hidden="false" customHeight="false" outlineLevel="0" collapsed="false">
      <c r="A418" s="9"/>
      <c r="B418" s="9"/>
      <c r="C418" s="9"/>
      <c r="D418" s="16" t="str">
        <f aca="false">IF(C418="","",IFERROR(INDEX(LOOKAHEAD!$B$5:$B$204,MATCH(C418,LOOKAHEAD!$A$5:$A$204,0)),""))</f>
        <v/>
      </c>
      <c r="E418" s="16" t="str">
        <f aca="false">IF(C418="","",IFERROR(INDEX(LOOKAHEAD!$E$5:$E$204,MATCH(C418,LOOKAHEAD!$A$5:$A$204,0)),""))</f>
        <v/>
      </c>
      <c r="F418" s="16" t="str">
        <f aca="false">IF(C418="","",IFERROR(INDEX(LOOKAHEAD!$M$5:$M$204,MATCH(C418,LOOKAHEAD!$A$5:$A$204,0)),""))</f>
        <v/>
      </c>
      <c r="G418" s="9"/>
      <c r="H418" s="9"/>
      <c r="I418" s="16" t="str">
        <f aca="false">IF(C418="","",IFERROR(INDEX(LOOKAHEAD!$G$5:$G$204,MATCH(C418,LOOKAHEAD!$A$5:$A$204,0)),""))</f>
        <v/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36" t="str">
        <f aca="false">IF(C418="","",SUM(J418:O418))</f>
        <v/>
      </c>
      <c r="W418" s="36" t="str">
        <f aca="false">IF(C418="","",SUM(P418:U418))</f>
        <v/>
      </c>
      <c r="X418" s="19" t="str">
        <f aca="false">IF(OR(C418="",V418=0),"",W418/V418)</f>
        <v/>
      </c>
      <c r="Y418" s="16" t="str">
        <f aca="false">IF(OR(C418="",V418=0),"",IF(W418&gt;=V418,"Sí","No"))</f>
        <v/>
      </c>
      <c r="Z418" s="9"/>
      <c r="AA418" s="9"/>
    </row>
    <row r="419" customFormat="false" ht="15" hidden="false" customHeight="false" outlineLevel="0" collapsed="false">
      <c r="A419" s="9"/>
      <c r="B419" s="9"/>
      <c r="C419" s="9"/>
      <c r="D419" s="16" t="str">
        <f aca="false">IF(C419="","",IFERROR(INDEX(LOOKAHEAD!$B$5:$B$204,MATCH(C419,LOOKAHEAD!$A$5:$A$204,0)),""))</f>
        <v/>
      </c>
      <c r="E419" s="16" t="str">
        <f aca="false">IF(C419="","",IFERROR(INDEX(LOOKAHEAD!$E$5:$E$204,MATCH(C419,LOOKAHEAD!$A$5:$A$204,0)),""))</f>
        <v/>
      </c>
      <c r="F419" s="16" t="str">
        <f aca="false">IF(C419="","",IFERROR(INDEX(LOOKAHEAD!$M$5:$M$204,MATCH(C419,LOOKAHEAD!$A$5:$A$204,0)),""))</f>
        <v/>
      </c>
      <c r="G419" s="9"/>
      <c r="H419" s="9"/>
      <c r="I419" s="16" t="str">
        <f aca="false">IF(C419="","",IFERROR(INDEX(LOOKAHEAD!$G$5:$G$204,MATCH(C419,LOOKAHEAD!$A$5:$A$204,0)),""))</f>
        <v/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36" t="str">
        <f aca="false">IF(C419="","",SUM(J419:O419))</f>
        <v/>
      </c>
      <c r="W419" s="36" t="str">
        <f aca="false">IF(C419="","",SUM(P419:U419))</f>
        <v/>
      </c>
      <c r="X419" s="19" t="str">
        <f aca="false">IF(OR(C419="",V419=0),"",W419/V419)</f>
        <v/>
      </c>
      <c r="Y419" s="16" t="str">
        <f aca="false">IF(OR(C419="",V419=0),"",IF(W419&gt;=V419,"Sí","No"))</f>
        <v/>
      </c>
      <c r="Z419" s="9"/>
      <c r="AA419" s="9"/>
    </row>
    <row r="420" customFormat="false" ht="15" hidden="false" customHeight="false" outlineLevel="0" collapsed="false">
      <c r="A420" s="9"/>
      <c r="B420" s="9"/>
      <c r="C420" s="9"/>
      <c r="D420" s="16" t="str">
        <f aca="false">IF(C420="","",IFERROR(INDEX(LOOKAHEAD!$B$5:$B$204,MATCH(C420,LOOKAHEAD!$A$5:$A$204,0)),""))</f>
        <v/>
      </c>
      <c r="E420" s="16" t="str">
        <f aca="false">IF(C420="","",IFERROR(INDEX(LOOKAHEAD!$E$5:$E$204,MATCH(C420,LOOKAHEAD!$A$5:$A$204,0)),""))</f>
        <v/>
      </c>
      <c r="F420" s="16" t="str">
        <f aca="false">IF(C420="","",IFERROR(INDEX(LOOKAHEAD!$M$5:$M$204,MATCH(C420,LOOKAHEAD!$A$5:$A$204,0)),""))</f>
        <v/>
      </c>
      <c r="G420" s="9"/>
      <c r="H420" s="9"/>
      <c r="I420" s="16" t="str">
        <f aca="false">IF(C420="","",IFERROR(INDEX(LOOKAHEAD!$G$5:$G$204,MATCH(C420,LOOKAHEAD!$A$5:$A$204,0)),""))</f>
        <v/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36" t="str">
        <f aca="false">IF(C420="","",SUM(J420:O420))</f>
        <v/>
      </c>
      <c r="W420" s="36" t="str">
        <f aca="false">IF(C420="","",SUM(P420:U420))</f>
        <v/>
      </c>
      <c r="X420" s="19" t="str">
        <f aca="false">IF(OR(C420="",V420=0),"",W420/V420)</f>
        <v/>
      </c>
      <c r="Y420" s="16" t="str">
        <f aca="false">IF(OR(C420="",V420=0),"",IF(W420&gt;=V420,"Sí","No"))</f>
        <v/>
      </c>
      <c r="Z420" s="9"/>
      <c r="AA420" s="9"/>
    </row>
    <row r="421" customFormat="false" ht="15" hidden="false" customHeight="false" outlineLevel="0" collapsed="false">
      <c r="A421" s="9"/>
      <c r="B421" s="9"/>
      <c r="C421" s="9"/>
      <c r="D421" s="16" t="str">
        <f aca="false">IF(C421="","",IFERROR(INDEX(LOOKAHEAD!$B$5:$B$204,MATCH(C421,LOOKAHEAD!$A$5:$A$204,0)),""))</f>
        <v/>
      </c>
      <c r="E421" s="16" t="str">
        <f aca="false">IF(C421="","",IFERROR(INDEX(LOOKAHEAD!$E$5:$E$204,MATCH(C421,LOOKAHEAD!$A$5:$A$204,0)),""))</f>
        <v/>
      </c>
      <c r="F421" s="16" t="str">
        <f aca="false">IF(C421="","",IFERROR(INDEX(LOOKAHEAD!$M$5:$M$204,MATCH(C421,LOOKAHEAD!$A$5:$A$204,0)),""))</f>
        <v/>
      </c>
      <c r="G421" s="9"/>
      <c r="H421" s="9"/>
      <c r="I421" s="16" t="str">
        <f aca="false">IF(C421="","",IFERROR(INDEX(LOOKAHEAD!$G$5:$G$204,MATCH(C421,LOOKAHEAD!$A$5:$A$204,0)),""))</f>
        <v/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36" t="str">
        <f aca="false">IF(C421="","",SUM(J421:O421))</f>
        <v/>
      </c>
      <c r="W421" s="36" t="str">
        <f aca="false">IF(C421="","",SUM(P421:U421))</f>
        <v/>
      </c>
      <c r="X421" s="19" t="str">
        <f aca="false">IF(OR(C421="",V421=0),"",W421/V421)</f>
        <v/>
      </c>
      <c r="Y421" s="16" t="str">
        <f aca="false">IF(OR(C421="",V421=0),"",IF(W421&gt;=V421,"Sí","No"))</f>
        <v/>
      </c>
      <c r="Z421" s="9"/>
      <c r="AA421" s="9"/>
    </row>
    <row r="422" customFormat="false" ht="15" hidden="false" customHeight="false" outlineLevel="0" collapsed="false">
      <c r="A422" s="9"/>
      <c r="B422" s="9"/>
      <c r="C422" s="9"/>
      <c r="D422" s="16" t="str">
        <f aca="false">IF(C422="","",IFERROR(INDEX(LOOKAHEAD!$B$5:$B$204,MATCH(C422,LOOKAHEAD!$A$5:$A$204,0)),""))</f>
        <v/>
      </c>
      <c r="E422" s="16" t="str">
        <f aca="false">IF(C422="","",IFERROR(INDEX(LOOKAHEAD!$E$5:$E$204,MATCH(C422,LOOKAHEAD!$A$5:$A$204,0)),""))</f>
        <v/>
      </c>
      <c r="F422" s="16" t="str">
        <f aca="false">IF(C422="","",IFERROR(INDEX(LOOKAHEAD!$M$5:$M$204,MATCH(C422,LOOKAHEAD!$A$5:$A$204,0)),""))</f>
        <v/>
      </c>
      <c r="G422" s="9"/>
      <c r="H422" s="9"/>
      <c r="I422" s="16" t="str">
        <f aca="false">IF(C422="","",IFERROR(INDEX(LOOKAHEAD!$G$5:$G$204,MATCH(C422,LOOKAHEAD!$A$5:$A$204,0)),""))</f>
        <v/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36" t="str">
        <f aca="false">IF(C422="","",SUM(J422:O422))</f>
        <v/>
      </c>
      <c r="W422" s="36" t="str">
        <f aca="false">IF(C422="","",SUM(P422:U422))</f>
        <v/>
      </c>
      <c r="X422" s="19" t="str">
        <f aca="false">IF(OR(C422="",V422=0),"",W422/V422)</f>
        <v/>
      </c>
      <c r="Y422" s="16" t="str">
        <f aca="false">IF(OR(C422="",V422=0),"",IF(W422&gt;=V422,"Sí","No"))</f>
        <v/>
      </c>
      <c r="Z422" s="9"/>
      <c r="AA422" s="9"/>
    </row>
    <row r="423" customFormat="false" ht="15" hidden="false" customHeight="false" outlineLevel="0" collapsed="false">
      <c r="A423" s="9"/>
      <c r="B423" s="9"/>
      <c r="C423" s="9"/>
      <c r="D423" s="16" t="str">
        <f aca="false">IF(C423="","",IFERROR(INDEX(LOOKAHEAD!$B$5:$B$204,MATCH(C423,LOOKAHEAD!$A$5:$A$204,0)),""))</f>
        <v/>
      </c>
      <c r="E423" s="16" t="str">
        <f aca="false">IF(C423="","",IFERROR(INDEX(LOOKAHEAD!$E$5:$E$204,MATCH(C423,LOOKAHEAD!$A$5:$A$204,0)),""))</f>
        <v/>
      </c>
      <c r="F423" s="16" t="str">
        <f aca="false">IF(C423="","",IFERROR(INDEX(LOOKAHEAD!$M$5:$M$204,MATCH(C423,LOOKAHEAD!$A$5:$A$204,0)),""))</f>
        <v/>
      </c>
      <c r="G423" s="9"/>
      <c r="H423" s="9"/>
      <c r="I423" s="16" t="str">
        <f aca="false">IF(C423="","",IFERROR(INDEX(LOOKAHEAD!$G$5:$G$204,MATCH(C423,LOOKAHEAD!$A$5:$A$204,0)),""))</f>
        <v/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36" t="str">
        <f aca="false">IF(C423="","",SUM(J423:O423))</f>
        <v/>
      </c>
      <c r="W423" s="36" t="str">
        <f aca="false">IF(C423="","",SUM(P423:U423))</f>
        <v/>
      </c>
      <c r="X423" s="19" t="str">
        <f aca="false">IF(OR(C423="",V423=0),"",W423/V423)</f>
        <v/>
      </c>
      <c r="Y423" s="16" t="str">
        <f aca="false">IF(OR(C423="",V423=0),"",IF(W423&gt;=V423,"Sí","No"))</f>
        <v/>
      </c>
      <c r="Z423" s="9"/>
      <c r="AA423" s="9"/>
    </row>
    <row r="424" customFormat="false" ht="15" hidden="false" customHeight="false" outlineLevel="0" collapsed="false">
      <c r="A424" s="9"/>
      <c r="B424" s="9"/>
      <c r="C424" s="9"/>
      <c r="D424" s="16" t="str">
        <f aca="false">IF(C424="","",IFERROR(INDEX(LOOKAHEAD!$B$5:$B$204,MATCH(C424,LOOKAHEAD!$A$5:$A$204,0)),""))</f>
        <v/>
      </c>
      <c r="E424" s="16" t="str">
        <f aca="false">IF(C424="","",IFERROR(INDEX(LOOKAHEAD!$E$5:$E$204,MATCH(C424,LOOKAHEAD!$A$5:$A$204,0)),""))</f>
        <v/>
      </c>
      <c r="F424" s="16" t="str">
        <f aca="false">IF(C424="","",IFERROR(INDEX(LOOKAHEAD!$M$5:$M$204,MATCH(C424,LOOKAHEAD!$A$5:$A$204,0)),""))</f>
        <v/>
      </c>
      <c r="G424" s="9"/>
      <c r="H424" s="9"/>
      <c r="I424" s="16" t="str">
        <f aca="false">IF(C424="","",IFERROR(INDEX(LOOKAHEAD!$G$5:$G$204,MATCH(C424,LOOKAHEAD!$A$5:$A$204,0)),""))</f>
        <v/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36" t="str">
        <f aca="false">IF(C424="","",SUM(J424:O424))</f>
        <v/>
      </c>
      <c r="W424" s="36" t="str">
        <f aca="false">IF(C424="","",SUM(P424:U424))</f>
        <v/>
      </c>
      <c r="X424" s="19" t="str">
        <f aca="false">IF(OR(C424="",V424=0),"",W424/V424)</f>
        <v/>
      </c>
      <c r="Y424" s="16" t="str">
        <f aca="false">IF(OR(C424="",V424=0),"",IF(W424&gt;=V424,"Sí","No"))</f>
        <v/>
      </c>
      <c r="Z424" s="9"/>
      <c r="AA424" s="9"/>
    </row>
    <row r="425" customFormat="false" ht="15" hidden="false" customHeight="false" outlineLevel="0" collapsed="false">
      <c r="A425" s="9"/>
      <c r="B425" s="9"/>
      <c r="C425" s="9"/>
      <c r="D425" s="16" t="str">
        <f aca="false">IF(C425="","",IFERROR(INDEX(LOOKAHEAD!$B$5:$B$204,MATCH(C425,LOOKAHEAD!$A$5:$A$204,0)),""))</f>
        <v/>
      </c>
      <c r="E425" s="16" t="str">
        <f aca="false">IF(C425="","",IFERROR(INDEX(LOOKAHEAD!$E$5:$E$204,MATCH(C425,LOOKAHEAD!$A$5:$A$204,0)),""))</f>
        <v/>
      </c>
      <c r="F425" s="16" t="str">
        <f aca="false">IF(C425="","",IFERROR(INDEX(LOOKAHEAD!$M$5:$M$204,MATCH(C425,LOOKAHEAD!$A$5:$A$204,0)),""))</f>
        <v/>
      </c>
      <c r="G425" s="9"/>
      <c r="H425" s="9"/>
      <c r="I425" s="16" t="str">
        <f aca="false">IF(C425="","",IFERROR(INDEX(LOOKAHEAD!$G$5:$G$204,MATCH(C425,LOOKAHEAD!$A$5:$A$204,0)),""))</f>
        <v/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36" t="str">
        <f aca="false">IF(C425="","",SUM(J425:O425))</f>
        <v/>
      </c>
      <c r="W425" s="36" t="str">
        <f aca="false">IF(C425="","",SUM(P425:U425))</f>
        <v/>
      </c>
      <c r="X425" s="19" t="str">
        <f aca="false">IF(OR(C425="",V425=0),"",W425/V425)</f>
        <v/>
      </c>
      <c r="Y425" s="16" t="str">
        <f aca="false">IF(OR(C425="",V425=0),"",IF(W425&gt;=V425,"Sí","No"))</f>
        <v/>
      </c>
      <c r="Z425" s="9"/>
      <c r="AA425" s="9"/>
    </row>
    <row r="426" customFormat="false" ht="15" hidden="false" customHeight="false" outlineLevel="0" collapsed="false">
      <c r="A426" s="9"/>
      <c r="B426" s="9"/>
      <c r="C426" s="9"/>
      <c r="D426" s="16" t="str">
        <f aca="false">IF(C426="","",IFERROR(INDEX(LOOKAHEAD!$B$5:$B$204,MATCH(C426,LOOKAHEAD!$A$5:$A$204,0)),""))</f>
        <v/>
      </c>
      <c r="E426" s="16" t="str">
        <f aca="false">IF(C426="","",IFERROR(INDEX(LOOKAHEAD!$E$5:$E$204,MATCH(C426,LOOKAHEAD!$A$5:$A$204,0)),""))</f>
        <v/>
      </c>
      <c r="F426" s="16" t="str">
        <f aca="false">IF(C426="","",IFERROR(INDEX(LOOKAHEAD!$M$5:$M$204,MATCH(C426,LOOKAHEAD!$A$5:$A$204,0)),""))</f>
        <v/>
      </c>
      <c r="G426" s="9"/>
      <c r="H426" s="9"/>
      <c r="I426" s="16" t="str">
        <f aca="false">IF(C426="","",IFERROR(INDEX(LOOKAHEAD!$G$5:$G$204,MATCH(C426,LOOKAHEAD!$A$5:$A$204,0)),""))</f>
        <v/>
      </c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36" t="str">
        <f aca="false">IF(C426="","",SUM(J426:O426))</f>
        <v/>
      </c>
      <c r="W426" s="36" t="str">
        <f aca="false">IF(C426="","",SUM(P426:U426))</f>
        <v/>
      </c>
      <c r="X426" s="19" t="str">
        <f aca="false">IF(OR(C426="",V426=0),"",W426/V426)</f>
        <v/>
      </c>
      <c r="Y426" s="16" t="str">
        <f aca="false">IF(OR(C426="",V426=0),"",IF(W426&gt;=V426,"Sí","No"))</f>
        <v/>
      </c>
      <c r="Z426" s="9"/>
      <c r="AA426" s="9"/>
    </row>
    <row r="427" customFormat="false" ht="15" hidden="false" customHeight="false" outlineLevel="0" collapsed="false">
      <c r="A427" s="9"/>
      <c r="B427" s="9"/>
      <c r="C427" s="9"/>
      <c r="D427" s="16" t="str">
        <f aca="false">IF(C427="","",IFERROR(INDEX(LOOKAHEAD!$B$5:$B$204,MATCH(C427,LOOKAHEAD!$A$5:$A$204,0)),""))</f>
        <v/>
      </c>
      <c r="E427" s="16" t="str">
        <f aca="false">IF(C427="","",IFERROR(INDEX(LOOKAHEAD!$E$5:$E$204,MATCH(C427,LOOKAHEAD!$A$5:$A$204,0)),""))</f>
        <v/>
      </c>
      <c r="F427" s="16" t="str">
        <f aca="false">IF(C427="","",IFERROR(INDEX(LOOKAHEAD!$M$5:$M$204,MATCH(C427,LOOKAHEAD!$A$5:$A$204,0)),""))</f>
        <v/>
      </c>
      <c r="G427" s="9"/>
      <c r="H427" s="9"/>
      <c r="I427" s="16" t="str">
        <f aca="false">IF(C427="","",IFERROR(INDEX(LOOKAHEAD!$G$5:$G$204,MATCH(C427,LOOKAHEAD!$A$5:$A$204,0)),""))</f>
        <v/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36" t="str">
        <f aca="false">IF(C427="","",SUM(J427:O427))</f>
        <v/>
      </c>
      <c r="W427" s="36" t="str">
        <f aca="false">IF(C427="","",SUM(P427:U427))</f>
        <v/>
      </c>
      <c r="X427" s="19" t="str">
        <f aca="false">IF(OR(C427="",V427=0),"",W427/V427)</f>
        <v/>
      </c>
      <c r="Y427" s="16" t="str">
        <f aca="false">IF(OR(C427="",V427=0),"",IF(W427&gt;=V427,"Sí","No"))</f>
        <v/>
      </c>
      <c r="Z427" s="9"/>
      <c r="AA427" s="9"/>
    </row>
    <row r="428" customFormat="false" ht="15" hidden="false" customHeight="false" outlineLevel="0" collapsed="false">
      <c r="A428" s="9"/>
      <c r="B428" s="9"/>
      <c r="C428" s="9"/>
      <c r="D428" s="16" t="str">
        <f aca="false">IF(C428="","",IFERROR(INDEX(LOOKAHEAD!$B$5:$B$204,MATCH(C428,LOOKAHEAD!$A$5:$A$204,0)),""))</f>
        <v/>
      </c>
      <c r="E428" s="16" t="str">
        <f aca="false">IF(C428="","",IFERROR(INDEX(LOOKAHEAD!$E$5:$E$204,MATCH(C428,LOOKAHEAD!$A$5:$A$204,0)),""))</f>
        <v/>
      </c>
      <c r="F428" s="16" t="str">
        <f aca="false">IF(C428="","",IFERROR(INDEX(LOOKAHEAD!$M$5:$M$204,MATCH(C428,LOOKAHEAD!$A$5:$A$204,0)),""))</f>
        <v/>
      </c>
      <c r="G428" s="9"/>
      <c r="H428" s="9"/>
      <c r="I428" s="16" t="str">
        <f aca="false">IF(C428="","",IFERROR(INDEX(LOOKAHEAD!$G$5:$G$204,MATCH(C428,LOOKAHEAD!$A$5:$A$204,0)),""))</f>
        <v/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36" t="str">
        <f aca="false">IF(C428="","",SUM(J428:O428))</f>
        <v/>
      </c>
      <c r="W428" s="36" t="str">
        <f aca="false">IF(C428="","",SUM(P428:U428))</f>
        <v/>
      </c>
      <c r="X428" s="19" t="str">
        <f aca="false">IF(OR(C428="",V428=0),"",W428/V428)</f>
        <v/>
      </c>
      <c r="Y428" s="16" t="str">
        <f aca="false">IF(OR(C428="",V428=0),"",IF(W428&gt;=V428,"Sí","No"))</f>
        <v/>
      </c>
      <c r="Z428" s="9"/>
      <c r="AA428" s="9"/>
    </row>
    <row r="429" customFormat="false" ht="15" hidden="false" customHeight="false" outlineLevel="0" collapsed="false">
      <c r="A429" s="9"/>
      <c r="B429" s="9"/>
      <c r="C429" s="9"/>
      <c r="D429" s="16" t="str">
        <f aca="false">IF(C429="","",IFERROR(INDEX(LOOKAHEAD!$B$5:$B$204,MATCH(C429,LOOKAHEAD!$A$5:$A$204,0)),""))</f>
        <v/>
      </c>
      <c r="E429" s="16" t="str">
        <f aca="false">IF(C429="","",IFERROR(INDEX(LOOKAHEAD!$E$5:$E$204,MATCH(C429,LOOKAHEAD!$A$5:$A$204,0)),""))</f>
        <v/>
      </c>
      <c r="F429" s="16" t="str">
        <f aca="false">IF(C429="","",IFERROR(INDEX(LOOKAHEAD!$M$5:$M$204,MATCH(C429,LOOKAHEAD!$A$5:$A$204,0)),""))</f>
        <v/>
      </c>
      <c r="G429" s="9"/>
      <c r="H429" s="9"/>
      <c r="I429" s="16" t="str">
        <f aca="false">IF(C429="","",IFERROR(INDEX(LOOKAHEAD!$G$5:$G$204,MATCH(C429,LOOKAHEAD!$A$5:$A$204,0)),""))</f>
        <v/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36" t="str">
        <f aca="false">IF(C429="","",SUM(J429:O429))</f>
        <v/>
      </c>
      <c r="W429" s="36" t="str">
        <f aca="false">IF(C429="","",SUM(P429:U429))</f>
        <v/>
      </c>
      <c r="X429" s="19" t="str">
        <f aca="false">IF(OR(C429="",V429=0),"",W429/V429)</f>
        <v/>
      </c>
      <c r="Y429" s="16" t="str">
        <f aca="false">IF(OR(C429="",V429=0),"",IF(W429&gt;=V429,"Sí","No"))</f>
        <v/>
      </c>
      <c r="Z429" s="9"/>
      <c r="AA429" s="9"/>
    </row>
    <row r="430" customFormat="false" ht="15" hidden="false" customHeight="false" outlineLevel="0" collapsed="false">
      <c r="A430" s="9"/>
      <c r="B430" s="9"/>
      <c r="C430" s="9"/>
      <c r="D430" s="16" t="str">
        <f aca="false">IF(C430="","",IFERROR(INDEX(LOOKAHEAD!$B$5:$B$204,MATCH(C430,LOOKAHEAD!$A$5:$A$204,0)),""))</f>
        <v/>
      </c>
      <c r="E430" s="16" t="str">
        <f aca="false">IF(C430="","",IFERROR(INDEX(LOOKAHEAD!$E$5:$E$204,MATCH(C430,LOOKAHEAD!$A$5:$A$204,0)),""))</f>
        <v/>
      </c>
      <c r="F430" s="16" t="str">
        <f aca="false">IF(C430="","",IFERROR(INDEX(LOOKAHEAD!$M$5:$M$204,MATCH(C430,LOOKAHEAD!$A$5:$A$204,0)),""))</f>
        <v/>
      </c>
      <c r="G430" s="9"/>
      <c r="H430" s="9"/>
      <c r="I430" s="16" t="str">
        <f aca="false">IF(C430="","",IFERROR(INDEX(LOOKAHEAD!$G$5:$G$204,MATCH(C430,LOOKAHEAD!$A$5:$A$204,0)),""))</f>
        <v/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36" t="str">
        <f aca="false">IF(C430="","",SUM(J430:O430))</f>
        <v/>
      </c>
      <c r="W430" s="36" t="str">
        <f aca="false">IF(C430="","",SUM(P430:U430))</f>
        <v/>
      </c>
      <c r="X430" s="19" t="str">
        <f aca="false">IF(OR(C430="",V430=0),"",W430/V430)</f>
        <v/>
      </c>
      <c r="Y430" s="16" t="str">
        <f aca="false">IF(OR(C430="",V430=0),"",IF(W430&gt;=V430,"Sí","No"))</f>
        <v/>
      </c>
      <c r="Z430" s="9"/>
      <c r="AA430" s="9"/>
    </row>
    <row r="431" customFormat="false" ht="15" hidden="false" customHeight="false" outlineLevel="0" collapsed="false">
      <c r="A431" s="9"/>
      <c r="B431" s="9"/>
      <c r="C431" s="9"/>
      <c r="D431" s="16" t="str">
        <f aca="false">IF(C431="","",IFERROR(INDEX(LOOKAHEAD!$B$5:$B$204,MATCH(C431,LOOKAHEAD!$A$5:$A$204,0)),""))</f>
        <v/>
      </c>
      <c r="E431" s="16" t="str">
        <f aca="false">IF(C431="","",IFERROR(INDEX(LOOKAHEAD!$E$5:$E$204,MATCH(C431,LOOKAHEAD!$A$5:$A$204,0)),""))</f>
        <v/>
      </c>
      <c r="F431" s="16" t="str">
        <f aca="false">IF(C431="","",IFERROR(INDEX(LOOKAHEAD!$M$5:$M$204,MATCH(C431,LOOKAHEAD!$A$5:$A$204,0)),""))</f>
        <v/>
      </c>
      <c r="G431" s="9"/>
      <c r="H431" s="9"/>
      <c r="I431" s="16" t="str">
        <f aca="false">IF(C431="","",IFERROR(INDEX(LOOKAHEAD!$G$5:$G$204,MATCH(C431,LOOKAHEAD!$A$5:$A$204,0)),""))</f>
        <v/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36" t="str">
        <f aca="false">IF(C431="","",SUM(J431:O431))</f>
        <v/>
      </c>
      <c r="W431" s="36" t="str">
        <f aca="false">IF(C431="","",SUM(P431:U431))</f>
        <v/>
      </c>
      <c r="X431" s="19" t="str">
        <f aca="false">IF(OR(C431="",V431=0),"",W431/V431)</f>
        <v/>
      </c>
      <c r="Y431" s="16" t="str">
        <f aca="false">IF(OR(C431="",V431=0),"",IF(W431&gt;=V431,"Sí","No"))</f>
        <v/>
      </c>
      <c r="Z431" s="9"/>
      <c r="AA431" s="9"/>
    </row>
    <row r="432" customFormat="false" ht="15" hidden="false" customHeight="false" outlineLevel="0" collapsed="false">
      <c r="A432" s="9"/>
      <c r="B432" s="9"/>
      <c r="C432" s="9"/>
      <c r="D432" s="16" t="str">
        <f aca="false">IF(C432="","",IFERROR(INDEX(LOOKAHEAD!$B$5:$B$204,MATCH(C432,LOOKAHEAD!$A$5:$A$204,0)),""))</f>
        <v/>
      </c>
      <c r="E432" s="16" t="str">
        <f aca="false">IF(C432="","",IFERROR(INDEX(LOOKAHEAD!$E$5:$E$204,MATCH(C432,LOOKAHEAD!$A$5:$A$204,0)),""))</f>
        <v/>
      </c>
      <c r="F432" s="16" t="str">
        <f aca="false">IF(C432="","",IFERROR(INDEX(LOOKAHEAD!$M$5:$M$204,MATCH(C432,LOOKAHEAD!$A$5:$A$204,0)),""))</f>
        <v/>
      </c>
      <c r="G432" s="9"/>
      <c r="H432" s="9"/>
      <c r="I432" s="16" t="str">
        <f aca="false">IF(C432="","",IFERROR(INDEX(LOOKAHEAD!$G$5:$G$204,MATCH(C432,LOOKAHEAD!$A$5:$A$204,0)),""))</f>
        <v/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36" t="str">
        <f aca="false">IF(C432="","",SUM(J432:O432))</f>
        <v/>
      </c>
      <c r="W432" s="36" t="str">
        <f aca="false">IF(C432="","",SUM(P432:U432))</f>
        <v/>
      </c>
      <c r="X432" s="19" t="str">
        <f aca="false">IF(OR(C432="",V432=0),"",W432/V432)</f>
        <v/>
      </c>
      <c r="Y432" s="16" t="str">
        <f aca="false">IF(OR(C432="",V432=0),"",IF(W432&gt;=V432,"Sí","No"))</f>
        <v/>
      </c>
      <c r="Z432" s="9"/>
      <c r="AA432" s="9"/>
    </row>
    <row r="433" customFormat="false" ht="15" hidden="false" customHeight="false" outlineLevel="0" collapsed="false">
      <c r="A433" s="9"/>
      <c r="B433" s="9"/>
      <c r="C433" s="9"/>
      <c r="D433" s="16" t="str">
        <f aca="false">IF(C433="","",IFERROR(INDEX(LOOKAHEAD!$B$5:$B$204,MATCH(C433,LOOKAHEAD!$A$5:$A$204,0)),""))</f>
        <v/>
      </c>
      <c r="E433" s="16" t="str">
        <f aca="false">IF(C433="","",IFERROR(INDEX(LOOKAHEAD!$E$5:$E$204,MATCH(C433,LOOKAHEAD!$A$5:$A$204,0)),""))</f>
        <v/>
      </c>
      <c r="F433" s="16" t="str">
        <f aca="false">IF(C433="","",IFERROR(INDEX(LOOKAHEAD!$M$5:$M$204,MATCH(C433,LOOKAHEAD!$A$5:$A$204,0)),""))</f>
        <v/>
      </c>
      <c r="G433" s="9"/>
      <c r="H433" s="9"/>
      <c r="I433" s="16" t="str">
        <f aca="false">IF(C433="","",IFERROR(INDEX(LOOKAHEAD!$G$5:$G$204,MATCH(C433,LOOKAHEAD!$A$5:$A$204,0)),""))</f>
        <v/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36" t="str">
        <f aca="false">IF(C433="","",SUM(J433:O433))</f>
        <v/>
      </c>
      <c r="W433" s="36" t="str">
        <f aca="false">IF(C433="","",SUM(P433:U433))</f>
        <v/>
      </c>
      <c r="X433" s="19" t="str">
        <f aca="false">IF(OR(C433="",V433=0),"",W433/V433)</f>
        <v/>
      </c>
      <c r="Y433" s="16" t="str">
        <f aca="false">IF(OR(C433="",V433=0),"",IF(W433&gt;=V433,"Sí","No"))</f>
        <v/>
      </c>
      <c r="Z433" s="9"/>
      <c r="AA433" s="9"/>
    </row>
    <row r="434" customFormat="false" ht="15" hidden="false" customHeight="false" outlineLevel="0" collapsed="false">
      <c r="A434" s="9"/>
      <c r="B434" s="9"/>
      <c r="C434" s="9"/>
      <c r="D434" s="16" t="str">
        <f aca="false">IF(C434="","",IFERROR(INDEX(LOOKAHEAD!$B$5:$B$204,MATCH(C434,LOOKAHEAD!$A$5:$A$204,0)),""))</f>
        <v/>
      </c>
      <c r="E434" s="16" t="str">
        <f aca="false">IF(C434="","",IFERROR(INDEX(LOOKAHEAD!$E$5:$E$204,MATCH(C434,LOOKAHEAD!$A$5:$A$204,0)),""))</f>
        <v/>
      </c>
      <c r="F434" s="16" t="str">
        <f aca="false">IF(C434="","",IFERROR(INDEX(LOOKAHEAD!$M$5:$M$204,MATCH(C434,LOOKAHEAD!$A$5:$A$204,0)),""))</f>
        <v/>
      </c>
      <c r="G434" s="9"/>
      <c r="H434" s="9"/>
      <c r="I434" s="16" t="str">
        <f aca="false">IF(C434="","",IFERROR(INDEX(LOOKAHEAD!$G$5:$G$204,MATCH(C434,LOOKAHEAD!$A$5:$A$204,0)),""))</f>
        <v/>
      </c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36" t="str">
        <f aca="false">IF(C434="","",SUM(J434:O434))</f>
        <v/>
      </c>
      <c r="W434" s="36" t="str">
        <f aca="false">IF(C434="","",SUM(P434:U434))</f>
        <v/>
      </c>
      <c r="X434" s="19" t="str">
        <f aca="false">IF(OR(C434="",V434=0),"",W434/V434)</f>
        <v/>
      </c>
      <c r="Y434" s="16" t="str">
        <f aca="false">IF(OR(C434="",V434=0),"",IF(W434&gt;=V434,"Sí","No"))</f>
        <v/>
      </c>
      <c r="Z434" s="9"/>
      <c r="AA434" s="9"/>
    </row>
    <row r="435" customFormat="false" ht="15" hidden="false" customHeight="false" outlineLevel="0" collapsed="false">
      <c r="A435" s="9"/>
      <c r="B435" s="9"/>
      <c r="C435" s="9"/>
      <c r="D435" s="16" t="str">
        <f aca="false">IF(C435="","",IFERROR(INDEX(LOOKAHEAD!$B$5:$B$204,MATCH(C435,LOOKAHEAD!$A$5:$A$204,0)),""))</f>
        <v/>
      </c>
      <c r="E435" s="16" t="str">
        <f aca="false">IF(C435="","",IFERROR(INDEX(LOOKAHEAD!$E$5:$E$204,MATCH(C435,LOOKAHEAD!$A$5:$A$204,0)),""))</f>
        <v/>
      </c>
      <c r="F435" s="16" t="str">
        <f aca="false">IF(C435="","",IFERROR(INDEX(LOOKAHEAD!$M$5:$M$204,MATCH(C435,LOOKAHEAD!$A$5:$A$204,0)),""))</f>
        <v/>
      </c>
      <c r="G435" s="9"/>
      <c r="H435" s="9"/>
      <c r="I435" s="16" t="str">
        <f aca="false">IF(C435="","",IFERROR(INDEX(LOOKAHEAD!$G$5:$G$204,MATCH(C435,LOOKAHEAD!$A$5:$A$204,0)),""))</f>
        <v/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36" t="str">
        <f aca="false">IF(C435="","",SUM(J435:O435))</f>
        <v/>
      </c>
      <c r="W435" s="36" t="str">
        <f aca="false">IF(C435="","",SUM(P435:U435))</f>
        <v/>
      </c>
      <c r="X435" s="19" t="str">
        <f aca="false">IF(OR(C435="",V435=0),"",W435/V435)</f>
        <v/>
      </c>
      <c r="Y435" s="16" t="str">
        <f aca="false">IF(OR(C435="",V435=0),"",IF(W435&gt;=V435,"Sí","No"))</f>
        <v/>
      </c>
      <c r="Z435" s="9"/>
      <c r="AA435" s="9"/>
    </row>
    <row r="436" customFormat="false" ht="15" hidden="false" customHeight="false" outlineLevel="0" collapsed="false">
      <c r="A436" s="9"/>
      <c r="B436" s="9"/>
      <c r="C436" s="9"/>
      <c r="D436" s="16" t="str">
        <f aca="false">IF(C436="","",IFERROR(INDEX(LOOKAHEAD!$B$5:$B$204,MATCH(C436,LOOKAHEAD!$A$5:$A$204,0)),""))</f>
        <v/>
      </c>
      <c r="E436" s="16" t="str">
        <f aca="false">IF(C436="","",IFERROR(INDEX(LOOKAHEAD!$E$5:$E$204,MATCH(C436,LOOKAHEAD!$A$5:$A$204,0)),""))</f>
        <v/>
      </c>
      <c r="F436" s="16" t="str">
        <f aca="false">IF(C436="","",IFERROR(INDEX(LOOKAHEAD!$M$5:$M$204,MATCH(C436,LOOKAHEAD!$A$5:$A$204,0)),""))</f>
        <v/>
      </c>
      <c r="G436" s="9"/>
      <c r="H436" s="9"/>
      <c r="I436" s="16" t="str">
        <f aca="false">IF(C436="","",IFERROR(INDEX(LOOKAHEAD!$G$5:$G$204,MATCH(C436,LOOKAHEAD!$A$5:$A$204,0)),""))</f>
        <v/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36" t="str">
        <f aca="false">IF(C436="","",SUM(J436:O436))</f>
        <v/>
      </c>
      <c r="W436" s="36" t="str">
        <f aca="false">IF(C436="","",SUM(P436:U436))</f>
        <v/>
      </c>
      <c r="X436" s="19" t="str">
        <f aca="false">IF(OR(C436="",V436=0),"",W436/V436)</f>
        <v/>
      </c>
      <c r="Y436" s="16" t="str">
        <f aca="false">IF(OR(C436="",V436=0),"",IF(W436&gt;=V436,"Sí","No"))</f>
        <v/>
      </c>
      <c r="Z436" s="9"/>
      <c r="AA436" s="9"/>
    </row>
    <row r="437" customFormat="false" ht="15" hidden="false" customHeight="false" outlineLevel="0" collapsed="false">
      <c r="A437" s="9"/>
      <c r="B437" s="9"/>
      <c r="C437" s="9"/>
      <c r="D437" s="16" t="str">
        <f aca="false">IF(C437="","",IFERROR(INDEX(LOOKAHEAD!$B$5:$B$204,MATCH(C437,LOOKAHEAD!$A$5:$A$204,0)),""))</f>
        <v/>
      </c>
      <c r="E437" s="16" t="str">
        <f aca="false">IF(C437="","",IFERROR(INDEX(LOOKAHEAD!$E$5:$E$204,MATCH(C437,LOOKAHEAD!$A$5:$A$204,0)),""))</f>
        <v/>
      </c>
      <c r="F437" s="16" t="str">
        <f aca="false">IF(C437="","",IFERROR(INDEX(LOOKAHEAD!$M$5:$M$204,MATCH(C437,LOOKAHEAD!$A$5:$A$204,0)),""))</f>
        <v/>
      </c>
      <c r="G437" s="9"/>
      <c r="H437" s="9"/>
      <c r="I437" s="16" t="str">
        <f aca="false">IF(C437="","",IFERROR(INDEX(LOOKAHEAD!$G$5:$G$204,MATCH(C437,LOOKAHEAD!$A$5:$A$204,0)),""))</f>
        <v/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36" t="str">
        <f aca="false">IF(C437="","",SUM(J437:O437))</f>
        <v/>
      </c>
      <c r="W437" s="36" t="str">
        <f aca="false">IF(C437="","",SUM(P437:U437))</f>
        <v/>
      </c>
      <c r="X437" s="19" t="str">
        <f aca="false">IF(OR(C437="",V437=0),"",W437/V437)</f>
        <v/>
      </c>
      <c r="Y437" s="16" t="str">
        <f aca="false">IF(OR(C437="",V437=0),"",IF(W437&gt;=V437,"Sí","No"))</f>
        <v/>
      </c>
      <c r="Z437" s="9"/>
      <c r="AA437" s="9"/>
    </row>
    <row r="438" customFormat="false" ht="15" hidden="false" customHeight="false" outlineLevel="0" collapsed="false">
      <c r="A438" s="9"/>
      <c r="B438" s="9"/>
      <c r="C438" s="9"/>
      <c r="D438" s="16" t="str">
        <f aca="false">IF(C438="","",IFERROR(INDEX(LOOKAHEAD!$B$5:$B$204,MATCH(C438,LOOKAHEAD!$A$5:$A$204,0)),""))</f>
        <v/>
      </c>
      <c r="E438" s="16" t="str">
        <f aca="false">IF(C438="","",IFERROR(INDEX(LOOKAHEAD!$E$5:$E$204,MATCH(C438,LOOKAHEAD!$A$5:$A$204,0)),""))</f>
        <v/>
      </c>
      <c r="F438" s="16" t="str">
        <f aca="false">IF(C438="","",IFERROR(INDEX(LOOKAHEAD!$M$5:$M$204,MATCH(C438,LOOKAHEAD!$A$5:$A$204,0)),""))</f>
        <v/>
      </c>
      <c r="G438" s="9"/>
      <c r="H438" s="9"/>
      <c r="I438" s="16" t="str">
        <f aca="false">IF(C438="","",IFERROR(INDEX(LOOKAHEAD!$G$5:$G$204,MATCH(C438,LOOKAHEAD!$A$5:$A$204,0)),""))</f>
        <v/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36" t="str">
        <f aca="false">IF(C438="","",SUM(J438:O438))</f>
        <v/>
      </c>
      <c r="W438" s="36" t="str">
        <f aca="false">IF(C438="","",SUM(P438:U438))</f>
        <v/>
      </c>
      <c r="X438" s="19" t="str">
        <f aca="false">IF(OR(C438="",V438=0),"",W438/V438)</f>
        <v/>
      </c>
      <c r="Y438" s="16" t="str">
        <f aca="false">IF(OR(C438="",V438=0),"",IF(W438&gt;=V438,"Sí","No"))</f>
        <v/>
      </c>
      <c r="Z438" s="9"/>
      <c r="AA438" s="9"/>
    </row>
    <row r="439" customFormat="false" ht="15" hidden="false" customHeight="false" outlineLevel="0" collapsed="false">
      <c r="A439" s="9"/>
      <c r="B439" s="9"/>
      <c r="C439" s="9"/>
      <c r="D439" s="16" t="str">
        <f aca="false">IF(C439="","",IFERROR(INDEX(LOOKAHEAD!$B$5:$B$204,MATCH(C439,LOOKAHEAD!$A$5:$A$204,0)),""))</f>
        <v/>
      </c>
      <c r="E439" s="16" t="str">
        <f aca="false">IF(C439="","",IFERROR(INDEX(LOOKAHEAD!$E$5:$E$204,MATCH(C439,LOOKAHEAD!$A$5:$A$204,0)),""))</f>
        <v/>
      </c>
      <c r="F439" s="16" t="str">
        <f aca="false">IF(C439="","",IFERROR(INDEX(LOOKAHEAD!$M$5:$M$204,MATCH(C439,LOOKAHEAD!$A$5:$A$204,0)),""))</f>
        <v/>
      </c>
      <c r="G439" s="9"/>
      <c r="H439" s="9"/>
      <c r="I439" s="16" t="str">
        <f aca="false">IF(C439="","",IFERROR(INDEX(LOOKAHEAD!$G$5:$G$204,MATCH(C439,LOOKAHEAD!$A$5:$A$204,0)),""))</f>
        <v/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36" t="str">
        <f aca="false">IF(C439="","",SUM(J439:O439))</f>
        <v/>
      </c>
      <c r="W439" s="36" t="str">
        <f aca="false">IF(C439="","",SUM(P439:U439))</f>
        <v/>
      </c>
      <c r="X439" s="19" t="str">
        <f aca="false">IF(OR(C439="",V439=0),"",W439/V439)</f>
        <v/>
      </c>
      <c r="Y439" s="16" t="str">
        <f aca="false">IF(OR(C439="",V439=0),"",IF(W439&gt;=V439,"Sí","No"))</f>
        <v/>
      </c>
      <c r="Z439" s="9"/>
      <c r="AA439" s="9"/>
    </row>
    <row r="440" customFormat="false" ht="15" hidden="false" customHeight="false" outlineLevel="0" collapsed="false">
      <c r="A440" s="9"/>
      <c r="B440" s="9"/>
      <c r="C440" s="9"/>
      <c r="D440" s="16" t="str">
        <f aca="false">IF(C440="","",IFERROR(INDEX(LOOKAHEAD!$B$5:$B$204,MATCH(C440,LOOKAHEAD!$A$5:$A$204,0)),""))</f>
        <v/>
      </c>
      <c r="E440" s="16" t="str">
        <f aca="false">IF(C440="","",IFERROR(INDEX(LOOKAHEAD!$E$5:$E$204,MATCH(C440,LOOKAHEAD!$A$5:$A$204,0)),""))</f>
        <v/>
      </c>
      <c r="F440" s="16" t="str">
        <f aca="false">IF(C440="","",IFERROR(INDEX(LOOKAHEAD!$M$5:$M$204,MATCH(C440,LOOKAHEAD!$A$5:$A$204,0)),""))</f>
        <v/>
      </c>
      <c r="G440" s="9"/>
      <c r="H440" s="9"/>
      <c r="I440" s="16" t="str">
        <f aca="false">IF(C440="","",IFERROR(INDEX(LOOKAHEAD!$G$5:$G$204,MATCH(C440,LOOKAHEAD!$A$5:$A$204,0)),""))</f>
        <v/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36" t="str">
        <f aca="false">IF(C440="","",SUM(J440:O440))</f>
        <v/>
      </c>
      <c r="W440" s="36" t="str">
        <f aca="false">IF(C440="","",SUM(P440:U440))</f>
        <v/>
      </c>
      <c r="X440" s="19" t="str">
        <f aca="false">IF(OR(C440="",V440=0),"",W440/V440)</f>
        <v/>
      </c>
      <c r="Y440" s="16" t="str">
        <f aca="false">IF(OR(C440="",V440=0),"",IF(W440&gt;=V440,"Sí","No"))</f>
        <v/>
      </c>
      <c r="Z440" s="9"/>
      <c r="AA440" s="9"/>
    </row>
    <row r="441" customFormat="false" ht="15" hidden="false" customHeight="false" outlineLevel="0" collapsed="false">
      <c r="A441" s="9"/>
      <c r="B441" s="9"/>
      <c r="C441" s="9"/>
      <c r="D441" s="16" t="str">
        <f aca="false">IF(C441="","",IFERROR(INDEX(LOOKAHEAD!$B$5:$B$204,MATCH(C441,LOOKAHEAD!$A$5:$A$204,0)),""))</f>
        <v/>
      </c>
      <c r="E441" s="16" t="str">
        <f aca="false">IF(C441="","",IFERROR(INDEX(LOOKAHEAD!$E$5:$E$204,MATCH(C441,LOOKAHEAD!$A$5:$A$204,0)),""))</f>
        <v/>
      </c>
      <c r="F441" s="16" t="str">
        <f aca="false">IF(C441="","",IFERROR(INDEX(LOOKAHEAD!$M$5:$M$204,MATCH(C441,LOOKAHEAD!$A$5:$A$204,0)),""))</f>
        <v/>
      </c>
      <c r="G441" s="9"/>
      <c r="H441" s="9"/>
      <c r="I441" s="16" t="str">
        <f aca="false">IF(C441="","",IFERROR(INDEX(LOOKAHEAD!$G$5:$G$204,MATCH(C441,LOOKAHEAD!$A$5:$A$204,0)),""))</f>
        <v/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36" t="str">
        <f aca="false">IF(C441="","",SUM(J441:O441))</f>
        <v/>
      </c>
      <c r="W441" s="36" t="str">
        <f aca="false">IF(C441="","",SUM(P441:U441))</f>
        <v/>
      </c>
      <c r="X441" s="19" t="str">
        <f aca="false">IF(OR(C441="",V441=0),"",W441/V441)</f>
        <v/>
      </c>
      <c r="Y441" s="16" t="str">
        <f aca="false">IF(OR(C441="",V441=0),"",IF(W441&gt;=V441,"Sí","No"))</f>
        <v/>
      </c>
      <c r="Z441" s="9"/>
      <c r="AA441" s="9"/>
    </row>
    <row r="442" customFormat="false" ht="15" hidden="false" customHeight="false" outlineLevel="0" collapsed="false">
      <c r="A442" s="9"/>
      <c r="B442" s="9"/>
      <c r="C442" s="9"/>
      <c r="D442" s="16" t="str">
        <f aca="false">IF(C442="","",IFERROR(INDEX(LOOKAHEAD!$B$5:$B$204,MATCH(C442,LOOKAHEAD!$A$5:$A$204,0)),""))</f>
        <v/>
      </c>
      <c r="E442" s="16" t="str">
        <f aca="false">IF(C442="","",IFERROR(INDEX(LOOKAHEAD!$E$5:$E$204,MATCH(C442,LOOKAHEAD!$A$5:$A$204,0)),""))</f>
        <v/>
      </c>
      <c r="F442" s="16" t="str">
        <f aca="false">IF(C442="","",IFERROR(INDEX(LOOKAHEAD!$M$5:$M$204,MATCH(C442,LOOKAHEAD!$A$5:$A$204,0)),""))</f>
        <v/>
      </c>
      <c r="G442" s="9"/>
      <c r="H442" s="9"/>
      <c r="I442" s="16" t="str">
        <f aca="false">IF(C442="","",IFERROR(INDEX(LOOKAHEAD!$G$5:$G$204,MATCH(C442,LOOKAHEAD!$A$5:$A$204,0)),""))</f>
        <v/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36" t="str">
        <f aca="false">IF(C442="","",SUM(J442:O442))</f>
        <v/>
      </c>
      <c r="W442" s="36" t="str">
        <f aca="false">IF(C442="","",SUM(P442:U442))</f>
        <v/>
      </c>
      <c r="X442" s="19" t="str">
        <f aca="false">IF(OR(C442="",V442=0),"",W442/V442)</f>
        <v/>
      </c>
      <c r="Y442" s="16" t="str">
        <f aca="false">IF(OR(C442="",V442=0),"",IF(W442&gt;=V442,"Sí","No"))</f>
        <v/>
      </c>
      <c r="Z442" s="9"/>
      <c r="AA442" s="9"/>
    </row>
    <row r="443" customFormat="false" ht="15" hidden="false" customHeight="false" outlineLevel="0" collapsed="false">
      <c r="A443" s="9"/>
      <c r="B443" s="9"/>
      <c r="C443" s="9"/>
      <c r="D443" s="16" t="str">
        <f aca="false">IF(C443="","",IFERROR(INDEX(LOOKAHEAD!$B$5:$B$204,MATCH(C443,LOOKAHEAD!$A$5:$A$204,0)),""))</f>
        <v/>
      </c>
      <c r="E443" s="16" t="str">
        <f aca="false">IF(C443="","",IFERROR(INDEX(LOOKAHEAD!$E$5:$E$204,MATCH(C443,LOOKAHEAD!$A$5:$A$204,0)),""))</f>
        <v/>
      </c>
      <c r="F443" s="16" t="str">
        <f aca="false">IF(C443="","",IFERROR(INDEX(LOOKAHEAD!$M$5:$M$204,MATCH(C443,LOOKAHEAD!$A$5:$A$204,0)),""))</f>
        <v/>
      </c>
      <c r="G443" s="9"/>
      <c r="H443" s="9"/>
      <c r="I443" s="16" t="str">
        <f aca="false">IF(C443="","",IFERROR(INDEX(LOOKAHEAD!$G$5:$G$204,MATCH(C443,LOOKAHEAD!$A$5:$A$204,0)),""))</f>
        <v/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36" t="str">
        <f aca="false">IF(C443="","",SUM(J443:O443))</f>
        <v/>
      </c>
      <c r="W443" s="36" t="str">
        <f aca="false">IF(C443="","",SUM(P443:U443))</f>
        <v/>
      </c>
      <c r="X443" s="19" t="str">
        <f aca="false">IF(OR(C443="",V443=0),"",W443/V443)</f>
        <v/>
      </c>
      <c r="Y443" s="16" t="str">
        <f aca="false">IF(OR(C443="",V443=0),"",IF(W443&gt;=V443,"Sí","No"))</f>
        <v/>
      </c>
      <c r="Z443" s="9"/>
      <c r="AA443" s="9"/>
    </row>
    <row r="444" customFormat="false" ht="15" hidden="false" customHeight="false" outlineLevel="0" collapsed="false">
      <c r="A444" s="9"/>
      <c r="B444" s="9"/>
      <c r="C444" s="9"/>
      <c r="D444" s="16" t="str">
        <f aca="false">IF(C444="","",IFERROR(INDEX(LOOKAHEAD!$B$5:$B$204,MATCH(C444,LOOKAHEAD!$A$5:$A$204,0)),""))</f>
        <v/>
      </c>
      <c r="E444" s="16" t="str">
        <f aca="false">IF(C444="","",IFERROR(INDEX(LOOKAHEAD!$E$5:$E$204,MATCH(C444,LOOKAHEAD!$A$5:$A$204,0)),""))</f>
        <v/>
      </c>
      <c r="F444" s="16" t="str">
        <f aca="false">IF(C444="","",IFERROR(INDEX(LOOKAHEAD!$M$5:$M$204,MATCH(C444,LOOKAHEAD!$A$5:$A$204,0)),""))</f>
        <v/>
      </c>
      <c r="G444" s="9"/>
      <c r="H444" s="9"/>
      <c r="I444" s="16" t="str">
        <f aca="false">IF(C444="","",IFERROR(INDEX(LOOKAHEAD!$G$5:$G$204,MATCH(C444,LOOKAHEAD!$A$5:$A$204,0)),""))</f>
        <v/>
      </c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36" t="str">
        <f aca="false">IF(C444="","",SUM(J444:O444))</f>
        <v/>
      </c>
      <c r="W444" s="36" t="str">
        <f aca="false">IF(C444="","",SUM(P444:U444))</f>
        <v/>
      </c>
      <c r="X444" s="19" t="str">
        <f aca="false">IF(OR(C444="",V444=0),"",W444/V444)</f>
        <v/>
      </c>
      <c r="Y444" s="16" t="str">
        <f aca="false">IF(OR(C444="",V444=0),"",IF(W444&gt;=V444,"Sí","No"))</f>
        <v/>
      </c>
      <c r="Z444" s="9"/>
      <c r="AA444" s="9"/>
    </row>
    <row r="445" customFormat="false" ht="15" hidden="false" customHeight="false" outlineLevel="0" collapsed="false">
      <c r="A445" s="9"/>
      <c r="B445" s="9"/>
      <c r="C445" s="9"/>
      <c r="D445" s="16" t="str">
        <f aca="false">IF(C445="","",IFERROR(INDEX(LOOKAHEAD!$B$5:$B$204,MATCH(C445,LOOKAHEAD!$A$5:$A$204,0)),""))</f>
        <v/>
      </c>
      <c r="E445" s="16" t="str">
        <f aca="false">IF(C445="","",IFERROR(INDEX(LOOKAHEAD!$E$5:$E$204,MATCH(C445,LOOKAHEAD!$A$5:$A$204,0)),""))</f>
        <v/>
      </c>
      <c r="F445" s="16" t="str">
        <f aca="false">IF(C445="","",IFERROR(INDEX(LOOKAHEAD!$M$5:$M$204,MATCH(C445,LOOKAHEAD!$A$5:$A$204,0)),""))</f>
        <v/>
      </c>
      <c r="G445" s="9"/>
      <c r="H445" s="9"/>
      <c r="I445" s="16" t="str">
        <f aca="false">IF(C445="","",IFERROR(INDEX(LOOKAHEAD!$G$5:$G$204,MATCH(C445,LOOKAHEAD!$A$5:$A$204,0)),""))</f>
        <v/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36" t="str">
        <f aca="false">IF(C445="","",SUM(J445:O445))</f>
        <v/>
      </c>
      <c r="W445" s="36" t="str">
        <f aca="false">IF(C445="","",SUM(P445:U445))</f>
        <v/>
      </c>
      <c r="X445" s="19" t="str">
        <f aca="false">IF(OR(C445="",V445=0),"",W445/V445)</f>
        <v/>
      </c>
      <c r="Y445" s="16" t="str">
        <f aca="false">IF(OR(C445="",V445=0),"",IF(W445&gt;=V445,"Sí","No"))</f>
        <v/>
      </c>
      <c r="Z445" s="9"/>
      <c r="AA445" s="9"/>
    </row>
    <row r="446" customFormat="false" ht="15" hidden="false" customHeight="false" outlineLevel="0" collapsed="false">
      <c r="A446" s="9"/>
      <c r="B446" s="9"/>
      <c r="C446" s="9"/>
      <c r="D446" s="16" t="str">
        <f aca="false">IF(C446="","",IFERROR(INDEX(LOOKAHEAD!$B$5:$B$204,MATCH(C446,LOOKAHEAD!$A$5:$A$204,0)),""))</f>
        <v/>
      </c>
      <c r="E446" s="16" t="str">
        <f aca="false">IF(C446="","",IFERROR(INDEX(LOOKAHEAD!$E$5:$E$204,MATCH(C446,LOOKAHEAD!$A$5:$A$204,0)),""))</f>
        <v/>
      </c>
      <c r="F446" s="16" t="str">
        <f aca="false">IF(C446="","",IFERROR(INDEX(LOOKAHEAD!$M$5:$M$204,MATCH(C446,LOOKAHEAD!$A$5:$A$204,0)),""))</f>
        <v/>
      </c>
      <c r="G446" s="9"/>
      <c r="H446" s="9"/>
      <c r="I446" s="16" t="str">
        <f aca="false">IF(C446="","",IFERROR(INDEX(LOOKAHEAD!$G$5:$G$204,MATCH(C446,LOOKAHEAD!$A$5:$A$204,0)),""))</f>
        <v/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36" t="str">
        <f aca="false">IF(C446="","",SUM(J446:O446))</f>
        <v/>
      </c>
      <c r="W446" s="36" t="str">
        <f aca="false">IF(C446="","",SUM(P446:U446))</f>
        <v/>
      </c>
      <c r="X446" s="19" t="str">
        <f aca="false">IF(OR(C446="",V446=0),"",W446/V446)</f>
        <v/>
      </c>
      <c r="Y446" s="16" t="str">
        <f aca="false">IF(OR(C446="",V446=0),"",IF(W446&gt;=V446,"Sí","No"))</f>
        <v/>
      </c>
      <c r="Z446" s="9"/>
      <c r="AA446" s="9"/>
    </row>
    <row r="447" customFormat="false" ht="15" hidden="false" customHeight="false" outlineLevel="0" collapsed="false">
      <c r="A447" s="9"/>
      <c r="B447" s="9"/>
      <c r="C447" s="9"/>
      <c r="D447" s="16" t="str">
        <f aca="false">IF(C447="","",IFERROR(INDEX(LOOKAHEAD!$B$5:$B$204,MATCH(C447,LOOKAHEAD!$A$5:$A$204,0)),""))</f>
        <v/>
      </c>
      <c r="E447" s="16" t="str">
        <f aca="false">IF(C447="","",IFERROR(INDEX(LOOKAHEAD!$E$5:$E$204,MATCH(C447,LOOKAHEAD!$A$5:$A$204,0)),""))</f>
        <v/>
      </c>
      <c r="F447" s="16" t="str">
        <f aca="false">IF(C447="","",IFERROR(INDEX(LOOKAHEAD!$M$5:$M$204,MATCH(C447,LOOKAHEAD!$A$5:$A$204,0)),""))</f>
        <v/>
      </c>
      <c r="G447" s="9"/>
      <c r="H447" s="9"/>
      <c r="I447" s="16" t="str">
        <f aca="false">IF(C447="","",IFERROR(INDEX(LOOKAHEAD!$G$5:$G$204,MATCH(C447,LOOKAHEAD!$A$5:$A$204,0)),""))</f>
        <v/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36" t="str">
        <f aca="false">IF(C447="","",SUM(J447:O447))</f>
        <v/>
      </c>
      <c r="W447" s="36" t="str">
        <f aca="false">IF(C447="","",SUM(P447:U447))</f>
        <v/>
      </c>
      <c r="X447" s="19" t="str">
        <f aca="false">IF(OR(C447="",V447=0),"",W447/V447)</f>
        <v/>
      </c>
      <c r="Y447" s="16" t="str">
        <f aca="false">IF(OR(C447="",V447=0),"",IF(W447&gt;=V447,"Sí","No"))</f>
        <v/>
      </c>
      <c r="Z447" s="9"/>
      <c r="AA447" s="9"/>
    </row>
    <row r="448" customFormat="false" ht="15" hidden="false" customHeight="false" outlineLevel="0" collapsed="false">
      <c r="A448" s="9"/>
      <c r="B448" s="9"/>
      <c r="C448" s="9"/>
      <c r="D448" s="16" t="str">
        <f aca="false">IF(C448="","",IFERROR(INDEX(LOOKAHEAD!$B$5:$B$204,MATCH(C448,LOOKAHEAD!$A$5:$A$204,0)),""))</f>
        <v/>
      </c>
      <c r="E448" s="16" t="str">
        <f aca="false">IF(C448="","",IFERROR(INDEX(LOOKAHEAD!$E$5:$E$204,MATCH(C448,LOOKAHEAD!$A$5:$A$204,0)),""))</f>
        <v/>
      </c>
      <c r="F448" s="16" t="str">
        <f aca="false">IF(C448="","",IFERROR(INDEX(LOOKAHEAD!$M$5:$M$204,MATCH(C448,LOOKAHEAD!$A$5:$A$204,0)),""))</f>
        <v/>
      </c>
      <c r="G448" s="9"/>
      <c r="H448" s="9"/>
      <c r="I448" s="16" t="str">
        <f aca="false">IF(C448="","",IFERROR(INDEX(LOOKAHEAD!$G$5:$G$204,MATCH(C448,LOOKAHEAD!$A$5:$A$204,0)),""))</f>
        <v/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36" t="str">
        <f aca="false">IF(C448="","",SUM(J448:O448))</f>
        <v/>
      </c>
      <c r="W448" s="36" t="str">
        <f aca="false">IF(C448="","",SUM(P448:U448))</f>
        <v/>
      </c>
      <c r="X448" s="19" t="str">
        <f aca="false">IF(OR(C448="",V448=0),"",W448/V448)</f>
        <v/>
      </c>
      <c r="Y448" s="16" t="str">
        <f aca="false">IF(OR(C448="",V448=0),"",IF(W448&gt;=V448,"Sí","No"))</f>
        <v/>
      </c>
      <c r="Z448" s="9"/>
      <c r="AA448" s="9"/>
    </row>
    <row r="449" customFormat="false" ht="15" hidden="false" customHeight="false" outlineLevel="0" collapsed="false">
      <c r="A449" s="9"/>
      <c r="B449" s="9"/>
      <c r="C449" s="9"/>
      <c r="D449" s="16" t="str">
        <f aca="false">IF(C449="","",IFERROR(INDEX(LOOKAHEAD!$B$5:$B$204,MATCH(C449,LOOKAHEAD!$A$5:$A$204,0)),""))</f>
        <v/>
      </c>
      <c r="E449" s="16" t="str">
        <f aca="false">IF(C449="","",IFERROR(INDEX(LOOKAHEAD!$E$5:$E$204,MATCH(C449,LOOKAHEAD!$A$5:$A$204,0)),""))</f>
        <v/>
      </c>
      <c r="F449" s="16" t="str">
        <f aca="false">IF(C449="","",IFERROR(INDEX(LOOKAHEAD!$M$5:$M$204,MATCH(C449,LOOKAHEAD!$A$5:$A$204,0)),""))</f>
        <v/>
      </c>
      <c r="G449" s="9"/>
      <c r="H449" s="9"/>
      <c r="I449" s="16" t="str">
        <f aca="false">IF(C449="","",IFERROR(INDEX(LOOKAHEAD!$G$5:$G$204,MATCH(C449,LOOKAHEAD!$A$5:$A$204,0)),""))</f>
        <v/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36" t="str">
        <f aca="false">IF(C449="","",SUM(J449:O449))</f>
        <v/>
      </c>
      <c r="W449" s="36" t="str">
        <f aca="false">IF(C449="","",SUM(P449:U449))</f>
        <v/>
      </c>
      <c r="X449" s="19" t="str">
        <f aca="false">IF(OR(C449="",V449=0),"",W449/V449)</f>
        <v/>
      </c>
      <c r="Y449" s="16" t="str">
        <f aca="false">IF(OR(C449="",V449=0),"",IF(W449&gt;=V449,"Sí","No"))</f>
        <v/>
      </c>
      <c r="Z449" s="9"/>
      <c r="AA449" s="9"/>
    </row>
    <row r="450" customFormat="false" ht="15" hidden="false" customHeight="false" outlineLevel="0" collapsed="false">
      <c r="A450" s="9"/>
      <c r="B450" s="9"/>
      <c r="C450" s="9"/>
      <c r="D450" s="16" t="str">
        <f aca="false">IF(C450="","",IFERROR(INDEX(LOOKAHEAD!$B$5:$B$204,MATCH(C450,LOOKAHEAD!$A$5:$A$204,0)),""))</f>
        <v/>
      </c>
      <c r="E450" s="16" t="str">
        <f aca="false">IF(C450="","",IFERROR(INDEX(LOOKAHEAD!$E$5:$E$204,MATCH(C450,LOOKAHEAD!$A$5:$A$204,0)),""))</f>
        <v/>
      </c>
      <c r="F450" s="16" t="str">
        <f aca="false">IF(C450="","",IFERROR(INDEX(LOOKAHEAD!$M$5:$M$204,MATCH(C450,LOOKAHEAD!$A$5:$A$204,0)),""))</f>
        <v/>
      </c>
      <c r="G450" s="9"/>
      <c r="H450" s="9"/>
      <c r="I450" s="16" t="str">
        <f aca="false">IF(C450="","",IFERROR(INDEX(LOOKAHEAD!$G$5:$G$204,MATCH(C450,LOOKAHEAD!$A$5:$A$204,0)),""))</f>
        <v/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36" t="str">
        <f aca="false">IF(C450="","",SUM(J450:O450))</f>
        <v/>
      </c>
      <c r="W450" s="36" t="str">
        <f aca="false">IF(C450="","",SUM(P450:U450))</f>
        <v/>
      </c>
      <c r="X450" s="19" t="str">
        <f aca="false">IF(OR(C450="",V450=0),"",W450/V450)</f>
        <v/>
      </c>
      <c r="Y450" s="16" t="str">
        <f aca="false">IF(OR(C450="",V450=0),"",IF(W450&gt;=V450,"Sí","No"))</f>
        <v/>
      </c>
      <c r="Z450" s="9"/>
      <c r="AA450" s="9"/>
    </row>
    <row r="451" customFormat="false" ht="15" hidden="false" customHeight="false" outlineLevel="0" collapsed="false">
      <c r="A451" s="9"/>
      <c r="B451" s="9"/>
      <c r="C451" s="9"/>
      <c r="D451" s="16" t="str">
        <f aca="false">IF(C451="","",IFERROR(INDEX(LOOKAHEAD!$B$5:$B$204,MATCH(C451,LOOKAHEAD!$A$5:$A$204,0)),""))</f>
        <v/>
      </c>
      <c r="E451" s="16" t="str">
        <f aca="false">IF(C451="","",IFERROR(INDEX(LOOKAHEAD!$E$5:$E$204,MATCH(C451,LOOKAHEAD!$A$5:$A$204,0)),""))</f>
        <v/>
      </c>
      <c r="F451" s="16" t="str">
        <f aca="false">IF(C451="","",IFERROR(INDEX(LOOKAHEAD!$M$5:$M$204,MATCH(C451,LOOKAHEAD!$A$5:$A$204,0)),""))</f>
        <v/>
      </c>
      <c r="G451" s="9"/>
      <c r="H451" s="9"/>
      <c r="I451" s="16" t="str">
        <f aca="false">IF(C451="","",IFERROR(INDEX(LOOKAHEAD!$G$5:$G$204,MATCH(C451,LOOKAHEAD!$A$5:$A$204,0)),""))</f>
        <v/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36" t="str">
        <f aca="false">IF(C451="","",SUM(J451:O451))</f>
        <v/>
      </c>
      <c r="W451" s="36" t="str">
        <f aca="false">IF(C451="","",SUM(P451:U451))</f>
        <v/>
      </c>
      <c r="X451" s="19" t="str">
        <f aca="false">IF(OR(C451="",V451=0),"",W451/V451)</f>
        <v/>
      </c>
      <c r="Y451" s="16" t="str">
        <f aca="false">IF(OR(C451="",V451=0),"",IF(W451&gt;=V451,"Sí","No"))</f>
        <v/>
      </c>
      <c r="Z451" s="9"/>
      <c r="AA451" s="9"/>
    </row>
    <row r="452" customFormat="false" ht="15" hidden="false" customHeight="false" outlineLevel="0" collapsed="false">
      <c r="A452" s="9"/>
      <c r="B452" s="9"/>
      <c r="C452" s="9"/>
      <c r="D452" s="16" t="str">
        <f aca="false">IF(C452="","",IFERROR(INDEX(LOOKAHEAD!$B$5:$B$204,MATCH(C452,LOOKAHEAD!$A$5:$A$204,0)),""))</f>
        <v/>
      </c>
      <c r="E452" s="16" t="str">
        <f aca="false">IF(C452="","",IFERROR(INDEX(LOOKAHEAD!$E$5:$E$204,MATCH(C452,LOOKAHEAD!$A$5:$A$204,0)),""))</f>
        <v/>
      </c>
      <c r="F452" s="16" t="str">
        <f aca="false">IF(C452="","",IFERROR(INDEX(LOOKAHEAD!$M$5:$M$204,MATCH(C452,LOOKAHEAD!$A$5:$A$204,0)),""))</f>
        <v/>
      </c>
      <c r="G452" s="9"/>
      <c r="H452" s="9"/>
      <c r="I452" s="16" t="str">
        <f aca="false">IF(C452="","",IFERROR(INDEX(LOOKAHEAD!$G$5:$G$204,MATCH(C452,LOOKAHEAD!$A$5:$A$204,0)),""))</f>
        <v/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36" t="str">
        <f aca="false">IF(C452="","",SUM(J452:O452))</f>
        <v/>
      </c>
      <c r="W452" s="36" t="str">
        <f aca="false">IF(C452="","",SUM(P452:U452))</f>
        <v/>
      </c>
      <c r="X452" s="19" t="str">
        <f aca="false">IF(OR(C452="",V452=0),"",W452/V452)</f>
        <v/>
      </c>
      <c r="Y452" s="16" t="str">
        <f aca="false">IF(OR(C452="",V452=0),"",IF(W452&gt;=V452,"Sí","No"))</f>
        <v/>
      </c>
      <c r="Z452" s="9"/>
      <c r="AA452" s="9"/>
    </row>
    <row r="453" customFormat="false" ht="15" hidden="false" customHeight="false" outlineLevel="0" collapsed="false">
      <c r="A453" s="9"/>
      <c r="B453" s="9"/>
      <c r="C453" s="9"/>
      <c r="D453" s="16" t="str">
        <f aca="false">IF(C453="","",IFERROR(INDEX(LOOKAHEAD!$B$5:$B$204,MATCH(C453,LOOKAHEAD!$A$5:$A$204,0)),""))</f>
        <v/>
      </c>
      <c r="E453" s="16" t="str">
        <f aca="false">IF(C453="","",IFERROR(INDEX(LOOKAHEAD!$E$5:$E$204,MATCH(C453,LOOKAHEAD!$A$5:$A$204,0)),""))</f>
        <v/>
      </c>
      <c r="F453" s="16" t="str">
        <f aca="false">IF(C453="","",IFERROR(INDEX(LOOKAHEAD!$M$5:$M$204,MATCH(C453,LOOKAHEAD!$A$5:$A$204,0)),""))</f>
        <v/>
      </c>
      <c r="G453" s="9"/>
      <c r="H453" s="9"/>
      <c r="I453" s="16" t="str">
        <f aca="false">IF(C453="","",IFERROR(INDEX(LOOKAHEAD!$G$5:$G$204,MATCH(C453,LOOKAHEAD!$A$5:$A$204,0)),""))</f>
        <v/>
      </c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36" t="str">
        <f aca="false">IF(C453="","",SUM(J453:O453))</f>
        <v/>
      </c>
      <c r="W453" s="36" t="str">
        <f aca="false">IF(C453="","",SUM(P453:U453))</f>
        <v/>
      </c>
      <c r="X453" s="19" t="str">
        <f aca="false">IF(OR(C453="",V453=0),"",W453/V453)</f>
        <v/>
      </c>
      <c r="Y453" s="16" t="str">
        <f aca="false">IF(OR(C453="",V453=0),"",IF(W453&gt;=V453,"Sí","No"))</f>
        <v/>
      </c>
      <c r="Z453" s="9"/>
      <c r="AA453" s="9"/>
    </row>
    <row r="454" customFormat="false" ht="15" hidden="false" customHeight="false" outlineLevel="0" collapsed="false">
      <c r="A454" s="9"/>
      <c r="B454" s="9"/>
      <c r="C454" s="9"/>
      <c r="D454" s="16" t="str">
        <f aca="false">IF(C454="","",IFERROR(INDEX(LOOKAHEAD!$B$5:$B$204,MATCH(C454,LOOKAHEAD!$A$5:$A$204,0)),""))</f>
        <v/>
      </c>
      <c r="E454" s="16" t="str">
        <f aca="false">IF(C454="","",IFERROR(INDEX(LOOKAHEAD!$E$5:$E$204,MATCH(C454,LOOKAHEAD!$A$5:$A$204,0)),""))</f>
        <v/>
      </c>
      <c r="F454" s="16" t="str">
        <f aca="false">IF(C454="","",IFERROR(INDEX(LOOKAHEAD!$M$5:$M$204,MATCH(C454,LOOKAHEAD!$A$5:$A$204,0)),""))</f>
        <v/>
      </c>
      <c r="G454" s="9"/>
      <c r="H454" s="9"/>
      <c r="I454" s="16" t="str">
        <f aca="false">IF(C454="","",IFERROR(INDEX(LOOKAHEAD!$G$5:$G$204,MATCH(C454,LOOKAHEAD!$A$5:$A$204,0)),""))</f>
        <v/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36" t="str">
        <f aca="false">IF(C454="","",SUM(J454:O454))</f>
        <v/>
      </c>
      <c r="W454" s="36" t="str">
        <f aca="false">IF(C454="","",SUM(P454:U454))</f>
        <v/>
      </c>
      <c r="X454" s="19" t="str">
        <f aca="false">IF(OR(C454="",V454=0),"",W454/V454)</f>
        <v/>
      </c>
      <c r="Y454" s="16" t="str">
        <f aca="false">IF(OR(C454="",V454=0),"",IF(W454&gt;=V454,"Sí","No"))</f>
        <v/>
      </c>
      <c r="Z454" s="9"/>
      <c r="AA454" s="9"/>
    </row>
    <row r="455" customFormat="false" ht="15" hidden="false" customHeight="false" outlineLevel="0" collapsed="false">
      <c r="A455" s="9"/>
      <c r="B455" s="9"/>
      <c r="C455" s="9"/>
      <c r="D455" s="16" t="str">
        <f aca="false">IF(C455="","",IFERROR(INDEX(LOOKAHEAD!$B$5:$B$204,MATCH(C455,LOOKAHEAD!$A$5:$A$204,0)),""))</f>
        <v/>
      </c>
      <c r="E455" s="16" t="str">
        <f aca="false">IF(C455="","",IFERROR(INDEX(LOOKAHEAD!$E$5:$E$204,MATCH(C455,LOOKAHEAD!$A$5:$A$204,0)),""))</f>
        <v/>
      </c>
      <c r="F455" s="16" t="str">
        <f aca="false">IF(C455="","",IFERROR(INDEX(LOOKAHEAD!$M$5:$M$204,MATCH(C455,LOOKAHEAD!$A$5:$A$204,0)),""))</f>
        <v/>
      </c>
      <c r="G455" s="9"/>
      <c r="H455" s="9"/>
      <c r="I455" s="16" t="str">
        <f aca="false">IF(C455="","",IFERROR(INDEX(LOOKAHEAD!$G$5:$G$204,MATCH(C455,LOOKAHEAD!$A$5:$A$204,0)),""))</f>
        <v/>
      </c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36" t="str">
        <f aca="false">IF(C455="","",SUM(J455:O455))</f>
        <v/>
      </c>
      <c r="W455" s="36" t="str">
        <f aca="false">IF(C455="","",SUM(P455:U455))</f>
        <v/>
      </c>
      <c r="X455" s="19" t="str">
        <f aca="false">IF(OR(C455="",V455=0),"",W455/V455)</f>
        <v/>
      </c>
      <c r="Y455" s="16" t="str">
        <f aca="false">IF(OR(C455="",V455=0),"",IF(W455&gt;=V455,"Sí","No"))</f>
        <v/>
      </c>
      <c r="Z455" s="9"/>
      <c r="AA455" s="9"/>
    </row>
    <row r="456" customFormat="false" ht="15" hidden="false" customHeight="false" outlineLevel="0" collapsed="false">
      <c r="A456" s="9"/>
      <c r="B456" s="9"/>
      <c r="C456" s="9"/>
      <c r="D456" s="16" t="str">
        <f aca="false">IF(C456="","",IFERROR(INDEX(LOOKAHEAD!$B$5:$B$204,MATCH(C456,LOOKAHEAD!$A$5:$A$204,0)),""))</f>
        <v/>
      </c>
      <c r="E456" s="16" t="str">
        <f aca="false">IF(C456="","",IFERROR(INDEX(LOOKAHEAD!$E$5:$E$204,MATCH(C456,LOOKAHEAD!$A$5:$A$204,0)),""))</f>
        <v/>
      </c>
      <c r="F456" s="16" t="str">
        <f aca="false">IF(C456="","",IFERROR(INDEX(LOOKAHEAD!$M$5:$M$204,MATCH(C456,LOOKAHEAD!$A$5:$A$204,0)),""))</f>
        <v/>
      </c>
      <c r="G456" s="9"/>
      <c r="H456" s="9"/>
      <c r="I456" s="16" t="str">
        <f aca="false">IF(C456="","",IFERROR(INDEX(LOOKAHEAD!$G$5:$G$204,MATCH(C456,LOOKAHEAD!$A$5:$A$204,0)),""))</f>
        <v/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36" t="str">
        <f aca="false">IF(C456="","",SUM(J456:O456))</f>
        <v/>
      </c>
      <c r="W456" s="36" t="str">
        <f aca="false">IF(C456="","",SUM(P456:U456))</f>
        <v/>
      </c>
      <c r="X456" s="19" t="str">
        <f aca="false">IF(OR(C456="",V456=0),"",W456/V456)</f>
        <v/>
      </c>
      <c r="Y456" s="16" t="str">
        <f aca="false">IF(OR(C456="",V456=0),"",IF(W456&gt;=V456,"Sí","No"))</f>
        <v/>
      </c>
      <c r="Z456" s="9"/>
      <c r="AA456" s="9"/>
    </row>
    <row r="457" customFormat="false" ht="15" hidden="false" customHeight="false" outlineLevel="0" collapsed="false">
      <c r="A457" s="9"/>
      <c r="B457" s="9"/>
      <c r="C457" s="9"/>
      <c r="D457" s="16" t="str">
        <f aca="false">IF(C457="","",IFERROR(INDEX(LOOKAHEAD!$B$5:$B$204,MATCH(C457,LOOKAHEAD!$A$5:$A$204,0)),""))</f>
        <v/>
      </c>
      <c r="E457" s="16" t="str">
        <f aca="false">IF(C457="","",IFERROR(INDEX(LOOKAHEAD!$E$5:$E$204,MATCH(C457,LOOKAHEAD!$A$5:$A$204,0)),""))</f>
        <v/>
      </c>
      <c r="F457" s="16" t="str">
        <f aca="false">IF(C457="","",IFERROR(INDEX(LOOKAHEAD!$M$5:$M$204,MATCH(C457,LOOKAHEAD!$A$5:$A$204,0)),""))</f>
        <v/>
      </c>
      <c r="G457" s="9"/>
      <c r="H457" s="9"/>
      <c r="I457" s="16" t="str">
        <f aca="false">IF(C457="","",IFERROR(INDEX(LOOKAHEAD!$G$5:$G$204,MATCH(C457,LOOKAHEAD!$A$5:$A$204,0)),""))</f>
        <v/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36" t="str">
        <f aca="false">IF(C457="","",SUM(J457:O457))</f>
        <v/>
      </c>
      <c r="W457" s="36" t="str">
        <f aca="false">IF(C457="","",SUM(P457:U457))</f>
        <v/>
      </c>
      <c r="X457" s="19" t="str">
        <f aca="false">IF(OR(C457="",V457=0),"",W457/V457)</f>
        <v/>
      </c>
      <c r="Y457" s="16" t="str">
        <f aca="false">IF(OR(C457="",V457=0),"",IF(W457&gt;=V457,"Sí","No"))</f>
        <v/>
      </c>
      <c r="Z457" s="9"/>
      <c r="AA457" s="9"/>
    </row>
    <row r="458" customFormat="false" ht="15" hidden="false" customHeight="false" outlineLevel="0" collapsed="false">
      <c r="A458" s="9"/>
      <c r="B458" s="9"/>
      <c r="C458" s="9"/>
      <c r="D458" s="16" t="str">
        <f aca="false">IF(C458="","",IFERROR(INDEX(LOOKAHEAD!$B$5:$B$204,MATCH(C458,LOOKAHEAD!$A$5:$A$204,0)),""))</f>
        <v/>
      </c>
      <c r="E458" s="16" t="str">
        <f aca="false">IF(C458="","",IFERROR(INDEX(LOOKAHEAD!$E$5:$E$204,MATCH(C458,LOOKAHEAD!$A$5:$A$204,0)),""))</f>
        <v/>
      </c>
      <c r="F458" s="16" t="str">
        <f aca="false">IF(C458="","",IFERROR(INDEX(LOOKAHEAD!$M$5:$M$204,MATCH(C458,LOOKAHEAD!$A$5:$A$204,0)),""))</f>
        <v/>
      </c>
      <c r="G458" s="9"/>
      <c r="H458" s="9"/>
      <c r="I458" s="16" t="str">
        <f aca="false">IF(C458="","",IFERROR(INDEX(LOOKAHEAD!$G$5:$G$204,MATCH(C458,LOOKAHEAD!$A$5:$A$204,0)),""))</f>
        <v/>
      </c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36" t="str">
        <f aca="false">IF(C458="","",SUM(J458:O458))</f>
        <v/>
      </c>
      <c r="W458" s="36" t="str">
        <f aca="false">IF(C458="","",SUM(P458:U458))</f>
        <v/>
      </c>
      <c r="X458" s="19" t="str">
        <f aca="false">IF(OR(C458="",V458=0),"",W458/V458)</f>
        <v/>
      </c>
      <c r="Y458" s="16" t="str">
        <f aca="false">IF(OR(C458="",V458=0),"",IF(W458&gt;=V458,"Sí","No"))</f>
        <v/>
      </c>
      <c r="Z458" s="9"/>
      <c r="AA458" s="9"/>
    </row>
    <row r="459" customFormat="false" ht="15" hidden="false" customHeight="false" outlineLevel="0" collapsed="false">
      <c r="A459" s="9"/>
      <c r="B459" s="9"/>
      <c r="C459" s="9"/>
      <c r="D459" s="16" t="str">
        <f aca="false">IF(C459="","",IFERROR(INDEX(LOOKAHEAD!$B$5:$B$204,MATCH(C459,LOOKAHEAD!$A$5:$A$204,0)),""))</f>
        <v/>
      </c>
      <c r="E459" s="16" t="str">
        <f aca="false">IF(C459="","",IFERROR(INDEX(LOOKAHEAD!$E$5:$E$204,MATCH(C459,LOOKAHEAD!$A$5:$A$204,0)),""))</f>
        <v/>
      </c>
      <c r="F459" s="16" t="str">
        <f aca="false">IF(C459="","",IFERROR(INDEX(LOOKAHEAD!$M$5:$M$204,MATCH(C459,LOOKAHEAD!$A$5:$A$204,0)),""))</f>
        <v/>
      </c>
      <c r="G459" s="9"/>
      <c r="H459" s="9"/>
      <c r="I459" s="16" t="str">
        <f aca="false">IF(C459="","",IFERROR(INDEX(LOOKAHEAD!$G$5:$G$204,MATCH(C459,LOOKAHEAD!$A$5:$A$204,0)),""))</f>
        <v/>
      </c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36" t="str">
        <f aca="false">IF(C459="","",SUM(J459:O459))</f>
        <v/>
      </c>
      <c r="W459" s="36" t="str">
        <f aca="false">IF(C459="","",SUM(P459:U459))</f>
        <v/>
      </c>
      <c r="X459" s="19" t="str">
        <f aca="false">IF(OR(C459="",V459=0),"",W459/V459)</f>
        <v/>
      </c>
      <c r="Y459" s="16" t="str">
        <f aca="false">IF(OR(C459="",V459=0),"",IF(W459&gt;=V459,"Sí","No"))</f>
        <v/>
      </c>
      <c r="Z459" s="9"/>
      <c r="AA459" s="9"/>
    </row>
    <row r="460" customFormat="false" ht="15" hidden="false" customHeight="false" outlineLevel="0" collapsed="false">
      <c r="A460" s="9"/>
      <c r="B460" s="9"/>
      <c r="C460" s="9"/>
      <c r="D460" s="16" t="str">
        <f aca="false">IF(C460="","",IFERROR(INDEX(LOOKAHEAD!$B$5:$B$204,MATCH(C460,LOOKAHEAD!$A$5:$A$204,0)),""))</f>
        <v/>
      </c>
      <c r="E460" s="16" t="str">
        <f aca="false">IF(C460="","",IFERROR(INDEX(LOOKAHEAD!$E$5:$E$204,MATCH(C460,LOOKAHEAD!$A$5:$A$204,0)),""))</f>
        <v/>
      </c>
      <c r="F460" s="16" t="str">
        <f aca="false">IF(C460="","",IFERROR(INDEX(LOOKAHEAD!$M$5:$M$204,MATCH(C460,LOOKAHEAD!$A$5:$A$204,0)),""))</f>
        <v/>
      </c>
      <c r="G460" s="9"/>
      <c r="H460" s="9"/>
      <c r="I460" s="16" t="str">
        <f aca="false">IF(C460="","",IFERROR(INDEX(LOOKAHEAD!$G$5:$G$204,MATCH(C460,LOOKAHEAD!$A$5:$A$204,0)),""))</f>
        <v/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36" t="str">
        <f aca="false">IF(C460="","",SUM(J460:O460))</f>
        <v/>
      </c>
      <c r="W460" s="36" t="str">
        <f aca="false">IF(C460="","",SUM(P460:U460))</f>
        <v/>
      </c>
      <c r="X460" s="19" t="str">
        <f aca="false">IF(OR(C460="",V460=0),"",W460/V460)</f>
        <v/>
      </c>
      <c r="Y460" s="16" t="str">
        <f aca="false">IF(OR(C460="",V460=0),"",IF(W460&gt;=V460,"Sí","No"))</f>
        <v/>
      </c>
      <c r="Z460" s="9"/>
      <c r="AA460" s="9"/>
    </row>
    <row r="461" customFormat="false" ht="15" hidden="false" customHeight="false" outlineLevel="0" collapsed="false">
      <c r="A461" s="9"/>
      <c r="B461" s="9"/>
      <c r="C461" s="9"/>
      <c r="D461" s="16" t="str">
        <f aca="false">IF(C461="","",IFERROR(INDEX(LOOKAHEAD!$B$5:$B$204,MATCH(C461,LOOKAHEAD!$A$5:$A$204,0)),""))</f>
        <v/>
      </c>
      <c r="E461" s="16" t="str">
        <f aca="false">IF(C461="","",IFERROR(INDEX(LOOKAHEAD!$E$5:$E$204,MATCH(C461,LOOKAHEAD!$A$5:$A$204,0)),""))</f>
        <v/>
      </c>
      <c r="F461" s="16" t="str">
        <f aca="false">IF(C461="","",IFERROR(INDEX(LOOKAHEAD!$M$5:$M$204,MATCH(C461,LOOKAHEAD!$A$5:$A$204,0)),""))</f>
        <v/>
      </c>
      <c r="G461" s="9"/>
      <c r="H461" s="9"/>
      <c r="I461" s="16" t="str">
        <f aca="false">IF(C461="","",IFERROR(INDEX(LOOKAHEAD!$G$5:$G$204,MATCH(C461,LOOKAHEAD!$A$5:$A$204,0)),""))</f>
        <v/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36" t="str">
        <f aca="false">IF(C461="","",SUM(J461:O461))</f>
        <v/>
      </c>
      <c r="W461" s="36" t="str">
        <f aca="false">IF(C461="","",SUM(P461:U461))</f>
        <v/>
      </c>
      <c r="X461" s="19" t="str">
        <f aca="false">IF(OR(C461="",V461=0),"",W461/V461)</f>
        <v/>
      </c>
      <c r="Y461" s="16" t="str">
        <f aca="false">IF(OR(C461="",V461=0),"",IF(W461&gt;=V461,"Sí","No"))</f>
        <v/>
      </c>
      <c r="Z461" s="9"/>
      <c r="AA461" s="9"/>
    </row>
    <row r="462" customFormat="false" ht="15" hidden="false" customHeight="false" outlineLevel="0" collapsed="false">
      <c r="A462" s="9"/>
      <c r="B462" s="9"/>
      <c r="C462" s="9"/>
      <c r="D462" s="16" t="str">
        <f aca="false">IF(C462="","",IFERROR(INDEX(LOOKAHEAD!$B$5:$B$204,MATCH(C462,LOOKAHEAD!$A$5:$A$204,0)),""))</f>
        <v/>
      </c>
      <c r="E462" s="16" t="str">
        <f aca="false">IF(C462="","",IFERROR(INDEX(LOOKAHEAD!$E$5:$E$204,MATCH(C462,LOOKAHEAD!$A$5:$A$204,0)),""))</f>
        <v/>
      </c>
      <c r="F462" s="16" t="str">
        <f aca="false">IF(C462="","",IFERROR(INDEX(LOOKAHEAD!$M$5:$M$204,MATCH(C462,LOOKAHEAD!$A$5:$A$204,0)),""))</f>
        <v/>
      </c>
      <c r="G462" s="9"/>
      <c r="H462" s="9"/>
      <c r="I462" s="16" t="str">
        <f aca="false">IF(C462="","",IFERROR(INDEX(LOOKAHEAD!$G$5:$G$204,MATCH(C462,LOOKAHEAD!$A$5:$A$204,0)),""))</f>
        <v/>
      </c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36" t="str">
        <f aca="false">IF(C462="","",SUM(J462:O462))</f>
        <v/>
      </c>
      <c r="W462" s="36" t="str">
        <f aca="false">IF(C462="","",SUM(P462:U462))</f>
        <v/>
      </c>
      <c r="X462" s="19" t="str">
        <f aca="false">IF(OR(C462="",V462=0),"",W462/V462)</f>
        <v/>
      </c>
      <c r="Y462" s="16" t="str">
        <f aca="false">IF(OR(C462="",V462=0),"",IF(W462&gt;=V462,"Sí","No"))</f>
        <v/>
      </c>
      <c r="Z462" s="9"/>
      <c r="AA462" s="9"/>
    </row>
    <row r="463" customFormat="false" ht="15" hidden="false" customHeight="false" outlineLevel="0" collapsed="false">
      <c r="A463" s="9"/>
      <c r="B463" s="9"/>
      <c r="C463" s="9"/>
      <c r="D463" s="16" t="str">
        <f aca="false">IF(C463="","",IFERROR(INDEX(LOOKAHEAD!$B$5:$B$204,MATCH(C463,LOOKAHEAD!$A$5:$A$204,0)),""))</f>
        <v/>
      </c>
      <c r="E463" s="16" t="str">
        <f aca="false">IF(C463="","",IFERROR(INDEX(LOOKAHEAD!$E$5:$E$204,MATCH(C463,LOOKAHEAD!$A$5:$A$204,0)),""))</f>
        <v/>
      </c>
      <c r="F463" s="16" t="str">
        <f aca="false">IF(C463="","",IFERROR(INDEX(LOOKAHEAD!$M$5:$M$204,MATCH(C463,LOOKAHEAD!$A$5:$A$204,0)),""))</f>
        <v/>
      </c>
      <c r="G463" s="9"/>
      <c r="H463" s="9"/>
      <c r="I463" s="16" t="str">
        <f aca="false">IF(C463="","",IFERROR(INDEX(LOOKAHEAD!$G$5:$G$204,MATCH(C463,LOOKAHEAD!$A$5:$A$204,0)),""))</f>
        <v/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36" t="str">
        <f aca="false">IF(C463="","",SUM(J463:O463))</f>
        <v/>
      </c>
      <c r="W463" s="36" t="str">
        <f aca="false">IF(C463="","",SUM(P463:U463))</f>
        <v/>
      </c>
      <c r="X463" s="19" t="str">
        <f aca="false">IF(OR(C463="",V463=0),"",W463/V463)</f>
        <v/>
      </c>
      <c r="Y463" s="16" t="str">
        <f aca="false">IF(OR(C463="",V463=0),"",IF(W463&gt;=V463,"Sí","No"))</f>
        <v/>
      </c>
      <c r="Z463" s="9"/>
      <c r="AA463" s="9"/>
    </row>
    <row r="464" customFormat="false" ht="15" hidden="false" customHeight="false" outlineLevel="0" collapsed="false">
      <c r="A464" s="9"/>
      <c r="B464" s="9"/>
      <c r="C464" s="9"/>
      <c r="D464" s="16" t="str">
        <f aca="false">IF(C464="","",IFERROR(INDEX(LOOKAHEAD!$B$5:$B$204,MATCH(C464,LOOKAHEAD!$A$5:$A$204,0)),""))</f>
        <v/>
      </c>
      <c r="E464" s="16" t="str">
        <f aca="false">IF(C464="","",IFERROR(INDEX(LOOKAHEAD!$E$5:$E$204,MATCH(C464,LOOKAHEAD!$A$5:$A$204,0)),""))</f>
        <v/>
      </c>
      <c r="F464" s="16" t="str">
        <f aca="false">IF(C464="","",IFERROR(INDEX(LOOKAHEAD!$M$5:$M$204,MATCH(C464,LOOKAHEAD!$A$5:$A$204,0)),""))</f>
        <v/>
      </c>
      <c r="G464" s="9"/>
      <c r="H464" s="9"/>
      <c r="I464" s="16" t="str">
        <f aca="false">IF(C464="","",IFERROR(INDEX(LOOKAHEAD!$G$5:$G$204,MATCH(C464,LOOKAHEAD!$A$5:$A$204,0)),""))</f>
        <v/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36" t="str">
        <f aca="false">IF(C464="","",SUM(J464:O464))</f>
        <v/>
      </c>
      <c r="W464" s="36" t="str">
        <f aca="false">IF(C464="","",SUM(P464:U464))</f>
        <v/>
      </c>
      <c r="X464" s="19" t="str">
        <f aca="false">IF(OR(C464="",V464=0),"",W464/V464)</f>
        <v/>
      </c>
      <c r="Y464" s="16" t="str">
        <f aca="false">IF(OR(C464="",V464=0),"",IF(W464&gt;=V464,"Sí","No"))</f>
        <v/>
      </c>
      <c r="Z464" s="9"/>
      <c r="AA464" s="9"/>
    </row>
    <row r="465" customFormat="false" ht="15" hidden="false" customHeight="false" outlineLevel="0" collapsed="false">
      <c r="A465" s="9"/>
      <c r="B465" s="9"/>
      <c r="C465" s="9"/>
      <c r="D465" s="16" t="str">
        <f aca="false">IF(C465="","",IFERROR(INDEX(LOOKAHEAD!$B$5:$B$204,MATCH(C465,LOOKAHEAD!$A$5:$A$204,0)),""))</f>
        <v/>
      </c>
      <c r="E465" s="16" t="str">
        <f aca="false">IF(C465="","",IFERROR(INDEX(LOOKAHEAD!$E$5:$E$204,MATCH(C465,LOOKAHEAD!$A$5:$A$204,0)),""))</f>
        <v/>
      </c>
      <c r="F465" s="16" t="str">
        <f aca="false">IF(C465="","",IFERROR(INDEX(LOOKAHEAD!$M$5:$M$204,MATCH(C465,LOOKAHEAD!$A$5:$A$204,0)),""))</f>
        <v/>
      </c>
      <c r="G465" s="9"/>
      <c r="H465" s="9"/>
      <c r="I465" s="16" t="str">
        <f aca="false">IF(C465="","",IFERROR(INDEX(LOOKAHEAD!$G$5:$G$204,MATCH(C465,LOOKAHEAD!$A$5:$A$204,0)),""))</f>
        <v/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36" t="str">
        <f aca="false">IF(C465="","",SUM(J465:O465))</f>
        <v/>
      </c>
      <c r="W465" s="36" t="str">
        <f aca="false">IF(C465="","",SUM(P465:U465))</f>
        <v/>
      </c>
      <c r="X465" s="19" t="str">
        <f aca="false">IF(OR(C465="",V465=0),"",W465/V465)</f>
        <v/>
      </c>
      <c r="Y465" s="16" t="str">
        <f aca="false">IF(OR(C465="",V465=0),"",IF(W465&gt;=V465,"Sí","No"))</f>
        <v/>
      </c>
      <c r="Z465" s="9"/>
      <c r="AA465" s="9"/>
    </row>
    <row r="466" customFormat="false" ht="15" hidden="false" customHeight="false" outlineLevel="0" collapsed="false">
      <c r="A466" s="9"/>
      <c r="B466" s="9"/>
      <c r="C466" s="9"/>
      <c r="D466" s="16" t="str">
        <f aca="false">IF(C466="","",IFERROR(INDEX(LOOKAHEAD!$B$5:$B$204,MATCH(C466,LOOKAHEAD!$A$5:$A$204,0)),""))</f>
        <v/>
      </c>
      <c r="E466" s="16" t="str">
        <f aca="false">IF(C466="","",IFERROR(INDEX(LOOKAHEAD!$E$5:$E$204,MATCH(C466,LOOKAHEAD!$A$5:$A$204,0)),""))</f>
        <v/>
      </c>
      <c r="F466" s="16" t="str">
        <f aca="false">IF(C466="","",IFERROR(INDEX(LOOKAHEAD!$M$5:$M$204,MATCH(C466,LOOKAHEAD!$A$5:$A$204,0)),""))</f>
        <v/>
      </c>
      <c r="G466" s="9"/>
      <c r="H466" s="9"/>
      <c r="I466" s="16" t="str">
        <f aca="false">IF(C466="","",IFERROR(INDEX(LOOKAHEAD!$G$5:$G$204,MATCH(C466,LOOKAHEAD!$A$5:$A$204,0)),""))</f>
        <v/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36" t="str">
        <f aca="false">IF(C466="","",SUM(J466:O466))</f>
        <v/>
      </c>
      <c r="W466" s="36" t="str">
        <f aca="false">IF(C466="","",SUM(P466:U466))</f>
        <v/>
      </c>
      <c r="X466" s="19" t="str">
        <f aca="false">IF(OR(C466="",V466=0),"",W466/V466)</f>
        <v/>
      </c>
      <c r="Y466" s="16" t="str">
        <f aca="false">IF(OR(C466="",V466=0),"",IF(W466&gt;=V466,"Sí","No"))</f>
        <v/>
      </c>
      <c r="Z466" s="9"/>
      <c r="AA466" s="9"/>
    </row>
    <row r="467" customFormat="false" ht="15" hidden="false" customHeight="false" outlineLevel="0" collapsed="false">
      <c r="A467" s="9"/>
      <c r="B467" s="9"/>
      <c r="C467" s="9"/>
      <c r="D467" s="16" t="str">
        <f aca="false">IF(C467="","",IFERROR(INDEX(LOOKAHEAD!$B$5:$B$204,MATCH(C467,LOOKAHEAD!$A$5:$A$204,0)),""))</f>
        <v/>
      </c>
      <c r="E467" s="16" t="str">
        <f aca="false">IF(C467="","",IFERROR(INDEX(LOOKAHEAD!$E$5:$E$204,MATCH(C467,LOOKAHEAD!$A$5:$A$204,0)),""))</f>
        <v/>
      </c>
      <c r="F467" s="16" t="str">
        <f aca="false">IF(C467="","",IFERROR(INDEX(LOOKAHEAD!$M$5:$M$204,MATCH(C467,LOOKAHEAD!$A$5:$A$204,0)),""))</f>
        <v/>
      </c>
      <c r="G467" s="9"/>
      <c r="H467" s="9"/>
      <c r="I467" s="16" t="str">
        <f aca="false">IF(C467="","",IFERROR(INDEX(LOOKAHEAD!$G$5:$G$204,MATCH(C467,LOOKAHEAD!$A$5:$A$204,0)),""))</f>
        <v/>
      </c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36" t="str">
        <f aca="false">IF(C467="","",SUM(J467:O467))</f>
        <v/>
      </c>
      <c r="W467" s="36" t="str">
        <f aca="false">IF(C467="","",SUM(P467:U467))</f>
        <v/>
      </c>
      <c r="X467" s="19" t="str">
        <f aca="false">IF(OR(C467="",V467=0),"",W467/V467)</f>
        <v/>
      </c>
      <c r="Y467" s="16" t="str">
        <f aca="false">IF(OR(C467="",V467=0),"",IF(W467&gt;=V467,"Sí","No"))</f>
        <v/>
      </c>
      <c r="Z467" s="9"/>
      <c r="AA467" s="9"/>
    </row>
    <row r="468" customFormat="false" ht="15" hidden="false" customHeight="false" outlineLevel="0" collapsed="false">
      <c r="A468" s="9"/>
      <c r="B468" s="9"/>
      <c r="C468" s="9"/>
      <c r="D468" s="16" t="str">
        <f aca="false">IF(C468="","",IFERROR(INDEX(LOOKAHEAD!$B$5:$B$204,MATCH(C468,LOOKAHEAD!$A$5:$A$204,0)),""))</f>
        <v/>
      </c>
      <c r="E468" s="16" t="str">
        <f aca="false">IF(C468="","",IFERROR(INDEX(LOOKAHEAD!$E$5:$E$204,MATCH(C468,LOOKAHEAD!$A$5:$A$204,0)),""))</f>
        <v/>
      </c>
      <c r="F468" s="16" t="str">
        <f aca="false">IF(C468="","",IFERROR(INDEX(LOOKAHEAD!$M$5:$M$204,MATCH(C468,LOOKAHEAD!$A$5:$A$204,0)),""))</f>
        <v/>
      </c>
      <c r="G468" s="9"/>
      <c r="H468" s="9"/>
      <c r="I468" s="16" t="str">
        <f aca="false">IF(C468="","",IFERROR(INDEX(LOOKAHEAD!$G$5:$G$204,MATCH(C468,LOOKAHEAD!$A$5:$A$204,0)),""))</f>
        <v/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36" t="str">
        <f aca="false">IF(C468="","",SUM(J468:O468))</f>
        <v/>
      </c>
      <c r="W468" s="36" t="str">
        <f aca="false">IF(C468="","",SUM(P468:U468))</f>
        <v/>
      </c>
      <c r="X468" s="19" t="str">
        <f aca="false">IF(OR(C468="",V468=0),"",W468/V468)</f>
        <v/>
      </c>
      <c r="Y468" s="16" t="str">
        <f aca="false">IF(OR(C468="",V468=0),"",IF(W468&gt;=V468,"Sí","No"))</f>
        <v/>
      </c>
      <c r="Z468" s="9"/>
      <c r="AA468" s="9"/>
    </row>
    <row r="469" customFormat="false" ht="15" hidden="false" customHeight="false" outlineLevel="0" collapsed="false">
      <c r="A469" s="9"/>
      <c r="B469" s="9"/>
      <c r="C469" s="9"/>
      <c r="D469" s="16" t="str">
        <f aca="false">IF(C469="","",IFERROR(INDEX(LOOKAHEAD!$B$5:$B$204,MATCH(C469,LOOKAHEAD!$A$5:$A$204,0)),""))</f>
        <v/>
      </c>
      <c r="E469" s="16" t="str">
        <f aca="false">IF(C469="","",IFERROR(INDEX(LOOKAHEAD!$E$5:$E$204,MATCH(C469,LOOKAHEAD!$A$5:$A$204,0)),""))</f>
        <v/>
      </c>
      <c r="F469" s="16" t="str">
        <f aca="false">IF(C469="","",IFERROR(INDEX(LOOKAHEAD!$M$5:$M$204,MATCH(C469,LOOKAHEAD!$A$5:$A$204,0)),""))</f>
        <v/>
      </c>
      <c r="G469" s="9"/>
      <c r="H469" s="9"/>
      <c r="I469" s="16" t="str">
        <f aca="false">IF(C469="","",IFERROR(INDEX(LOOKAHEAD!$G$5:$G$204,MATCH(C469,LOOKAHEAD!$A$5:$A$204,0)),""))</f>
        <v/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36" t="str">
        <f aca="false">IF(C469="","",SUM(J469:O469))</f>
        <v/>
      </c>
      <c r="W469" s="36" t="str">
        <f aca="false">IF(C469="","",SUM(P469:U469))</f>
        <v/>
      </c>
      <c r="X469" s="19" t="str">
        <f aca="false">IF(OR(C469="",V469=0),"",W469/V469)</f>
        <v/>
      </c>
      <c r="Y469" s="16" t="str">
        <f aca="false">IF(OR(C469="",V469=0),"",IF(W469&gt;=V469,"Sí","No"))</f>
        <v/>
      </c>
      <c r="Z469" s="9"/>
      <c r="AA469" s="9"/>
    </row>
    <row r="470" customFormat="false" ht="15" hidden="false" customHeight="false" outlineLevel="0" collapsed="false">
      <c r="A470" s="9"/>
      <c r="B470" s="9"/>
      <c r="C470" s="9"/>
      <c r="D470" s="16" t="str">
        <f aca="false">IF(C470="","",IFERROR(INDEX(LOOKAHEAD!$B$5:$B$204,MATCH(C470,LOOKAHEAD!$A$5:$A$204,0)),""))</f>
        <v/>
      </c>
      <c r="E470" s="16" t="str">
        <f aca="false">IF(C470="","",IFERROR(INDEX(LOOKAHEAD!$E$5:$E$204,MATCH(C470,LOOKAHEAD!$A$5:$A$204,0)),""))</f>
        <v/>
      </c>
      <c r="F470" s="16" t="str">
        <f aca="false">IF(C470="","",IFERROR(INDEX(LOOKAHEAD!$M$5:$M$204,MATCH(C470,LOOKAHEAD!$A$5:$A$204,0)),""))</f>
        <v/>
      </c>
      <c r="G470" s="9"/>
      <c r="H470" s="9"/>
      <c r="I470" s="16" t="str">
        <f aca="false">IF(C470="","",IFERROR(INDEX(LOOKAHEAD!$G$5:$G$204,MATCH(C470,LOOKAHEAD!$A$5:$A$204,0)),""))</f>
        <v/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36" t="str">
        <f aca="false">IF(C470="","",SUM(J470:O470))</f>
        <v/>
      </c>
      <c r="W470" s="36" t="str">
        <f aca="false">IF(C470="","",SUM(P470:U470))</f>
        <v/>
      </c>
      <c r="X470" s="19" t="str">
        <f aca="false">IF(OR(C470="",V470=0),"",W470/V470)</f>
        <v/>
      </c>
      <c r="Y470" s="16" t="str">
        <f aca="false">IF(OR(C470="",V470=0),"",IF(W470&gt;=V470,"Sí","No"))</f>
        <v/>
      </c>
      <c r="Z470" s="9"/>
      <c r="AA470" s="9"/>
    </row>
    <row r="471" customFormat="false" ht="15" hidden="false" customHeight="false" outlineLevel="0" collapsed="false">
      <c r="A471" s="9"/>
      <c r="B471" s="9"/>
      <c r="C471" s="9"/>
      <c r="D471" s="16" t="str">
        <f aca="false">IF(C471="","",IFERROR(INDEX(LOOKAHEAD!$B$5:$B$204,MATCH(C471,LOOKAHEAD!$A$5:$A$204,0)),""))</f>
        <v/>
      </c>
      <c r="E471" s="16" t="str">
        <f aca="false">IF(C471="","",IFERROR(INDEX(LOOKAHEAD!$E$5:$E$204,MATCH(C471,LOOKAHEAD!$A$5:$A$204,0)),""))</f>
        <v/>
      </c>
      <c r="F471" s="16" t="str">
        <f aca="false">IF(C471="","",IFERROR(INDEX(LOOKAHEAD!$M$5:$M$204,MATCH(C471,LOOKAHEAD!$A$5:$A$204,0)),""))</f>
        <v/>
      </c>
      <c r="G471" s="9"/>
      <c r="H471" s="9"/>
      <c r="I471" s="16" t="str">
        <f aca="false">IF(C471="","",IFERROR(INDEX(LOOKAHEAD!$G$5:$G$204,MATCH(C471,LOOKAHEAD!$A$5:$A$204,0)),""))</f>
        <v/>
      </c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36" t="str">
        <f aca="false">IF(C471="","",SUM(J471:O471))</f>
        <v/>
      </c>
      <c r="W471" s="36" t="str">
        <f aca="false">IF(C471="","",SUM(P471:U471))</f>
        <v/>
      </c>
      <c r="X471" s="19" t="str">
        <f aca="false">IF(OR(C471="",V471=0),"",W471/V471)</f>
        <v/>
      </c>
      <c r="Y471" s="16" t="str">
        <f aca="false">IF(OR(C471="",V471=0),"",IF(W471&gt;=V471,"Sí","No"))</f>
        <v/>
      </c>
      <c r="Z471" s="9"/>
      <c r="AA471" s="9"/>
    </row>
    <row r="472" customFormat="false" ht="15" hidden="false" customHeight="false" outlineLevel="0" collapsed="false">
      <c r="A472" s="9"/>
      <c r="B472" s="9"/>
      <c r="C472" s="9"/>
      <c r="D472" s="16" t="str">
        <f aca="false">IF(C472="","",IFERROR(INDEX(LOOKAHEAD!$B$5:$B$204,MATCH(C472,LOOKAHEAD!$A$5:$A$204,0)),""))</f>
        <v/>
      </c>
      <c r="E472" s="16" t="str">
        <f aca="false">IF(C472="","",IFERROR(INDEX(LOOKAHEAD!$E$5:$E$204,MATCH(C472,LOOKAHEAD!$A$5:$A$204,0)),""))</f>
        <v/>
      </c>
      <c r="F472" s="16" t="str">
        <f aca="false">IF(C472="","",IFERROR(INDEX(LOOKAHEAD!$M$5:$M$204,MATCH(C472,LOOKAHEAD!$A$5:$A$204,0)),""))</f>
        <v/>
      </c>
      <c r="G472" s="9"/>
      <c r="H472" s="9"/>
      <c r="I472" s="16" t="str">
        <f aca="false">IF(C472="","",IFERROR(INDEX(LOOKAHEAD!$G$5:$G$204,MATCH(C472,LOOKAHEAD!$A$5:$A$204,0)),""))</f>
        <v/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36" t="str">
        <f aca="false">IF(C472="","",SUM(J472:O472))</f>
        <v/>
      </c>
      <c r="W472" s="36" t="str">
        <f aca="false">IF(C472="","",SUM(P472:U472))</f>
        <v/>
      </c>
      <c r="X472" s="19" t="str">
        <f aca="false">IF(OR(C472="",V472=0),"",W472/V472)</f>
        <v/>
      </c>
      <c r="Y472" s="16" t="str">
        <f aca="false">IF(OR(C472="",V472=0),"",IF(W472&gt;=V472,"Sí","No"))</f>
        <v/>
      </c>
      <c r="Z472" s="9"/>
      <c r="AA472" s="9"/>
    </row>
    <row r="473" customFormat="false" ht="15" hidden="false" customHeight="false" outlineLevel="0" collapsed="false">
      <c r="A473" s="9"/>
      <c r="B473" s="9"/>
      <c r="C473" s="9"/>
      <c r="D473" s="16" t="str">
        <f aca="false">IF(C473="","",IFERROR(INDEX(LOOKAHEAD!$B$5:$B$204,MATCH(C473,LOOKAHEAD!$A$5:$A$204,0)),""))</f>
        <v/>
      </c>
      <c r="E473" s="16" t="str">
        <f aca="false">IF(C473="","",IFERROR(INDEX(LOOKAHEAD!$E$5:$E$204,MATCH(C473,LOOKAHEAD!$A$5:$A$204,0)),""))</f>
        <v/>
      </c>
      <c r="F473" s="16" t="str">
        <f aca="false">IF(C473="","",IFERROR(INDEX(LOOKAHEAD!$M$5:$M$204,MATCH(C473,LOOKAHEAD!$A$5:$A$204,0)),""))</f>
        <v/>
      </c>
      <c r="G473" s="9"/>
      <c r="H473" s="9"/>
      <c r="I473" s="16" t="str">
        <f aca="false">IF(C473="","",IFERROR(INDEX(LOOKAHEAD!$G$5:$G$204,MATCH(C473,LOOKAHEAD!$A$5:$A$204,0)),""))</f>
        <v/>
      </c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36" t="str">
        <f aca="false">IF(C473="","",SUM(J473:O473))</f>
        <v/>
      </c>
      <c r="W473" s="36" t="str">
        <f aca="false">IF(C473="","",SUM(P473:U473))</f>
        <v/>
      </c>
      <c r="X473" s="19" t="str">
        <f aca="false">IF(OR(C473="",V473=0),"",W473/V473)</f>
        <v/>
      </c>
      <c r="Y473" s="16" t="str">
        <f aca="false">IF(OR(C473="",V473=0),"",IF(W473&gt;=V473,"Sí","No"))</f>
        <v/>
      </c>
      <c r="Z473" s="9"/>
      <c r="AA473" s="9"/>
    </row>
    <row r="474" customFormat="false" ht="15" hidden="false" customHeight="false" outlineLevel="0" collapsed="false">
      <c r="A474" s="9"/>
      <c r="B474" s="9"/>
      <c r="C474" s="9"/>
      <c r="D474" s="16" t="str">
        <f aca="false">IF(C474="","",IFERROR(INDEX(LOOKAHEAD!$B$5:$B$204,MATCH(C474,LOOKAHEAD!$A$5:$A$204,0)),""))</f>
        <v/>
      </c>
      <c r="E474" s="16" t="str">
        <f aca="false">IF(C474="","",IFERROR(INDEX(LOOKAHEAD!$E$5:$E$204,MATCH(C474,LOOKAHEAD!$A$5:$A$204,0)),""))</f>
        <v/>
      </c>
      <c r="F474" s="16" t="str">
        <f aca="false">IF(C474="","",IFERROR(INDEX(LOOKAHEAD!$M$5:$M$204,MATCH(C474,LOOKAHEAD!$A$5:$A$204,0)),""))</f>
        <v/>
      </c>
      <c r="G474" s="9"/>
      <c r="H474" s="9"/>
      <c r="I474" s="16" t="str">
        <f aca="false">IF(C474="","",IFERROR(INDEX(LOOKAHEAD!$G$5:$G$204,MATCH(C474,LOOKAHEAD!$A$5:$A$204,0)),""))</f>
        <v/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36" t="str">
        <f aca="false">IF(C474="","",SUM(J474:O474))</f>
        <v/>
      </c>
      <c r="W474" s="36" t="str">
        <f aca="false">IF(C474="","",SUM(P474:U474))</f>
        <v/>
      </c>
      <c r="X474" s="19" t="str">
        <f aca="false">IF(OR(C474="",V474=0),"",W474/V474)</f>
        <v/>
      </c>
      <c r="Y474" s="16" t="str">
        <f aca="false">IF(OR(C474="",V474=0),"",IF(W474&gt;=V474,"Sí","No"))</f>
        <v/>
      </c>
      <c r="Z474" s="9"/>
      <c r="AA474" s="9"/>
    </row>
    <row r="475" customFormat="false" ht="15" hidden="false" customHeight="false" outlineLevel="0" collapsed="false">
      <c r="A475" s="9"/>
      <c r="B475" s="9"/>
      <c r="C475" s="9"/>
      <c r="D475" s="16" t="str">
        <f aca="false">IF(C475="","",IFERROR(INDEX(LOOKAHEAD!$B$5:$B$204,MATCH(C475,LOOKAHEAD!$A$5:$A$204,0)),""))</f>
        <v/>
      </c>
      <c r="E475" s="16" t="str">
        <f aca="false">IF(C475="","",IFERROR(INDEX(LOOKAHEAD!$E$5:$E$204,MATCH(C475,LOOKAHEAD!$A$5:$A$204,0)),""))</f>
        <v/>
      </c>
      <c r="F475" s="16" t="str">
        <f aca="false">IF(C475="","",IFERROR(INDEX(LOOKAHEAD!$M$5:$M$204,MATCH(C475,LOOKAHEAD!$A$5:$A$204,0)),""))</f>
        <v/>
      </c>
      <c r="G475" s="9"/>
      <c r="H475" s="9"/>
      <c r="I475" s="16" t="str">
        <f aca="false">IF(C475="","",IFERROR(INDEX(LOOKAHEAD!$G$5:$G$204,MATCH(C475,LOOKAHEAD!$A$5:$A$204,0)),""))</f>
        <v/>
      </c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36" t="str">
        <f aca="false">IF(C475="","",SUM(J475:O475))</f>
        <v/>
      </c>
      <c r="W475" s="36" t="str">
        <f aca="false">IF(C475="","",SUM(P475:U475))</f>
        <v/>
      </c>
      <c r="X475" s="19" t="str">
        <f aca="false">IF(OR(C475="",V475=0),"",W475/V475)</f>
        <v/>
      </c>
      <c r="Y475" s="16" t="str">
        <f aca="false">IF(OR(C475="",V475=0),"",IF(W475&gt;=V475,"Sí","No"))</f>
        <v/>
      </c>
      <c r="Z475" s="9"/>
      <c r="AA475" s="9"/>
    </row>
    <row r="476" customFormat="false" ht="15" hidden="false" customHeight="false" outlineLevel="0" collapsed="false">
      <c r="A476" s="9"/>
      <c r="B476" s="9"/>
      <c r="C476" s="9"/>
      <c r="D476" s="16" t="str">
        <f aca="false">IF(C476="","",IFERROR(INDEX(LOOKAHEAD!$B$5:$B$204,MATCH(C476,LOOKAHEAD!$A$5:$A$204,0)),""))</f>
        <v/>
      </c>
      <c r="E476" s="16" t="str">
        <f aca="false">IF(C476="","",IFERROR(INDEX(LOOKAHEAD!$E$5:$E$204,MATCH(C476,LOOKAHEAD!$A$5:$A$204,0)),""))</f>
        <v/>
      </c>
      <c r="F476" s="16" t="str">
        <f aca="false">IF(C476="","",IFERROR(INDEX(LOOKAHEAD!$M$5:$M$204,MATCH(C476,LOOKAHEAD!$A$5:$A$204,0)),""))</f>
        <v/>
      </c>
      <c r="G476" s="9"/>
      <c r="H476" s="9"/>
      <c r="I476" s="16" t="str">
        <f aca="false">IF(C476="","",IFERROR(INDEX(LOOKAHEAD!$G$5:$G$204,MATCH(C476,LOOKAHEAD!$A$5:$A$204,0)),""))</f>
        <v/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36" t="str">
        <f aca="false">IF(C476="","",SUM(J476:O476))</f>
        <v/>
      </c>
      <c r="W476" s="36" t="str">
        <f aca="false">IF(C476="","",SUM(P476:U476))</f>
        <v/>
      </c>
      <c r="X476" s="19" t="str">
        <f aca="false">IF(OR(C476="",V476=0),"",W476/V476)</f>
        <v/>
      </c>
      <c r="Y476" s="16" t="str">
        <f aca="false">IF(OR(C476="",V476=0),"",IF(W476&gt;=V476,"Sí","No"))</f>
        <v/>
      </c>
      <c r="Z476" s="9"/>
      <c r="AA476" s="9"/>
    </row>
    <row r="477" customFormat="false" ht="15" hidden="false" customHeight="false" outlineLevel="0" collapsed="false">
      <c r="A477" s="9"/>
      <c r="B477" s="9"/>
      <c r="C477" s="9"/>
      <c r="D477" s="16" t="str">
        <f aca="false">IF(C477="","",IFERROR(INDEX(LOOKAHEAD!$B$5:$B$204,MATCH(C477,LOOKAHEAD!$A$5:$A$204,0)),""))</f>
        <v/>
      </c>
      <c r="E477" s="16" t="str">
        <f aca="false">IF(C477="","",IFERROR(INDEX(LOOKAHEAD!$E$5:$E$204,MATCH(C477,LOOKAHEAD!$A$5:$A$204,0)),""))</f>
        <v/>
      </c>
      <c r="F477" s="16" t="str">
        <f aca="false">IF(C477="","",IFERROR(INDEX(LOOKAHEAD!$M$5:$M$204,MATCH(C477,LOOKAHEAD!$A$5:$A$204,0)),""))</f>
        <v/>
      </c>
      <c r="G477" s="9"/>
      <c r="H477" s="9"/>
      <c r="I477" s="16" t="str">
        <f aca="false">IF(C477="","",IFERROR(INDEX(LOOKAHEAD!$G$5:$G$204,MATCH(C477,LOOKAHEAD!$A$5:$A$204,0)),""))</f>
        <v/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36" t="str">
        <f aca="false">IF(C477="","",SUM(J477:O477))</f>
        <v/>
      </c>
      <c r="W477" s="36" t="str">
        <f aca="false">IF(C477="","",SUM(P477:U477))</f>
        <v/>
      </c>
      <c r="X477" s="19" t="str">
        <f aca="false">IF(OR(C477="",V477=0),"",W477/V477)</f>
        <v/>
      </c>
      <c r="Y477" s="16" t="str">
        <f aca="false">IF(OR(C477="",V477=0),"",IF(W477&gt;=V477,"Sí","No"))</f>
        <v/>
      </c>
      <c r="Z477" s="9"/>
      <c r="AA477" s="9"/>
    </row>
    <row r="478" customFormat="false" ht="15" hidden="false" customHeight="false" outlineLevel="0" collapsed="false">
      <c r="A478" s="9"/>
      <c r="B478" s="9"/>
      <c r="C478" s="9"/>
      <c r="D478" s="16" t="str">
        <f aca="false">IF(C478="","",IFERROR(INDEX(LOOKAHEAD!$B$5:$B$204,MATCH(C478,LOOKAHEAD!$A$5:$A$204,0)),""))</f>
        <v/>
      </c>
      <c r="E478" s="16" t="str">
        <f aca="false">IF(C478="","",IFERROR(INDEX(LOOKAHEAD!$E$5:$E$204,MATCH(C478,LOOKAHEAD!$A$5:$A$204,0)),""))</f>
        <v/>
      </c>
      <c r="F478" s="16" t="str">
        <f aca="false">IF(C478="","",IFERROR(INDEX(LOOKAHEAD!$M$5:$M$204,MATCH(C478,LOOKAHEAD!$A$5:$A$204,0)),""))</f>
        <v/>
      </c>
      <c r="G478" s="9"/>
      <c r="H478" s="9"/>
      <c r="I478" s="16" t="str">
        <f aca="false">IF(C478="","",IFERROR(INDEX(LOOKAHEAD!$G$5:$G$204,MATCH(C478,LOOKAHEAD!$A$5:$A$204,0)),""))</f>
        <v/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36" t="str">
        <f aca="false">IF(C478="","",SUM(J478:O478))</f>
        <v/>
      </c>
      <c r="W478" s="36" t="str">
        <f aca="false">IF(C478="","",SUM(P478:U478))</f>
        <v/>
      </c>
      <c r="X478" s="19" t="str">
        <f aca="false">IF(OR(C478="",V478=0),"",W478/V478)</f>
        <v/>
      </c>
      <c r="Y478" s="16" t="str">
        <f aca="false">IF(OR(C478="",V478=0),"",IF(W478&gt;=V478,"Sí","No"))</f>
        <v/>
      </c>
      <c r="Z478" s="9"/>
      <c r="AA478" s="9"/>
    </row>
    <row r="479" customFormat="false" ht="15" hidden="false" customHeight="false" outlineLevel="0" collapsed="false">
      <c r="A479" s="9"/>
      <c r="B479" s="9"/>
      <c r="C479" s="9"/>
      <c r="D479" s="16" t="str">
        <f aca="false">IF(C479="","",IFERROR(INDEX(LOOKAHEAD!$B$5:$B$204,MATCH(C479,LOOKAHEAD!$A$5:$A$204,0)),""))</f>
        <v/>
      </c>
      <c r="E479" s="16" t="str">
        <f aca="false">IF(C479="","",IFERROR(INDEX(LOOKAHEAD!$E$5:$E$204,MATCH(C479,LOOKAHEAD!$A$5:$A$204,0)),""))</f>
        <v/>
      </c>
      <c r="F479" s="16" t="str">
        <f aca="false">IF(C479="","",IFERROR(INDEX(LOOKAHEAD!$M$5:$M$204,MATCH(C479,LOOKAHEAD!$A$5:$A$204,0)),""))</f>
        <v/>
      </c>
      <c r="G479" s="9"/>
      <c r="H479" s="9"/>
      <c r="I479" s="16" t="str">
        <f aca="false">IF(C479="","",IFERROR(INDEX(LOOKAHEAD!$G$5:$G$204,MATCH(C479,LOOKAHEAD!$A$5:$A$204,0)),""))</f>
        <v/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36" t="str">
        <f aca="false">IF(C479="","",SUM(J479:O479))</f>
        <v/>
      </c>
      <c r="W479" s="36" t="str">
        <f aca="false">IF(C479="","",SUM(P479:U479))</f>
        <v/>
      </c>
      <c r="X479" s="19" t="str">
        <f aca="false">IF(OR(C479="",V479=0),"",W479/V479)</f>
        <v/>
      </c>
      <c r="Y479" s="16" t="str">
        <f aca="false">IF(OR(C479="",V479=0),"",IF(W479&gt;=V479,"Sí","No"))</f>
        <v/>
      </c>
      <c r="Z479" s="9"/>
      <c r="AA479" s="9"/>
    </row>
    <row r="480" customFormat="false" ht="15" hidden="false" customHeight="false" outlineLevel="0" collapsed="false">
      <c r="A480" s="9"/>
      <c r="B480" s="9"/>
      <c r="C480" s="9"/>
      <c r="D480" s="16" t="str">
        <f aca="false">IF(C480="","",IFERROR(INDEX(LOOKAHEAD!$B$5:$B$204,MATCH(C480,LOOKAHEAD!$A$5:$A$204,0)),""))</f>
        <v/>
      </c>
      <c r="E480" s="16" t="str">
        <f aca="false">IF(C480="","",IFERROR(INDEX(LOOKAHEAD!$E$5:$E$204,MATCH(C480,LOOKAHEAD!$A$5:$A$204,0)),""))</f>
        <v/>
      </c>
      <c r="F480" s="16" t="str">
        <f aca="false">IF(C480="","",IFERROR(INDEX(LOOKAHEAD!$M$5:$M$204,MATCH(C480,LOOKAHEAD!$A$5:$A$204,0)),""))</f>
        <v/>
      </c>
      <c r="G480" s="9"/>
      <c r="H480" s="9"/>
      <c r="I480" s="16" t="str">
        <f aca="false">IF(C480="","",IFERROR(INDEX(LOOKAHEAD!$G$5:$G$204,MATCH(C480,LOOKAHEAD!$A$5:$A$204,0)),""))</f>
        <v/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36" t="str">
        <f aca="false">IF(C480="","",SUM(J480:O480))</f>
        <v/>
      </c>
      <c r="W480" s="36" t="str">
        <f aca="false">IF(C480="","",SUM(P480:U480))</f>
        <v/>
      </c>
      <c r="X480" s="19" t="str">
        <f aca="false">IF(OR(C480="",V480=0),"",W480/V480)</f>
        <v/>
      </c>
      <c r="Y480" s="16" t="str">
        <f aca="false">IF(OR(C480="",V480=0),"",IF(W480&gt;=V480,"Sí","No"))</f>
        <v/>
      </c>
      <c r="Z480" s="9"/>
      <c r="AA480" s="9"/>
    </row>
    <row r="481" customFormat="false" ht="15" hidden="false" customHeight="false" outlineLevel="0" collapsed="false">
      <c r="A481" s="9"/>
      <c r="B481" s="9"/>
      <c r="C481" s="9"/>
      <c r="D481" s="16" t="str">
        <f aca="false">IF(C481="","",IFERROR(INDEX(LOOKAHEAD!$B$5:$B$204,MATCH(C481,LOOKAHEAD!$A$5:$A$204,0)),""))</f>
        <v/>
      </c>
      <c r="E481" s="16" t="str">
        <f aca="false">IF(C481="","",IFERROR(INDEX(LOOKAHEAD!$E$5:$E$204,MATCH(C481,LOOKAHEAD!$A$5:$A$204,0)),""))</f>
        <v/>
      </c>
      <c r="F481" s="16" t="str">
        <f aca="false">IF(C481="","",IFERROR(INDEX(LOOKAHEAD!$M$5:$M$204,MATCH(C481,LOOKAHEAD!$A$5:$A$204,0)),""))</f>
        <v/>
      </c>
      <c r="G481" s="9"/>
      <c r="H481" s="9"/>
      <c r="I481" s="16" t="str">
        <f aca="false">IF(C481="","",IFERROR(INDEX(LOOKAHEAD!$G$5:$G$204,MATCH(C481,LOOKAHEAD!$A$5:$A$204,0)),""))</f>
        <v/>
      </c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36" t="str">
        <f aca="false">IF(C481="","",SUM(J481:O481))</f>
        <v/>
      </c>
      <c r="W481" s="36" t="str">
        <f aca="false">IF(C481="","",SUM(P481:U481))</f>
        <v/>
      </c>
      <c r="X481" s="19" t="str">
        <f aca="false">IF(OR(C481="",V481=0),"",W481/V481)</f>
        <v/>
      </c>
      <c r="Y481" s="16" t="str">
        <f aca="false">IF(OR(C481="",V481=0),"",IF(W481&gt;=V481,"Sí","No"))</f>
        <v/>
      </c>
      <c r="Z481" s="9"/>
      <c r="AA481" s="9"/>
    </row>
    <row r="482" customFormat="false" ht="15" hidden="false" customHeight="false" outlineLevel="0" collapsed="false">
      <c r="A482" s="9"/>
      <c r="B482" s="9"/>
      <c r="C482" s="9"/>
      <c r="D482" s="16" t="str">
        <f aca="false">IF(C482="","",IFERROR(INDEX(LOOKAHEAD!$B$5:$B$204,MATCH(C482,LOOKAHEAD!$A$5:$A$204,0)),""))</f>
        <v/>
      </c>
      <c r="E482" s="16" t="str">
        <f aca="false">IF(C482="","",IFERROR(INDEX(LOOKAHEAD!$E$5:$E$204,MATCH(C482,LOOKAHEAD!$A$5:$A$204,0)),""))</f>
        <v/>
      </c>
      <c r="F482" s="16" t="str">
        <f aca="false">IF(C482="","",IFERROR(INDEX(LOOKAHEAD!$M$5:$M$204,MATCH(C482,LOOKAHEAD!$A$5:$A$204,0)),""))</f>
        <v/>
      </c>
      <c r="G482" s="9"/>
      <c r="H482" s="9"/>
      <c r="I482" s="16" t="str">
        <f aca="false">IF(C482="","",IFERROR(INDEX(LOOKAHEAD!$G$5:$G$204,MATCH(C482,LOOKAHEAD!$A$5:$A$204,0)),""))</f>
        <v/>
      </c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36" t="str">
        <f aca="false">IF(C482="","",SUM(J482:O482))</f>
        <v/>
      </c>
      <c r="W482" s="36" t="str">
        <f aca="false">IF(C482="","",SUM(P482:U482))</f>
        <v/>
      </c>
      <c r="X482" s="19" t="str">
        <f aca="false">IF(OR(C482="",V482=0),"",W482/V482)</f>
        <v/>
      </c>
      <c r="Y482" s="16" t="str">
        <f aca="false">IF(OR(C482="",V482=0),"",IF(W482&gt;=V482,"Sí","No"))</f>
        <v/>
      </c>
      <c r="Z482" s="9"/>
      <c r="AA482" s="9"/>
    </row>
    <row r="483" customFormat="false" ht="15" hidden="false" customHeight="false" outlineLevel="0" collapsed="false">
      <c r="A483" s="9"/>
      <c r="B483" s="9"/>
      <c r="C483" s="9"/>
      <c r="D483" s="16" t="str">
        <f aca="false">IF(C483="","",IFERROR(INDEX(LOOKAHEAD!$B$5:$B$204,MATCH(C483,LOOKAHEAD!$A$5:$A$204,0)),""))</f>
        <v/>
      </c>
      <c r="E483" s="16" t="str">
        <f aca="false">IF(C483="","",IFERROR(INDEX(LOOKAHEAD!$E$5:$E$204,MATCH(C483,LOOKAHEAD!$A$5:$A$204,0)),""))</f>
        <v/>
      </c>
      <c r="F483" s="16" t="str">
        <f aca="false">IF(C483="","",IFERROR(INDEX(LOOKAHEAD!$M$5:$M$204,MATCH(C483,LOOKAHEAD!$A$5:$A$204,0)),""))</f>
        <v/>
      </c>
      <c r="G483" s="9"/>
      <c r="H483" s="9"/>
      <c r="I483" s="16" t="str">
        <f aca="false">IF(C483="","",IFERROR(INDEX(LOOKAHEAD!$G$5:$G$204,MATCH(C483,LOOKAHEAD!$A$5:$A$204,0)),""))</f>
        <v/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36" t="str">
        <f aca="false">IF(C483="","",SUM(J483:O483))</f>
        <v/>
      </c>
      <c r="W483" s="36" t="str">
        <f aca="false">IF(C483="","",SUM(P483:U483))</f>
        <v/>
      </c>
      <c r="X483" s="19" t="str">
        <f aca="false">IF(OR(C483="",V483=0),"",W483/V483)</f>
        <v/>
      </c>
      <c r="Y483" s="16" t="str">
        <f aca="false">IF(OR(C483="",V483=0),"",IF(W483&gt;=V483,"Sí","No"))</f>
        <v/>
      </c>
      <c r="Z483" s="9"/>
      <c r="AA483" s="9"/>
    </row>
    <row r="484" customFormat="false" ht="15" hidden="false" customHeight="false" outlineLevel="0" collapsed="false">
      <c r="A484" s="9"/>
      <c r="B484" s="9"/>
      <c r="C484" s="9"/>
      <c r="D484" s="16" t="str">
        <f aca="false">IF(C484="","",IFERROR(INDEX(LOOKAHEAD!$B$5:$B$204,MATCH(C484,LOOKAHEAD!$A$5:$A$204,0)),""))</f>
        <v/>
      </c>
      <c r="E484" s="16" t="str">
        <f aca="false">IF(C484="","",IFERROR(INDEX(LOOKAHEAD!$E$5:$E$204,MATCH(C484,LOOKAHEAD!$A$5:$A$204,0)),""))</f>
        <v/>
      </c>
      <c r="F484" s="16" t="str">
        <f aca="false">IF(C484="","",IFERROR(INDEX(LOOKAHEAD!$M$5:$M$204,MATCH(C484,LOOKAHEAD!$A$5:$A$204,0)),""))</f>
        <v/>
      </c>
      <c r="G484" s="9"/>
      <c r="H484" s="9"/>
      <c r="I484" s="16" t="str">
        <f aca="false">IF(C484="","",IFERROR(INDEX(LOOKAHEAD!$G$5:$G$204,MATCH(C484,LOOKAHEAD!$A$5:$A$204,0)),""))</f>
        <v/>
      </c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36" t="str">
        <f aca="false">IF(C484="","",SUM(J484:O484))</f>
        <v/>
      </c>
      <c r="W484" s="36" t="str">
        <f aca="false">IF(C484="","",SUM(P484:U484))</f>
        <v/>
      </c>
      <c r="X484" s="19" t="str">
        <f aca="false">IF(OR(C484="",V484=0),"",W484/V484)</f>
        <v/>
      </c>
      <c r="Y484" s="16" t="str">
        <f aca="false">IF(OR(C484="",V484=0),"",IF(W484&gt;=V484,"Sí","No"))</f>
        <v/>
      </c>
      <c r="Z484" s="9"/>
      <c r="AA484" s="9"/>
    </row>
    <row r="485" customFormat="false" ht="15" hidden="false" customHeight="false" outlineLevel="0" collapsed="false">
      <c r="A485" s="9"/>
      <c r="B485" s="9"/>
      <c r="C485" s="9"/>
      <c r="D485" s="16" t="str">
        <f aca="false">IF(C485="","",IFERROR(INDEX(LOOKAHEAD!$B$5:$B$204,MATCH(C485,LOOKAHEAD!$A$5:$A$204,0)),""))</f>
        <v/>
      </c>
      <c r="E485" s="16" t="str">
        <f aca="false">IF(C485="","",IFERROR(INDEX(LOOKAHEAD!$E$5:$E$204,MATCH(C485,LOOKAHEAD!$A$5:$A$204,0)),""))</f>
        <v/>
      </c>
      <c r="F485" s="16" t="str">
        <f aca="false">IF(C485="","",IFERROR(INDEX(LOOKAHEAD!$M$5:$M$204,MATCH(C485,LOOKAHEAD!$A$5:$A$204,0)),""))</f>
        <v/>
      </c>
      <c r="G485" s="9"/>
      <c r="H485" s="9"/>
      <c r="I485" s="16" t="str">
        <f aca="false">IF(C485="","",IFERROR(INDEX(LOOKAHEAD!$G$5:$G$204,MATCH(C485,LOOKAHEAD!$A$5:$A$204,0)),""))</f>
        <v/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36" t="str">
        <f aca="false">IF(C485="","",SUM(J485:O485))</f>
        <v/>
      </c>
      <c r="W485" s="36" t="str">
        <f aca="false">IF(C485="","",SUM(P485:U485))</f>
        <v/>
      </c>
      <c r="X485" s="19" t="str">
        <f aca="false">IF(OR(C485="",V485=0),"",W485/V485)</f>
        <v/>
      </c>
      <c r="Y485" s="16" t="str">
        <f aca="false">IF(OR(C485="",V485=0),"",IF(W485&gt;=V485,"Sí","No"))</f>
        <v/>
      </c>
      <c r="Z485" s="9"/>
      <c r="AA485" s="9"/>
    </row>
    <row r="486" customFormat="false" ht="15" hidden="false" customHeight="false" outlineLevel="0" collapsed="false">
      <c r="A486" s="9"/>
      <c r="B486" s="9"/>
      <c r="C486" s="9"/>
      <c r="D486" s="16" t="str">
        <f aca="false">IF(C486="","",IFERROR(INDEX(LOOKAHEAD!$B$5:$B$204,MATCH(C486,LOOKAHEAD!$A$5:$A$204,0)),""))</f>
        <v/>
      </c>
      <c r="E486" s="16" t="str">
        <f aca="false">IF(C486="","",IFERROR(INDEX(LOOKAHEAD!$E$5:$E$204,MATCH(C486,LOOKAHEAD!$A$5:$A$204,0)),""))</f>
        <v/>
      </c>
      <c r="F486" s="16" t="str">
        <f aca="false">IF(C486="","",IFERROR(INDEX(LOOKAHEAD!$M$5:$M$204,MATCH(C486,LOOKAHEAD!$A$5:$A$204,0)),""))</f>
        <v/>
      </c>
      <c r="G486" s="9"/>
      <c r="H486" s="9"/>
      <c r="I486" s="16" t="str">
        <f aca="false">IF(C486="","",IFERROR(INDEX(LOOKAHEAD!$G$5:$G$204,MATCH(C486,LOOKAHEAD!$A$5:$A$204,0)),""))</f>
        <v/>
      </c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36" t="str">
        <f aca="false">IF(C486="","",SUM(J486:O486))</f>
        <v/>
      </c>
      <c r="W486" s="36" t="str">
        <f aca="false">IF(C486="","",SUM(P486:U486))</f>
        <v/>
      </c>
      <c r="X486" s="19" t="str">
        <f aca="false">IF(OR(C486="",V486=0),"",W486/V486)</f>
        <v/>
      </c>
      <c r="Y486" s="16" t="str">
        <f aca="false">IF(OR(C486="",V486=0),"",IF(W486&gt;=V486,"Sí","No"))</f>
        <v/>
      </c>
      <c r="Z486" s="9"/>
      <c r="AA486" s="9"/>
    </row>
    <row r="487" customFormat="false" ht="15" hidden="false" customHeight="false" outlineLevel="0" collapsed="false">
      <c r="A487" s="9"/>
      <c r="B487" s="9"/>
      <c r="C487" s="9"/>
      <c r="D487" s="16" t="str">
        <f aca="false">IF(C487="","",IFERROR(INDEX(LOOKAHEAD!$B$5:$B$204,MATCH(C487,LOOKAHEAD!$A$5:$A$204,0)),""))</f>
        <v/>
      </c>
      <c r="E487" s="16" t="str">
        <f aca="false">IF(C487="","",IFERROR(INDEX(LOOKAHEAD!$E$5:$E$204,MATCH(C487,LOOKAHEAD!$A$5:$A$204,0)),""))</f>
        <v/>
      </c>
      <c r="F487" s="16" t="str">
        <f aca="false">IF(C487="","",IFERROR(INDEX(LOOKAHEAD!$M$5:$M$204,MATCH(C487,LOOKAHEAD!$A$5:$A$204,0)),""))</f>
        <v/>
      </c>
      <c r="G487" s="9"/>
      <c r="H487" s="9"/>
      <c r="I487" s="16" t="str">
        <f aca="false">IF(C487="","",IFERROR(INDEX(LOOKAHEAD!$G$5:$G$204,MATCH(C487,LOOKAHEAD!$A$5:$A$204,0)),""))</f>
        <v/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36" t="str">
        <f aca="false">IF(C487="","",SUM(J487:O487))</f>
        <v/>
      </c>
      <c r="W487" s="36" t="str">
        <f aca="false">IF(C487="","",SUM(P487:U487))</f>
        <v/>
      </c>
      <c r="X487" s="19" t="str">
        <f aca="false">IF(OR(C487="",V487=0),"",W487/V487)</f>
        <v/>
      </c>
      <c r="Y487" s="16" t="str">
        <f aca="false">IF(OR(C487="",V487=0),"",IF(W487&gt;=V487,"Sí","No"))</f>
        <v/>
      </c>
      <c r="Z487" s="9"/>
      <c r="AA487" s="9"/>
    </row>
    <row r="488" customFormat="false" ht="15" hidden="false" customHeight="false" outlineLevel="0" collapsed="false">
      <c r="A488" s="9"/>
      <c r="B488" s="9"/>
      <c r="C488" s="9"/>
      <c r="D488" s="16" t="str">
        <f aca="false">IF(C488="","",IFERROR(INDEX(LOOKAHEAD!$B$5:$B$204,MATCH(C488,LOOKAHEAD!$A$5:$A$204,0)),""))</f>
        <v/>
      </c>
      <c r="E488" s="16" t="str">
        <f aca="false">IF(C488="","",IFERROR(INDEX(LOOKAHEAD!$E$5:$E$204,MATCH(C488,LOOKAHEAD!$A$5:$A$204,0)),""))</f>
        <v/>
      </c>
      <c r="F488" s="16" t="str">
        <f aca="false">IF(C488="","",IFERROR(INDEX(LOOKAHEAD!$M$5:$M$204,MATCH(C488,LOOKAHEAD!$A$5:$A$204,0)),""))</f>
        <v/>
      </c>
      <c r="G488" s="9"/>
      <c r="H488" s="9"/>
      <c r="I488" s="16" t="str">
        <f aca="false">IF(C488="","",IFERROR(INDEX(LOOKAHEAD!$G$5:$G$204,MATCH(C488,LOOKAHEAD!$A$5:$A$204,0)),""))</f>
        <v/>
      </c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36" t="str">
        <f aca="false">IF(C488="","",SUM(J488:O488))</f>
        <v/>
      </c>
      <c r="W488" s="36" t="str">
        <f aca="false">IF(C488="","",SUM(P488:U488))</f>
        <v/>
      </c>
      <c r="X488" s="19" t="str">
        <f aca="false">IF(OR(C488="",V488=0),"",W488/V488)</f>
        <v/>
      </c>
      <c r="Y488" s="16" t="str">
        <f aca="false">IF(OR(C488="",V488=0),"",IF(W488&gt;=V488,"Sí","No"))</f>
        <v/>
      </c>
      <c r="Z488" s="9"/>
      <c r="AA488" s="9"/>
    </row>
    <row r="489" customFormat="false" ht="15" hidden="false" customHeight="false" outlineLevel="0" collapsed="false">
      <c r="A489" s="9"/>
      <c r="B489" s="9"/>
      <c r="C489" s="9"/>
      <c r="D489" s="16" t="str">
        <f aca="false">IF(C489="","",IFERROR(INDEX(LOOKAHEAD!$B$5:$B$204,MATCH(C489,LOOKAHEAD!$A$5:$A$204,0)),""))</f>
        <v/>
      </c>
      <c r="E489" s="16" t="str">
        <f aca="false">IF(C489="","",IFERROR(INDEX(LOOKAHEAD!$E$5:$E$204,MATCH(C489,LOOKAHEAD!$A$5:$A$204,0)),""))</f>
        <v/>
      </c>
      <c r="F489" s="16" t="str">
        <f aca="false">IF(C489="","",IFERROR(INDEX(LOOKAHEAD!$M$5:$M$204,MATCH(C489,LOOKAHEAD!$A$5:$A$204,0)),""))</f>
        <v/>
      </c>
      <c r="G489" s="9"/>
      <c r="H489" s="9"/>
      <c r="I489" s="16" t="str">
        <f aca="false">IF(C489="","",IFERROR(INDEX(LOOKAHEAD!$G$5:$G$204,MATCH(C489,LOOKAHEAD!$A$5:$A$204,0)),""))</f>
        <v/>
      </c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36" t="str">
        <f aca="false">IF(C489="","",SUM(J489:O489))</f>
        <v/>
      </c>
      <c r="W489" s="36" t="str">
        <f aca="false">IF(C489="","",SUM(P489:U489))</f>
        <v/>
      </c>
      <c r="X489" s="19" t="str">
        <f aca="false">IF(OR(C489="",V489=0),"",W489/V489)</f>
        <v/>
      </c>
      <c r="Y489" s="16" t="str">
        <f aca="false">IF(OR(C489="",V489=0),"",IF(W489&gt;=V489,"Sí","No"))</f>
        <v/>
      </c>
      <c r="Z489" s="9"/>
      <c r="AA489" s="9"/>
    </row>
    <row r="490" customFormat="false" ht="15" hidden="false" customHeight="false" outlineLevel="0" collapsed="false">
      <c r="A490" s="9"/>
      <c r="B490" s="9"/>
      <c r="C490" s="9"/>
      <c r="D490" s="16" t="str">
        <f aca="false">IF(C490="","",IFERROR(INDEX(LOOKAHEAD!$B$5:$B$204,MATCH(C490,LOOKAHEAD!$A$5:$A$204,0)),""))</f>
        <v/>
      </c>
      <c r="E490" s="16" t="str">
        <f aca="false">IF(C490="","",IFERROR(INDEX(LOOKAHEAD!$E$5:$E$204,MATCH(C490,LOOKAHEAD!$A$5:$A$204,0)),""))</f>
        <v/>
      </c>
      <c r="F490" s="16" t="str">
        <f aca="false">IF(C490="","",IFERROR(INDEX(LOOKAHEAD!$M$5:$M$204,MATCH(C490,LOOKAHEAD!$A$5:$A$204,0)),""))</f>
        <v/>
      </c>
      <c r="G490" s="9"/>
      <c r="H490" s="9"/>
      <c r="I490" s="16" t="str">
        <f aca="false">IF(C490="","",IFERROR(INDEX(LOOKAHEAD!$G$5:$G$204,MATCH(C490,LOOKAHEAD!$A$5:$A$204,0)),""))</f>
        <v/>
      </c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36" t="str">
        <f aca="false">IF(C490="","",SUM(J490:O490))</f>
        <v/>
      </c>
      <c r="W490" s="36" t="str">
        <f aca="false">IF(C490="","",SUM(P490:U490))</f>
        <v/>
      </c>
      <c r="X490" s="19" t="str">
        <f aca="false">IF(OR(C490="",V490=0),"",W490/V490)</f>
        <v/>
      </c>
      <c r="Y490" s="16" t="str">
        <f aca="false">IF(OR(C490="",V490=0),"",IF(W490&gt;=V490,"Sí","No"))</f>
        <v/>
      </c>
      <c r="Z490" s="9"/>
      <c r="AA490" s="9"/>
    </row>
    <row r="491" customFormat="false" ht="15" hidden="false" customHeight="false" outlineLevel="0" collapsed="false">
      <c r="A491" s="9"/>
      <c r="B491" s="9"/>
      <c r="C491" s="9"/>
      <c r="D491" s="16" t="str">
        <f aca="false">IF(C491="","",IFERROR(INDEX(LOOKAHEAD!$B$5:$B$204,MATCH(C491,LOOKAHEAD!$A$5:$A$204,0)),""))</f>
        <v/>
      </c>
      <c r="E491" s="16" t="str">
        <f aca="false">IF(C491="","",IFERROR(INDEX(LOOKAHEAD!$E$5:$E$204,MATCH(C491,LOOKAHEAD!$A$5:$A$204,0)),""))</f>
        <v/>
      </c>
      <c r="F491" s="16" t="str">
        <f aca="false">IF(C491="","",IFERROR(INDEX(LOOKAHEAD!$M$5:$M$204,MATCH(C491,LOOKAHEAD!$A$5:$A$204,0)),""))</f>
        <v/>
      </c>
      <c r="G491" s="9"/>
      <c r="H491" s="9"/>
      <c r="I491" s="16" t="str">
        <f aca="false">IF(C491="","",IFERROR(INDEX(LOOKAHEAD!$G$5:$G$204,MATCH(C491,LOOKAHEAD!$A$5:$A$204,0)),""))</f>
        <v/>
      </c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36" t="str">
        <f aca="false">IF(C491="","",SUM(J491:O491))</f>
        <v/>
      </c>
      <c r="W491" s="36" t="str">
        <f aca="false">IF(C491="","",SUM(P491:U491))</f>
        <v/>
      </c>
      <c r="X491" s="19" t="str">
        <f aca="false">IF(OR(C491="",V491=0),"",W491/V491)</f>
        <v/>
      </c>
      <c r="Y491" s="16" t="str">
        <f aca="false">IF(OR(C491="",V491=0),"",IF(W491&gt;=V491,"Sí","No"))</f>
        <v/>
      </c>
      <c r="Z491" s="9"/>
      <c r="AA491" s="9"/>
    </row>
    <row r="492" customFormat="false" ht="15" hidden="false" customHeight="false" outlineLevel="0" collapsed="false">
      <c r="A492" s="9"/>
      <c r="B492" s="9"/>
      <c r="C492" s="9"/>
      <c r="D492" s="16" t="str">
        <f aca="false">IF(C492="","",IFERROR(INDEX(LOOKAHEAD!$B$5:$B$204,MATCH(C492,LOOKAHEAD!$A$5:$A$204,0)),""))</f>
        <v/>
      </c>
      <c r="E492" s="16" t="str">
        <f aca="false">IF(C492="","",IFERROR(INDEX(LOOKAHEAD!$E$5:$E$204,MATCH(C492,LOOKAHEAD!$A$5:$A$204,0)),""))</f>
        <v/>
      </c>
      <c r="F492" s="16" t="str">
        <f aca="false">IF(C492="","",IFERROR(INDEX(LOOKAHEAD!$M$5:$M$204,MATCH(C492,LOOKAHEAD!$A$5:$A$204,0)),""))</f>
        <v/>
      </c>
      <c r="G492" s="9"/>
      <c r="H492" s="9"/>
      <c r="I492" s="16" t="str">
        <f aca="false">IF(C492="","",IFERROR(INDEX(LOOKAHEAD!$G$5:$G$204,MATCH(C492,LOOKAHEAD!$A$5:$A$204,0)),""))</f>
        <v/>
      </c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36" t="str">
        <f aca="false">IF(C492="","",SUM(J492:O492))</f>
        <v/>
      </c>
      <c r="W492" s="36" t="str">
        <f aca="false">IF(C492="","",SUM(P492:U492))</f>
        <v/>
      </c>
      <c r="X492" s="19" t="str">
        <f aca="false">IF(OR(C492="",V492=0),"",W492/V492)</f>
        <v/>
      </c>
      <c r="Y492" s="16" t="str">
        <f aca="false">IF(OR(C492="",V492=0),"",IF(W492&gt;=V492,"Sí","No"))</f>
        <v/>
      </c>
      <c r="Z492" s="9"/>
      <c r="AA492" s="9"/>
    </row>
    <row r="493" customFormat="false" ht="15" hidden="false" customHeight="false" outlineLevel="0" collapsed="false">
      <c r="A493" s="9"/>
      <c r="B493" s="9"/>
      <c r="C493" s="9"/>
      <c r="D493" s="16" t="str">
        <f aca="false">IF(C493="","",IFERROR(INDEX(LOOKAHEAD!$B$5:$B$204,MATCH(C493,LOOKAHEAD!$A$5:$A$204,0)),""))</f>
        <v/>
      </c>
      <c r="E493" s="16" t="str">
        <f aca="false">IF(C493="","",IFERROR(INDEX(LOOKAHEAD!$E$5:$E$204,MATCH(C493,LOOKAHEAD!$A$5:$A$204,0)),""))</f>
        <v/>
      </c>
      <c r="F493" s="16" t="str">
        <f aca="false">IF(C493="","",IFERROR(INDEX(LOOKAHEAD!$M$5:$M$204,MATCH(C493,LOOKAHEAD!$A$5:$A$204,0)),""))</f>
        <v/>
      </c>
      <c r="G493" s="9"/>
      <c r="H493" s="9"/>
      <c r="I493" s="16" t="str">
        <f aca="false">IF(C493="","",IFERROR(INDEX(LOOKAHEAD!$G$5:$G$204,MATCH(C493,LOOKAHEAD!$A$5:$A$204,0)),""))</f>
        <v/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36" t="str">
        <f aca="false">IF(C493="","",SUM(J493:O493))</f>
        <v/>
      </c>
      <c r="W493" s="36" t="str">
        <f aca="false">IF(C493="","",SUM(P493:U493))</f>
        <v/>
      </c>
      <c r="X493" s="19" t="str">
        <f aca="false">IF(OR(C493="",V493=0),"",W493/V493)</f>
        <v/>
      </c>
      <c r="Y493" s="16" t="str">
        <f aca="false">IF(OR(C493="",V493=0),"",IF(W493&gt;=V493,"Sí","No"))</f>
        <v/>
      </c>
      <c r="Z493" s="9"/>
      <c r="AA493" s="9"/>
    </row>
    <row r="494" customFormat="false" ht="15" hidden="false" customHeight="false" outlineLevel="0" collapsed="false">
      <c r="A494" s="9"/>
      <c r="B494" s="9"/>
      <c r="C494" s="9"/>
      <c r="D494" s="16" t="str">
        <f aca="false">IF(C494="","",IFERROR(INDEX(LOOKAHEAD!$B$5:$B$204,MATCH(C494,LOOKAHEAD!$A$5:$A$204,0)),""))</f>
        <v/>
      </c>
      <c r="E494" s="16" t="str">
        <f aca="false">IF(C494="","",IFERROR(INDEX(LOOKAHEAD!$E$5:$E$204,MATCH(C494,LOOKAHEAD!$A$5:$A$204,0)),""))</f>
        <v/>
      </c>
      <c r="F494" s="16" t="str">
        <f aca="false">IF(C494="","",IFERROR(INDEX(LOOKAHEAD!$M$5:$M$204,MATCH(C494,LOOKAHEAD!$A$5:$A$204,0)),""))</f>
        <v/>
      </c>
      <c r="G494" s="9"/>
      <c r="H494" s="9"/>
      <c r="I494" s="16" t="str">
        <f aca="false">IF(C494="","",IFERROR(INDEX(LOOKAHEAD!$G$5:$G$204,MATCH(C494,LOOKAHEAD!$A$5:$A$204,0)),""))</f>
        <v/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36" t="str">
        <f aca="false">IF(C494="","",SUM(J494:O494))</f>
        <v/>
      </c>
      <c r="W494" s="36" t="str">
        <f aca="false">IF(C494="","",SUM(P494:U494))</f>
        <v/>
      </c>
      <c r="X494" s="19" t="str">
        <f aca="false">IF(OR(C494="",V494=0),"",W494/V494)</f>
        <v/>
      </c>
      <c r="Y494" s="16" t="str">
        <f aca="false">IF(OR(C494="",V494=0),"",IF(W494&gt;=V494,"Sí","No"))</f>
        <v/>
      </c>
      <c r="Z494" s="9"/>
      <c r="AA494" s="9"/>
    </row>
    <row r="495" customFormat="false" ht="15" hidden="false" customHeight="false" outlineLevel="0" collapsed="false">
      <c r="A495" s="9"/>
      <c r="B495" s="9"/>
      <c r="C495" s="9"/>
      <c r="D495" s="16" t="str">
        <f aca="false">IF(C495="","",IFERROR(INDEX(LOOKAHEAD!$B$5:$B$204,MATCH(C495,LOOKAHEAD!$A$5:$A$204,0)),""))</f>
        <v/>
      </c>
      <c r="E495" s="16" t="str">
        <f aca="false">IF(C495="","",IFERROR(INDEX(LOOKAHEAD!$E$5:$E$204,MATCH(C495,LOOKAHEAD!$A$5:$A$204,0)),""))</f>
        <v/>
      </c>
      <c r="F495" s="16" t="str">
        <f aca="false">IF(C495="","",IFERROR(INDEX(LOOKAHEAD!$M$5:$M$204,MATCH(C495,LOOKAHEAD!$A$5:$A$204,0)),""))</f>
        <v/>
      </c>
      <c r="G495" s="9"/>
      <c r="H495" s="9"/>
      <c r="I495" s="16" t="str">
        <f aca="false">IF(C495="","",IFERROR(INDEX(LOOKAHEAD!$G$5:$G$204,MATCH(C495,LOOKAHEAD!$A$5:$A$204,0)),""))</f>
        <v/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36" t="str">
        <f aca="false">IF(C495="","",SUM(J495:O495))</f>
        <v/>
      </c>
      <c r="W495" s="36" t="str">
        <f aca="false">IF(C495="","",SUM(P495:U495))</f>
        <v/>
      </c>
      <c r="X495" s="19" t="str">
        <f aca="false">IF(OR(C495="",V495=0),"",W495/V495)</f>
        <v/>
      </c>
      <c r="Y495" s="16" t="str">
        <f aca="false">IF(OR(C495="",V495=0),"",IF(W495&gt;=V495,"Sí","No"))</f>
        <v/>
      </c>
      <c r="Z495" s="9"/>
      <c r="AA495" s="9"/>
    </row>
    <row r="496" customFormat="false" ht="15" hidden="false" customHeight="false" outlineLevel="0" collapsed="false">
      <c r="A496" s="9"/>
      <c r="B496" s="9"/>
      <c r="C496" s="9"/>
      <c r="D496" s="16" t="str">
        <f aca="false">IF(C496="","",IFERROR(INDEX(LOOKAHEAD!$B$5:$B$204,MATCH(C496,LOOKAHEAD!$A$5:$A$204,0)),""))</f>
        <v/>
      </c>
      <c r="E496" s="16" t="str">
        <f aca="false">IF(C496="","",IFERROR(INDEX(LOOKAHEAD!$E$5:$E$204,MATCH(C496,LOOKAHEAD!$A$5:$A$204,0)),""))</f>
        <v/>
      </c>
      <c r="F496" s="16" t="str">
        <f aca="false">IF(C496="","",IFERROR(INDEX(LOOKAHEAD!$M$5:$M$204,MATCH(C496,LOOKAHEAD!$A$5:$A$204,0)),""))</f>
        <v/>
      </c>
      <c r="G496" s="9"/>
      <c r="H496" s="9"/>
      <c r="I496" s="16" t="str">
        <f aca="false">IF(C496="","",IFERROR(INDEX(LOOKAHEAD!$G$5:$G$204,MATCH(C496,LOOKAHEAD!$A$5:$A$204,0)),""))</f>
        <v/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36" t="str">
        <f aca="false">IF(C496="","",SUM(J496:O496))</f>
        <v/>
      </c>
      <c r="W496" s="36" t="str">
        <f aca="false">IF(C496="","",SUM(P496:U496))</f>
        <v/>
      </c>
      <c r="X496" s="19" t="str">
        <f aca="false">IF(OR(C496="",V496=0),"",W496/V496)</f>
        <v/>
      </c>
      <c r="Y496" s="16" t="str">
        <f aca="false">IF(OR(C496="",V496=0),"",IF(W496&gt;=V496,"Sí","No"))</f>
        <v/>
      </c>
      <c r="Z496" s="9"/>
      <c r="AA496" s="9"/>
    </row>
    <row r="497" customFormat="false" ht="15" hidden="false" customHeight="false" outlineLevel="0" collapsed="false">
      <c r="A497" s="9"/>
      <c r="B497" s="9"/>
      <c r="C497" s="9"/>
      <c r="D497" s="16" t="str">
        <f aca="false">IF(C497="","",IFERROR(INDEX(LOOKAHEAD!$B$5:$B$204,MATCH(C497,LOOKAHEAD!$A$5:$A$204,0)),""))</f>
        <v/>
      </c>
      <c r="E497" s="16" t="str">
        <f aca="false">IF(C497="","",IFERROR(INDEX(LOOKAHEAD!$E$5:$E$204,MATCH(C497,LOOKAHEAD!$A$5:$A$204,0)),""))</f>
        <v/>
      </c>
      <c r="F497" s="16" t="str">
        <f aca="false">IF(C497="","",IFERROR(INDEX(LOOKAHEAD!$M$5:$M$204,MATCH(C497,LOOKAHEAD!$A$5:$A$204,0)),""))</f>
        <v/>
      </c>
      <c r="G497" s="9"/>
      <c r="H497" s="9"/>
      <c r="I497" s="16" t="str">
        <f aca="false">IF(C497="","",IFERROR(INDEX(LOOKAHEAD!$G$5:$G$204,MATCH(C497,LOOKAHEAD!$A$5:$A$204,0)),""))</f>
        <v/>
      </c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36" t="str">
        <f aca="false">IF(C497="","",SUM(J497:O497))</f>
        <v/>
      </c>
      <c r="W497" s="36" t="str">
        <f aca="false">IF(C497="","",SUM(P497:U497))</f>
        <v/>
      </c>
      <c r="X497" s="19" t="str">
        <f aca="false">IF(OR(C497="",V497=0),"",W497/V497)</f>
        <v/>
      </c>
      <c r="Y497" s="16" t="str">
        <f aca="false">IF(OR(C497="",V497=0),"",IF(W497&gt;=V497,"Sí","No"))</f>
        <v/>
      </c>
      <c r="Z497" s="9"/>
      <c r="AA497" s="9"/>
    </row>
    <row r="498" customFormat="false" ht="15" hidden="false" customHeight="false" outlineLevel="0" collapsed="false">
      <c r="A498" s="9"/>
      <c r="B498" s="9"/>
      <c r="C498" s="9"/>
      <c r="D498" s="16" t="str">
        <f aca="false">IF(C498="","",IFERROR(INDEX(LOOKAHEAD!$B$5:$B$204,MATCH(C498,LOOKAHEAD!$A$5:$A$204,0)),""))</f>
        <v/>
      </c>
      <c r="E498" s="16" t="str">
        <f aca="false">IF(C498="","",IFERROR(INDEX(LOOKAHEAD!$E$5:$E$204,MATCH(C498,LOOKAHEAD!$A$5:$A$204,0)),""))</f>
        <v/>
      </c>
      <c r="F498" s="16" t="str">
        <f aca="false">IF(C498="","",IFERROR(INDEX(LOOKAHEAD!$M$5:$M$204,MATCH(C498,LOOKAHEAD!$A$5:$A$204,0)),""))</f>
        <v/>
      </c>
      <c r="G498" s="9"/>
      <c r="H498" s="9"/>
      <c r="I498" s="16" t="str">
        <f aca="false">IF(C498="","",IFERROR(INDEX(LOOKAHEAD!$G$5:$G$204,MATCH(C498,LOOKAHEAD!$A$5:$A$204,0)),""))</f>
        <v/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36" t="str">
        <f aca="false">IF(C498="","",SUM(J498:O498))</f>
        <v/>
      </c>
      <c r="W498" s="36" t="str">
        <f aca="false">IF(C498="","",SUM(P498:U498))</f>
        <v/>
      </c>
      <c r="X498" s="19" t="str">
        <f aca="false">IF(OR(C498="",V498=0),"",W498/V498)</f>
        <v/>
      </c>
      <c r="Y498" s="16" t="str">
        <f aca="false">IF(OR(C498="",V498=0),"",IF(W498&gt;=V498,"Sí","No"))</f>
        <v/>
      </c>
      <c r="Z498" s="9"/>
      <c r="AA498" s="9"/>
    </row>
    <row r="499" customFormat="false" ht="15" hidden="false" customHeight="false" outlineLevel="0" collapsed="false">
      <c r="A499" s="9"/>
      <c r="B499" s="9"/>
      <c r="C499" s="9"/>
      <c r="D499" s="16" t="str">
        <f aca="false">IF(C499="","",IFERROR(INDEX(LOOKAHEAD!$B$5:$B$204,MATCH(C499,LOOKAHEAD!$A$5:$A$204,0)),""))</f>
        <v/>
      </c>
      <c r="E499" s="16" t="str">
        <f aca="false">IF(C499="","",IFERROR(INDEX(LOOKAHEAD!$E$5:$E$204,MATCH(C499,LOOKAHEAD!$A$5:$A$204,0)),""))</f>
        <v/>
      </c>
      <c r="F499" s="16" t="str">
        <f aca="false">IF(C499="","",IFERROR(INDEX(LOOKAHEAD!$M$5:$M$204,MATCH(C499,LOOKAHEAD!$A$5:$A$204,0)),""))</f>
        <v/>
      </c>
      <c r="G499" s="9"/>
      <c r="H499" s="9"/>
      <c r="I499" s="16" t="str">
        <f aca="false">IF(C499="","",IFERROR(INDEX(LOOKAHEAD!$G$5:$G$204,MATCH(C499,LOOKAHEAD!$A$5:$A$204,0)),""))</f>
        <v/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36" t="str">
        <f aca="false">IF(C499="","",SUM(J499:O499))</f>
        <v/>
      </c>
      <c r="W499" s="36" t="str">
        <f aca="false">IF(C499="","",SUM(P499:U499))</f>
        <v/>
      </c>
      <c r="X499" s="19" t="str">
        <f aca="false">IF(OR(C499="",V499=0),"",W499/V499)</f>
        <v/>
      </c>
      <c r="Y499" s="16" t="str">
        <f aca="false">IF(OR(C499="",V499=0),"",IF(W499&gt;=V499,"Sí","No"))</f>
        <v/>
      </c>
      <c r="Z499" s="9"/>
      <c r="AA499" s="9"/>
    </row>
    <row r="500" customFormat="false" ht="15" hidden="false" customHeight="false" outlineLevel="0" collapsed="false">
      <c r="A500" s="9"/>
      <c r="B500" s="9"/>
      <c r="C500" s="9"/>
      <c r="D500" s="16" t="str">
        <f aca="false">IF(C500="","",IFERROR(INDEX(LOOKAHEAD!$B$5:$B$204,MATCH(C500,LOOKAHEAD!$A$5:$A$204,0)),""))</f>
        <v/>
      </c>
      <c r="E500" s="16" t="str">
        <f aca="false">IF(C500="","",IFERROR(INDEX(LOOKAHEAD!$E$5:$E$204,MATCH(C500,LOOKAHEAD!$A$5:$A$204,0)),""))</f>
        <v/>
      </c>
      <c r="F500" s="16" t="str">
        <f aca="false">IF(C500="","",IFERROR(INDEX(LOOKAHEAD!$M$5:$M$204,MATCH(C500,LOOKAHEAD!$A$5:$A$204,0)),""))</f>
        <v/>
      </c>
      <c r="G500" s="9"/>
      <c r="H500" s="9"/>
      <c r="I500" s="16" t="str">
        <f aca="false">IF(C500="","",IFERROR(INDEX(LOOKAHEAD!$G$5:$G$204,MATCH(C500,LOOKAHEAD!$A$5:$A$204,0)),""))</f>
        <v/>
      </c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36" t="str">
        <f aca="false">IF(C500="","",SUM(J500:O500))</f>
        <v/>
      </c>
      <c r="W500" s="36" t="str">
        <f aca="false">IF(C500="","",SUM(P500:U500))</f>
        <v/>
      </c>
      <c r="X500" s="19" t="str">
        <f aca="false">IF(OR(C500="",V500=0),"",W500/V500)</f>
        <v/>
      </c>
      <c r="Y500" s="16" t="str">
        <f aca="false">IF(OR(C500="",V500=0),"",IF(W500&gt;=V500,"Sí","No"))</f>
        <v/>
      </c>
      <c r="Z500" s="9"/>
      <c r="AA500" s="9"/>
    </row>
    <row r="501" customFormat="false" ht="15" hidden="false" customHeight="false" outlineLevel="0" collapsed="false">
      <c r="A501" s="9"/>
      <c r="B501" s="9"/>
      <c r="C501" s="9"/>
      <c r="D501" s="16" t="str">
        <f aca="false">IF(C501="","",IFERROR(INDEX(LOOKAHEAD!$B$5:$B$204,MATCH(C501,LOOKAHEAD!$A$5:$A$204,0)),""))</f>
        <v/>
      </c>
      <c r="E501" s="16" t="str">
        <f aca="false">IF(C501="","",IFERROR(INDEX(LOOKAHEAD!$E$5:$E$204,MATCH(C501,LOOKAHEAD!$A$5:$A$204,0)),""))</f>
        <v/>
      </c>
      <c r="F501" s="16" t="str">
        <f aca="false">IF(C501="","",IFERROR(INDEX(LOOKAHEAD!$M$5:$M$204,MATCH(C501,LOOKAHEAD!$A$5:$A$204,0)),""))</f>
        <v/>
      </c>
      <c r="G501" s="9"/>
      <c r="H501" s="9"/>
      <c r="I501" s="16" t="str">
        <f aca="false">IF(C501="","",IFERROR(INDEX(LOOKAHEAD!$G$5:$G$204,MATCH(C501,LOOKAHEAD!$A$5:$A$204,0)),""))</f>
        <v/>
      </c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36" t="str">
        <f aca="false">IF(C501="","",SUM(J501:O501))</f>
        <v/>
      </c>
      <c r="W501" s="36" t="str">
        <f aca="false">IF(C501="","",SUM(P501:U501))</f>
        <v/>
      </c>
      <c r="X501" s="19" t="str">
        <f aca="false">IF(OR(C501="",V501=0),"",W501/V501)</f>
        <v/>
      </c>
      <c r="Y501" s="16" t="str">
        <f aca="false">IF(OR(C501="",V501=0),"",IF(W501&gt;=V501,"Sí","No"))</f>
        <v/>
      </c>
      <c r="Z501" s="9"/>
      <c r="AA501" s="9"/>
    </row>
    <row r="502" customFormat="false" ht="15" hidden="false" customHeight="false" outlineLevel="0" collapsed="false">
      <c r="A502" s="9"/>
      <c r="B502" s="9"/>
      <c r="C502" s="9"/>
      <c r="D502" s="16" t="str">
        <f aca="false">IF(C502="","",IFERROR(INDEX(LOOKAHEAD!$B$5:$B$204,MATCH(C502,LOOKAHEAD!$A$5:$A$204,0)),""))</f>
        <v/>
      </c>
      <c r="E502" s="16" t="str">
        <f aca="false">IF(C502="","",IFERROR(INDEX(LOOKAHEAD!$E$5:$E$204,MATCH(C502,LOOKAHEAD!$A$5:$A$204,0)),""))</f>
        <v/>
      </c>
      <c r="F502" s="16" t="str">
        <f aca="false">IF(C502="","",IFERROR(INDEX(LOOKAHEAD!$M$5:$M$204,MATCH(C502,LOOKAHEAD!$A$5:$A$204,0)),""))</f>
        <v/>
      </c>
      <c r="G502" s="9"/>
      <c r="H502" s="9"/>
      <c r="I502" s="16" t="str">
        <f aca="false">IF(C502="","",IFERROR(INDEX(LOOKAHEAD!$G$5:$G$204,MATCH(C502,LOOKAHEAD!$A$5:$A$204,0)),""))</f>
        <v/>
      </c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36" t="str">
        <f aca="false">IF(C502="","",SUM(J502:O502))</f>
        <v/>
      </c>
      <c r="W502" s="36" t="str">
        <f aca="false">IF(C502="","",SUM(P502:U502))</f>
        <v/>
      </c>
      <c r="X502" s="19" t="str">
        <f aca="false">IF(OR(C502="",V502=0),"",W502/V502)</f>
        <v/>
      </c>
      <c r="Y502" s="16" t="str">
        <f aca="false">IF(OR(C502="",V502=0),"",IF(W502&gt;=V502,"Sí","No"))</f>
        <v/>
      </c>
      <c r="Z502" s="9"/>
      <c r="AA502" s="9"/>
    </row>
    <row r="503" customFormat="false" ht="15" hidden="false" customHeight="false" outlineLevel="0" collapsed="false">
      <c r="A503" s="9"/>
      <c r="B503" s="9"/>
      <c r="C503" s="9"/>
      <c r="D503" s="16" t="str">
        <f aca="false">IF(C503="","",IFERROR(INDEX(LOOKAHEAD!$B$5:$B$204,MATCH(C503,LOOKAHEAD!$A$5:$A$204,0)),""))</f>
        <v/>
      </c>
      <c r="E503" s="16" t="str">
        <f aca="false">IF(C503="","",IFERROR(INDEX(LOOKAHEAD!$E$5:$E$204,MATCH(C503,LOOKAHEAD!$A$5:$A$204,0)),""))</f>
        <v/>
      </c>
      <c r="F503" s="16" t="str">
        <f aca="false">IF(C503="","",IFERROR(INDEX(LOOKAHEAD!$M$5:$M$204,MATCH(C503,LOOKAHEAD!$A$5:$A$204,0)),""))</f>
        <v/>
      </c>
      <c r="G503" s="9"/>
      <c r="H503" s="9"/>
      <c r="I503" s="16" t="str">
        <f aca="false">IF(C503="","",IFERROR(INDEX(LOOKAHEAD!$G$5:$G$204,MATCH(C503,LOOKAHEAD!$A$5:$A$204,0)),""))</f>
        <v/>
      </c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36" t="str">
        <f aca="false">IF(C503="","",SUM(J503:O503))</f>
        <v/>
      </c>
      <c r="W503" s="36" t="str">
        <f aca="false">IF(C503="","",SUM(P503:U503))</f>
        <v/>
      </c>
      <c r="X503" s="19" t="str">
        <f aca="false">IF(OR(C503="",V503=0),"",W503/V503)</f>
        <v/>
      </c>
      <c r="Y503" s="16" t="str">
        <f aca="false">IF(OR(C503="",V503=0),"",IF(W503&gt;=V503,"Sí","No"))</f>
        <v/>
      </c>
      <c r="Z503" s="9"/>
      <c r="AA503" s="9"/>
    </row>
    <row r="504" customFormat="false" ht="15" hidden="false" customHeight="false" outlineLevel="0" collapsed="false">
      <c r="A504" s="9"/>
      <c r="B504" s="9"/>
      <c r="C504" s="9"/>
      <c r="D504" s="16" t="str">
        <f aca="false">IF(C504="","",IFERROR(INDEX(LOOKAHEAD!$B$5:$B$204,MATCH(C504,LOOKAHEAD!$A$5:$A$204,0)),""))</f>
        <v/>
      </c>
      <c r="E504" s="16" t="str">
        <f aca="false">IF(C504="","",IFERROR(INDEX(LOOKAHEAD!$E$5:$E$204,MATCH(C504,LOOKAHEAD!$A$5:$A$204,0)),""))</f>
        <v/>
      </c>
      <c r="F504" s="16" t="str">
        <f aca="false">IF(C504="","",IFERROR(INDEX(LOOKAHEAD!$M$5:$M$204,MATCH(C504,LOOKAHEAD!$A$5:$A$204,0)),""))</f>
        <v/>
      </c>
      <c r="G504" s="9"/>
      <c r="H504" s="9"/>
      <c r="I504" s="16" t="str">
        <f aca="false">IF(C504="","",IFERROR(INDEX(LOOKAHEAD!$G$5:$G$204,MATCH(C504,LOOKAHEAD!$A$5:$A$204,0)),""))</f>
        <v/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36" t="str">
        <f aca="false">IF(C504="","",SUM(J504:O504))</f>
        <v/>
      </c>
      <c r="W504" s="36" t="str">
        <f aca="false">IF(C504="","",SUM(P504:U504))</f>
        <v/>
      </c>
      <c r="X504" s="19" t="str">
        <f aca="false">IF(OR(C504="",V504=0),"",W504/V504)</f>
        <v/>
      </c>
      <c r="Y504" s="16" t="str">
        <f aca="false">IF(OR(C504="",V504=0),"",IF(W504&gt;=V504,"Sí","No"))</f>
        <v/>
      </c>
      <c r="Z504" s="9"/>
      <c r="AA504" s="9"/>
    </row>
    <row r="505" customFormat="false" ht="15" hidden="false" customHeight="false" outlineLevel="0" collapsed="false">
      <c r="A505" s="9"/>
      <c r="B505" s="9"/>
      <c r="C505" s="9"/>
      <c r="D505" s="16" t="str">
        <f aca="false">IF(C505="","",IFERROR(INDEX(LOOKAHEAD!$B$5:$B$204,MATCH(C505,LOOKAHEAD!$A$5:$A$204,0)),""))</f>
        <v/>
      </c>
      <c r="E505" s="16" t="str">
        <f aca="false">IF(C505="","",IFERROR(INDEX(LOOKAHEAD!$E$5:$E$204,MATCH(C505,LOOKAHEAD!$A$5:$A$204,0)),""))</f>
        <v/>
      </c>
      <c r="F505" s="16" t="str">
        <f aca="false">IF(C505="","",IFERROR(INDEX(LOOKAHEAD!$M$5:$M$204,MATCH(C505,LOOKAHEAD!$A$5:$A$204,0)),""))</f>
        <v/>
      </c>
      <c r="G505" s="9"/>
      <c r="H505" s="9"/>
      <c r="I505" s="16" t="str">
        <f aca="false">IF(C505="","",IFERROR(INDEX(LOOKAHEAD!$G$5:$G$204,MATCH(C505,LOOKAHEAD!$A$5:$A$204,0)),""))</f>
        <v/>
      </c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36" t="str">
        <f aca="false">IF(C505="","",SUM(J505:O505))</f>
        <v/>
      </c>
      <c r="W505" s="36" t="str">
        <f aca="false">IF(C505="","",SUM(P505:U505))</f>
        <v/>
      </c>
      <c r="X505" s="19" t="str">
        <f aca="false">IF(OR(C505="",V505=0),"",W505/V505)</f>
        <v/>
      </c>
      <c r="Y505" s="16" t="str">
        <f aca="false">IF(OR(C505="",V505=0),"",IF(W505&gt;=V505,"Sí","No"))</f>
        <v/>
      </c>
      <c r="Z505" s="9"/>
      <c r="AA505" s="9"/>
    </row>
    <row r="506" customFormat="false" ht="15" hidden="false" customHeight="false" outlineLevel="0" collapsed="false">
      <c r="A506" s="9"/>
      <c r="B506" s="9"/>
      <c r="C506" s="9"/>
      <c r="D506" s="16" t="str">
        <f aca="false">IF(C506="","",IFERROR(INDEX(LOOKAHEAD!$B$5:$B$204,MATCH(C506,LOOKAHEAD!$A$5:$A$204,0)),""))</f>
        <v/>
      </c>
      <c r="E506" s="16" t="str">
        <f aca="false">IF(C506="","",IFERROR(INDEX(LOOKAHEAD!$E$5:$E$204,MATCH(C506,LOOKAHEAD!$A$5:$A$204,0)),""))</f>
        <v/>
      </c>
      <c r="F506" s="16" t="str">
        <f aca="false">IF(C506="","",IFERROR(INDEX(LOOKAHEAD!$M$5:$M$204,MATCH(C506,LOOKAHEAD!$A$5:$A$204,0)),""))</f>
        <v/>
      </c>
      <c r="G506" s="9"/>
      <c r="H506" s="9"/>
      <c r="I506" s="16" t="str">
        <f aca="false">IF(C506="","",IFERROR(INDEX(LOOKAHEAD!$G$5:$G$204,MATCH(C506,LOOKAHEAD!$A$5:$A$204,0)),""))</f>
        <v/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36" t="str">
        <f aca="false">IF(C506="","",SUM(J506:O506))</f>
        <v/>
      </c>
      <c r="W506" s="36" t="str">
        <f aca="false">IF(C506="","",SUM(P506:U506))</f>
        <v/>
      </c>
      <c r="X506" s="19" t="str">
        <f aca="false">IF(OR(C506="",V506=0),"",W506/V506)</f>
        <v/>
      </c>
      <c r="Y506" s="16" t="str">
        <f aca="false">IF(OR(C506="",V506=0),"",IF(W506&gt;=V506,"Sí","No"))</f>
        <v/>
      </c>
      <c r="Z506" s="9"/>
      <c r="AA506" s="9"/>
    </row>
  </sheetData>
  <autoFilter ref="A6:AA506"/>
  <mergeCells count="2">
    <mergeCell ref="J5:O5"/>
    <mergeCell ref="P5:U5"/>
  </mergeCells>
  <conditionalFormatting sqref="J2">
    <cfRule type="cellIs" priority="2" operator="greaterThanOrEqual" aboveAverage="0" equalAverage="0" bottom="0" percent="0" rank="0" text="" dxfId="0">
      <formula>0.85</formula>
    </cfRule>
    <cfRule type="cellIs" priority="3" operator="between" aboveAverage="0" equalAverage="0" bottom="0" percent="0" rank="0" text="" dxfId="1">
      <formula>0.7</formula>
      <formula>0.8499</formula>
    </cfRule>
    <cfRule type="cellIs" priority="4" operator="lessThan" aboveAverage="0" equalAverage="0" bottom="0" percent="0" rank="0" text="" dxfId="2">
      <formula>0.7</formula>
    </cfRule>
  </conditionalFormatting>
  <conditionalFormatting sqref="N2">
    <cfRule type="cellIs" priority="5" operator="greaterThanOrEqual" aboveAverage="0" equalAverage="0" bottom="0" percent="0" rank="0" text="" dxfId="0">
      <formula>0.85</formula>
    </cfRule>
    <cfRule type="cellIs" priority="6" operator="between" aboveAverage="0" equalAverage="0" bottom="0" percent="0" rank="0" text="" dxfId="1">
      <formula>0.7</formula>
      <formula>0.8499</formula>
    </cfRule>
    <cfRule type="cellIs" priority="7" operator="lessThan" aboveAverage="0" equalAverage="0" bottom="0" percent="0" rank="0" text="" dxfId="2">
      <formula>0.7</formula>
    </cfRule>
  </conditionalFormatting>
  <conditionalFormatting sqref="Y7:Y506">
    <cfRule type="cellIs" priority="8" operator="equal" aboveAverage="0" equalAverage="0" bottom="0" percent="0" rank="0" text="" dxfId="0">
      <formula>"Sí"</formula>
    </cfRule>
    <cfRule type="cellIs" priority="9" operator="equal" aboveAverage="0" equalAverage="0" bottom="0" percent="0" rank="0" text="" dxfId="2">
      <formula>"No"</formula>
    </cfRule>
  </conditionalFormatting>
  <conditionalFormatting sqref="Z7:Z506">
    <cfRule type="expression" priority="10" aboveAverage="0" equalAverage="0" bottom="0" percent="0" rank="0" text="" dxfId="21">
      <formula>AND($Y7="No",$Z7="")</formula>
    </cfRule>
  </conditionalFormatting>
  <conditionalFormatting sqref="F7:F506">
    <cfRule type="cellIs" priority="11" operator="equal" aboveAverage="0" equalAverage="0" bottom="0" percent="0" rank="0" text="" dxfId="2">
      <formula>"RESTRINGIDA"</formula>
    </cfRule>
  </conditionalFormatting>
  <conditionalFormatting sqref="A7:AA506">
    <cfRule type="expression" priority="12" aboveAverage="0" equalAverage="0" bottom="0" percent="0" rank="0" text="" dxfId="22">
      <formula>AND($B7&lt;&gt;"",$B7=$C$2)</formula>
    </cfRule>
  </conditionalFormatting>
  <dataValidations count="3">
    <dataValidation allowBlank="true" error="Solo se pueden programar actividades en estado LISTA en el LOOKAHEAD (sin restricciones pendientes)." errorStyle="stop" errorTitle="Actividad no liberada" operator="between" showDropDown="false" showErrorMessage="true" showInputMessage="false" sqref="C7:C506" type="custom">
      <formula1>INDEX(LOOKAHEAD!$M$5:$M$204,MATCH(C7,LOOKAHEAD!$A$5:$A$204,0))="LISTA"</formula1>
      <formula2>0</formula2>
    </dataValidation>
    <dataValidation allowBlank="true" errorStyle="stop" operator="between" showDropDown="false" showErrorMessage="true" showInputMessage="false" sqref="G7:G506" type="list">
      <formula1>Cuadrillas</formula1>
      <formula2>0</formula2>
    </dataValidation>
    <dataValidation allowBlank="true" errorStyle="stop" operator="between" showDropDown="false" showErrorMessage="true" showInputMessage="false" sqref="Z7:Z506" type="list">
      <formula1>Causas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S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5" min="4" style="0" width="11"/>
    <col collapsed="false" customWidth="true" hidden="false" outlineLevel="0" max="6" min="6" style="0" width="3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4" min="13" style="0" width="12"/>
  </cols>
  <sheetData>
    <row r="1" customFormat="false" ht="17.3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13" t="s">
        <v>246</v>
      </c>
      <c r="G3" s="13" t="s">
        <v>247</v>
      </c>
      <c r="L3" s="13" t="s">
        <v>248</v>
      </c>
    </row>
    <row r="4" customFormat="false" ht="31.5" hidden="false" customHeight="true" outlineLevel="0" collapsed="false">
      <c r="A4" s="26" t="s">
        <v>249</v>
      </c>
      <c r="B4" s="37" t="n">
        <v>0.85</v>
      </c>
      <c r="C4" s="38" t="s">
        <v>250</v>
      </c>
      <c r="G4" s="8" t="s">
        <v>251</v>
      </c>
      <c r="H4" s="8" t="s">
        <v>252</v>
      </c>
      <c r="I4" s="8" t="s">
        <v>253</v>
      </c>
      <c r="J4" s="8" t="s">
        <v>254</v>
      </c>
      <c r="L4" s="8" t="s">
        <v>255</v>
      </c>
      <c r="M4" s="8" t="s">
        <v>256</v>
      </c>
      <c r="N4" s="8" t="s">
        <v>257</v>
      </c>
    </row>
    <row r="5" customFormat="false" ht="15" hidden="false" customHeight="false" outlineLevel="0" collapsed="false">
      <c r="A5" s="26" t="s">
        <v>258</v>
      </c>
      <c r="B5" s="39" t="n">
        <f aca="false">SEMANAL!$N$2</f>
        <v>0.6</v>
      </c>
      <c r="G5" s="18" t="str">
        <f aca="false">IF(INDEX($R$44:$R$81,MATCH(LARGE($S$44:$S$81,1),$S$44:$S$81,0))&lt;=0,"",INDEX($Q$44:$Q$81,MATCH(LARGE($S$44:$S$81,1),$S$44:$S$81,0)))</f>
        <v>Clima</v>
      </c>
      <c r="H5" s="18" t="n">
        <f aca="false">IF(G5="","",COUNTIF(SEMANAL!$Z$7:$Z$506,G5))</f>
        <v>1</v>
      </c>
      <c r="I5" s="19" t="n">
        <f aca="false">IF(G5="","",IFERROR(H5/SUM($H$5:$H$16),0))</f>
        <v>0.5</v>
      </c>
      <c r="J5" s="19" t="n">
        <f aca="false">IF(G5="","",SUM($I$5:I5))</f>
        <v>0.5</v>
      </c>
      <c r="L5" s="18" t="str">
        <f aca="false">IF(LISTAS!$C$4="","",LISTAS!$C$4)</f>
        <v>Permisos / Licencias</v>
      </c>
      <c r="M5" s="18" t="n">
        <f aca="false">IF(L5="","",COUNTIFS(RESTRICCIONES!$E$5:$E$304,L5,RESTRICCIONES!$L$5:$L$304,"Pendiente"))</f>
        <v>0</v>
      </c>
      <c r="N5" s="18" t="n">
        <f aca="false">IF(L5="","",COUNTIFS(RESTRICCIONES!$E$5:$E$304,L5,RESTRICCIONES!$L$5:$L$304,"Liberado"))</f>
        <v>0</v>
      </c>
    </row>
    <row r="6" customFormat="false" ht="15" hidden="false" customHeight="false" outlineLevel="0" collapsed="false">
      <c r="A6" s="26" t="s">
        <v>259</v>
      </c>
      <c r="B6" s="39" t="n">
        <f aca="false">SEMANAL!$J$2</f>
        <v>0.666666666666667</v>
      </c>
      <c r="G6" s="18" t="str">
        <f aca="false">IF(INDEX($R$44:$R$81,MATCH(LARGE($S$44:$S$81,2),$S$44:$S$81,0))&lt;=0,"",INDEX($Q$44:$Q$81,MATCH(LARGE($S$44:$S$81,2),$S$44:$S$81,0)))</f>
        <v>Falta de mano de obra</v>
      </c>
      <c r="H6" s="18" t="n">
        <f aca="false">IF(G6="","",COUNTIF(SEMANAL!$Z$7:$Z$506,G6))</f>
        <v>1</v>
      </c>
      <c r="I6" s="19" t="n">
        <f aca="false">IF(G6="","",IFERROR(H6/SUM($H$5:$H$16),0))</f>
        <v>0.5</v>
      </c>
      <c r="J6" s="19" t="n">
        <f aca="false">IF(G6="","",SUM($I$5:I6))</f>
        <v>1</v>
      </c>
      <c r="L6" s="18" t="str">
        <f aca="false">IF(LISTAS!$C$5="","",LISTAS!$C$5)</f>
        <v>Materiales</v>
      </c>
      <c r="M6" s="18" t="n">
        <f aca="false">IF(L6="","",COUNTIFS(RESTRICCIONES!$E$5:$E$304,L6,RESTRICCIONES!$L$5:$L$304,"Pendiente"))</f>
        <v>0</v>
      </c>
      <c r="N6" s="18" t="n">
        <f aca="false">IF(L6="","",COUNTIFS(RESTRICCIONES!$E$5:$E$304,L6,RESTRICCIONES!$L$5:$L$304,"Liberado"))</f>
        <v>1</v>
      </c>
    </row>
    <row r="7" customFormat="false" ht="15" hidden="false" customHeight="false" outlineLevel="0" collapsed="false">
      <c r="A7" s="26" t="s">
        <v>260</v>
      </c>
      <c r="B7" s="40" t="n">
        <f aca="false">LOOKAHEAD!$G$2</f>
        <v>3</v>
      </c>
      <c r="G7" s="18" t="str">
        <f aca="false">IF(INDEX($R$44:$R$81,MATCH(LARGE($S$44:$S$81,3),$S$44:$S$81,0))&lt;=0,"",INDEX($Q$44:$Q$81,MATCH(LARGE($S$44:$S$81,3),$S$44:$S$81,0)))</f>
        <v/>
      </c>
      <c r="H7" s="18" t="str">
        <f aca="false">IF(G7="","",COUNTIF(SEMANAL!$Z$7:$Z$506,G7))</f>
        <v/>
      </c>
      <c r="I7" s="19" t="str">
        <f aca="false">IF(G7="","",IFERROR(H7/SUM($H$5:$H$16),0))</f>
        <v/>
      </c>
      <c r="J7" s="19" t="str">
        <f aca="false">IF(G7="","",SUM($I$5:I7))</f>
        <v/>
      </c>
      <c r="L7" s="18" t="str">
        <f aca="false">IF(LISTAS!$C$6="","",LISTAS!$C$6)</f>
        <v>Mano de obra</v>
      </c>
      <c r="M7" s="18" t="n">
        <f aca="false">IF(L7="","",COUNTIFS(RESTRICCIONES!$E$5:$E$304,L7,RESTRICCIONES!$L$5:$L$304,"Pendiente"))</f>
        <v>0</v>
      </c>
      <c r="N7" s="18" t="n">
        <f aca="false">IF(L7="","",COUNTIFS(RESTRICCIONES!$E$5:$E$304,L7,RESTRICCIONES!$L$5:$L$304,"Liberado"))</f>
        <v>1</v>
      </c>
    </row>
    <row r="8" customFormat="false" ht="15" hidden="false" customHeight="false" outlineLevel="0" collapsed="false">
      <c r="A8" s="26" t="s">
        <v>261</v>
      </c>
      <c r="B8" s="40" t="n">
        <f aca="false">LOOKAHEAD!$J$2</f>
        <v>5</v>
      </c>
      <c r="G8" s="18" t="str">
        <f aca="false">IF(INDEX($R$44:$R$81,MATCH(LARGE($S$44:$S$81,4),$S$44:$S$81,0))&lt;=0,"",INDEX($Q$44:$Q$81,MATCH(LARGE($S$44:$S$81,4),$S$44:$S$81,0)))</f>
        <v/>
      </c>
      <c r="H8" s="18" t="str">
        <f aca="false">IF(G8="","",COUNTIF(SEMANAL!$Z$7:$Z$506,G8))</f>
        <v/>
      </c>
      <c r="I8" s="19" t="str">
        <f aca="false">IF(G8="","",IFERROR(H8/SUM($H$5:$H$16),0))</f>
        <v/>
      </c>
      <c r="J8" s="19" t="str">
        <f aca="false">IF(G8="","",SUM($I$5:I8))</f>
        <v/>
      </c>
      <c r="L8" s="18" t="str">
        <f aca="false">IF(LISTAS!$C$7="","",LISTAS!$C$7)</f>
        <v>Subcontratos</v>
      </c>
      <c r="M8" s="18" t="n">
        <f aca="false">IF(L8="","",COUNTIFS(RESTRICCIONES!$E$5:$E$304,L8,RESTRICCIONES!$L$5:$L$304,"Pendiente"))</f>
        <v>2</v>
      </c>
      <c r="N8" s="18" t="n">
        <f aca="false">IF(L8="","",COUNTIFS(RESTRICCIONES!$E$5:$E$304,L8,RESTRICCIONES!$L$5:$L$304,"Liberado"))</f>
        <v>0</v>
      </c>
    </row>
    <row r="9" customFormat="false" ht="15" hidden="false" customHeight="false" outlineLevel="0" collapsed="false">
      <c r="A9" s="26" t="s">
        <v>262</v>
      </c>
      <c r="B9" s="40" t="n">
        <f aca="false">COUNTIF(RESTRICCIONES!$L$5:$L$304,"Pendiente")</f>
        <v>6</v>
      </c>
      <c r="G9" s="18" t="str">
        <f aca="false">IF(INDEX($R$44:$R$81,MATCH(LARGE($S$44:$S$81,5),$S$44:$S$81,0))&lt;=0,"",INDEX($Q$44:$Q$81,MATCH(LARGE($S$44:$S$81,5),$S$44:$S$81,0)))</f>
        <v/>
      </c>
      <c r="H9" s="18" t="str">
        <f aca="false">IF(G9="","",COUNTIF(SEMANAL!$Z$7:$Z$506,G9))</f>
        <v/>
      </c>
      <c r="I9" s="19" t="str">
        <f aca="false">IF(G9="","",IFERROR(H9/SUM($H$5:$H$16),0))</f>
        <v/>
      </c>
      <c r="J9" s="19" t="str">
        <f aca="false">IF(G9="","",SUM($I$5:I9))</f>
        <v/>
      </c>
      <c r="L9" s="18" t="str">
        <f aca="false">IF(LISTAS!$C$8="","",LISTAS!$C$8)</f>
        <v>Diseño / Ingeniería (RFI)</v>
      </c>
      <c r="M9" s="18" t="n">
        <f aca="false">IF(L9="","",COUNTIFS(RESTRICCIONES!$E$5:$E$304,L9,RESTRICCIONES!$L$5:$L$304,"Pendiente"))</f>
        <v>2</v>
      </c>
      <c r="N9" s="18" t="n">
        <f aca="false">IF(L9="","",COUNTIFS(RESTRICCIONES!$E$5:$E$304,L9,RESTRICCIONES!$L$5:$L$304,"Liberado"))</f>
        <v>0</v>
      </c>
    </row>
    <row r="10" customFormat="false" ht="15" hidden="false" customHeight="false" outlineLevel="0" collapsed="false">
      <c r="A10" s="26" t="s">
        <v>263</v>
      </c>
      <c r="B10" s="40" t="n">
        <f aca="false">COUNTIF(RESTRICCIONES!$M$5:$M$304,"VENCIDA")</f>
        <v>1</v>
      </c>
      <c r="G10" s="18" t="str">
        <f aca="false">IF(INDEX($R$44:$R$81,MATCH(LARGE($S$44:$S$81,6),$S$44:$S$81,0))&lt;=0,"",INDEX($Q$44:$Q$81,MATCH(LARGE($S$44:$S$81,6),$S$44:$S$81,0)))</f>
        <v/>
      </c>
      <c r="H10" s="18" t="str">
        <f aca="false">IF(G10="","",COUNTIF(SEMANAL!$Z$7:$Z$506,G10))</f>
        <v/>
      </c>
      <c r="I10" s="19" t="str">
        <f aca="false">IF(G10="","",IFERROR(H10/SUM($H$5:$H$16),0))</f>
        <v/>
      </c>
      <c r="J10" s="19" t="str">
        <f aca="false">IF(G10="","",SUM($I$5:I10))</f>
        <v/>
      </c>
      <c r="L10" s="18" t="str">
        <f aca="false">IF(LISTAS!$C$9="","",LISTAS!$C$9)</f>
        <v>Equipos / Maquinaria</v>
      </c>
      <c r="M10" s="18" t="n">
        <f aca="false">IF(L10="","",COUNTIFS(RESTRICCIONES!$E$5:$E$304,L10,RESTRICCIONES!$L$5:$L$304,"Pendiente"))</f>
        <v>1</v>
      </c>
      <c r="N10" s="18" t="n">
        <f aca="false">IF(L10="","",COUNTIFS(RESTRICCIONES!$E$5:$E$304,L10,RESTRICCIONES!$L$5:$L$304,"Liberado"))</f>
        <v>0</v>
      </c>
    </row>
    <row r="11" customFormat="false" ht="15" hidden="false" customHeight="false" outlineLevel="0" collapsed="false">
      <c r="A11" s="26" t="s">
        <v>264</v>
      </c>
      <c r="B11" s="39" t="n">
        <f aca="false">IFERROR(COUNTIF(RESTRICCIONES!$M$5:$M$304,"A tiempo")/COUNTIF(RESTRICCIONES!$L$5:$L$304,"Liberado"),"")</f>
        <v>1</v>
      </c>
      <c r="G11" s="18" t="str">
        <f aca="false">IF(INDEX($R$44:$R$81,MATCH(LARGE($S$44:$S$81,7),$S$44:$S$81,0))&lt;=0,"",INDEX($Q$44:$Q$81,MATCH(LARGE($S$44:$S$81,7),$S$44:$S$81,0)))</f>
        <v/>
      </c>
      <c r="H11" s="18" t="str">
        <f aca="false">IF(G11="","",COUNTIF(SEMANAL!$Z$7:$Z$506,G11))</f>
        <v/>
      </c>
      <c r="I11" s="19" t="str">
        <f aca="false">IF(G11="","",IFERROR(H11/SUM($H$5:$H$16),0))</f>
        <v/>
      </c>
      <c r="J11" s="19" t="str">
        <f aca="false">IF(G11="","",SUM($I$5:I11))</f>
        <v/>
      </c>
      <c r="L11" s="18" t="str">
        <f aca="false">IF(LISTAS!$C$10="","",LISTAS!$C$10)</f>
        <v>Espacio / Frente de trabajo</v>
      </c>
      <c r="M11" s="18" t="n">
        <f aca="false">IF(L11="","",COUNTIFS(RESTRICCIONES!$E$5:$E$304,L11,RESTRICCIONES!$L$5:$L$304,"Pendiente"))</f>
        <v>0</v>
      </c>
      <c r="N11" s="18" t="n">
        <f aca="false">IF(L11="","",COUNTIFS(RESTRICCIONES!$E$5:$E$304,L11,RESTRICCIONES!$L$5:$L$304,"Liberado"))</f>
        <v>0</v>
      </c>
    </row>
    <row r="12" customFormat="false" ht="15" hidden="false" customHeight="false" outlineLevel="0" collapsed="false">
      <c r="G12" s="18" t="str">
        <f aca="false">IF(INDEX($R$44:$R$81,MATCH(LARGE($S$44:$S$81,8),$S$44:$S$81,0))&lt;=0,"",INDEX($Q$44:$Q$81,MATCH(LARGE($S$44:$S$81,8),$S$44:$S$81,0)))</f>
        <v/>
      </c>
      <c r="H12" s="18" t="str">
        <f aca="false">IF(G12="","",COUNTIF(SEMANAL!$Z$7:$Z$506,G12))</f>
        <v/>
      </c>
      <c r="I12" s="19" t="str">
        <f aca="false">IF(G12="","",IFERROR(H12/SUM($H$5:$H$16),0))</f>
        <v/>
      </c>
      <c r="J12" s="19" t="str">
        <f aca="false">IF(G12="","",SUM($I$5:I12))</f>
        <v/>
      </c>
      <c r="L12" s="18" t="str">
        <f aca="false">IF(LISTAS!$C$11="","",LISTAS!$C$11)</f>
        <v>Actividad previa</v>
      </c>
      <c r="M12" s="18" t="n">
        <f aca="false">IF(L12="","",COUNTIFS(RESTRICCIONES!$E$5:$E$304,L12,RESTRICCIONES!$L$5:$L$304,"Pendiente"))</f>
        <v>0</v>
      </c>
      <c r="N12" s="18" t="n">
        <f aca="false">IF(L12="","",COUNTIFS(RESTRICCIONES!$E$5:$E$304,L12,RESTRICCIONES!$L$5:$L$304,"Liberado"))</f>
        <v>0</v>
      </c>
    </row>
    <row r="13" customFormat="false" ht="15" hidden="false" customHeight="false" outlineLevel="0" collapsed="false">
      <c r="A13" s="13" t="s">
        <v>265</v>
      </c>
      <c r="G13" s="18" t="str">
        <f aca="false">IF(INDEX($R$44:$R$81,MATCH(LARGE($S$44:$S$81,9),$S$44:$S$81,0))&lt;=0,"",INDEX($Q$44:$Q$81,MATCH(LARGE($S$44:$S$81,9),$S$44:$S$81,0)))</f>
        <v/>
      </c>
      <c r="H13" s="18" t="str">
        <f aca="false">IF(G13="","",COUNTIF(SEMANAL!$Z$7:$Z$506,G13))</f>
        <v/>
      </c>
      <c r="I13" s="19" t="str">
        <f aca="false">IF(G13="","",IFERROR(H13/SUM($H$5:$H$16),0))</f>
        <v/>
      </c>
      <c r="J13" s="19" t="str">
        <f aca="false">IF(G13="","",SUM($I$5:I13))</f>
        <v/>
      </c>
      <c r="L13" s="18" t="str">
        <f aca="false">IF(LISTAS!$C$12="","",LISTAS!$C$12)</f>
        <v>Información / Aprobación cliente</v>
      </c>
      <c r="M13" s="18" t="n">
        <f aca="false">IF(L13="","",COUNTIFS(RESTRICCIONES!$E$5:$E$304,L13,RESTRICCIONES!$L$5:$L$304,"Pendiente"))</f>
        <v>0</v>
      </c>
      <c r="N13" s="18" t="n">
        <f aca="false">IF(L13="","",COUNTIFS(RESTRICCIONES!$E$5:$E$304,L13,RESTRICCIONES!$L$5:$L$304,"Liberado"))</f>
        <v>0</v>
      </c>
    </row>
    <row r="14" customFormat="false" ht="31.5" hidden="false" customHeight="true" outlineLevel="0" collapsed="false">
      <c r="A14" s="8" t="s">
        <v>219</v>
      </c>
      <c r="B14" s="8" t="s">
        <v>266</v>
      </c>
      <c r="C14" s="8" t="s">
        <v>267</v>
      </c>
      <c r="D14" s="8" t="s">
        <v>268</v>
      </c>
      <c r="E14" s="8" t="s">
        <v>269</v>
      </c>
      <c r="G14" s="18" t="str">
        <f aca="false">IF(INDEX($R$44:$R$81,MATCH(LARGE($S$44:$S$81,10),$S$44:$S$81,0))&lt;=0,"",INDEX($Q$44:$Q$81,MATCH(LARGE($S$44:$S$81,10),$S$44:$S$81,0)))</f>
        <v/>
      </c>
      <c r="H14" s="18" t="str">
        <f aca="false">IF(G14="","",COUNTIF(SEMANAL!$Z$7:$Z$506,G14))</f>
        <v/>
      </c>
      <c r="I14" s="19" t="str">
        <f aca="false">IF(G14="","",IFERROR(H14/SUM($H$5:$H$16),0))</f>
        <v/>
      </c>
      <c r="J14" s="19" t="str">
        <f aca="false">IF(G14="","",SUM($I$5:I14))</f>
        <v/>
      </c>
      <c r="L14" s="18" t="str">
        <f aca="false">IF(LISTAS!$C$13="","",LISTAS!$C$13)</f>
        <v>Seguridad / Calidad</v>
      </c>
      <c r="M14" s="18" t="n">
        <f aca="false">IF(L14="","",COUNTIFS(RESTRICCIONES!$E$5:$E$304,L14,RESTRICCIONES!$L$5:$L$304,"Pendiente"))</f>
        <v>1</v>
      </c>
      <c r="N14" s="18" t="n">
        <f aca="false">IF(L14="","",COUNTIFS(RESTRICCIONES!$E$5:$E$304,L14,RESTRICCIONES!$L$5:$L$304,"Liberado"))</f>
        <v>0</v>
      </c>
    </row>
    <row r="15" customFormat="false" ht="15" hidden="false" customHeight="false" outlineLevel="0" collapsed="false">
      <c r="A15" s="18" t="n">
        <f aca="false">IF(COUNT(SEMANAL!$B$7:$B$506)=0,"",MIN(SEMANAL!$B$7:$B$506))</f>
        <v>40</v>
      </c>
      <c r="B15" s="18" t="n">
        <f aca="false">IF(A15="","",COUNTIFS(SEMANAL!$B$7:$B$506,A15,SEMANAL!$Y$7:$Y$506,"?*"))</f>
        <v>2</v>
      </c>
      <c r="C15" s="18" t="n">
        <f aca="false">IF(A15="","",COUNTIFS(SEMANAL!$B$7:$B$506,A15,SEMANAL!$Y$7:$Y$506,"Sí"))</f>
        <v>1</v>
      </c>
      <c r="D15" s="19" t="n">
        <f aca="false">IF(OR(A15="",B15=0),"",C15/B15)</f>
        <v>0.5</v>
      </c>
      <c r="E15" s="19" t="n">
        <f aca="false">IF(A15="","",IFERROR(SUM(C$15:C15)/SUM(B$15:B15),""))</f>
        <v>0.5</v>
      </c>
      <c r="G15" s="18" t="str">
        <f aca="false">IF(INDEX($R$44:$R$81,MATCH(LARGE($S$44:$S$81,11),$S$44:$S$81,0))&lt;=0,"",INDEX($Q$44:$Q$81,MATCH(LARGE($S$44:$S$81,11),$S$44:$S$81,0)))</f>
        <v/>
      </c>
      <c r="H15" s="18" t="str">
        <f aca="false">IF(G15="","",COUNTIF(SEMANAL!$Z$7:$Z$506,G15))</f>
        <v/>
      </c>
      <c r="I15" s="19" t="str">
        <f aca="false">IF(G15="","",IFERROR(H15/SUM($H$5:$H$16),0))</f>
        <v/>
      </c>
      <c r="J15" s="19" t="str">
        <f aca="false">IF(G15="","",SUM($I$5:I15))</f>
        <v/>
      </c>
      <c r="L15" s="18" t="str">
        <f aca="false">IF(LISTAS!$C$14="","",LISTAS!$C$14)</f>
        <v/>
      </c>
      <c r="M15" s="18" t="str">
        <f aca="false">IF(L15="","",COUNTIFS(RESTRICCIONES!$E$5:$E$304,L15,RESTRICCIONES!$L$5:$L$304,"Pendiente"))</f>
        <v/>
      </c>
      <c r="N15" s="18" t="str">
        <f aca="false">IF(L15="","",COUNTIFS(RESTRICCIONES!$E$5:$E$304,L15,RESTRICCIONES!$L$5:$L$304,"Liberado"))</f>
        <v/>
      </c>
    </row>
    <row r="16" customFormat="false" ht="15" hidden="false" customHeight="false" outlineLevel="0" collapsed="false">
      <c r="A16" s="18" t="n">
        <f aca="false">IF(A15="","",IF(A15+1&gt;MAX(SEMANAL!$B$7:$B$506),"",A15+1))</f>
        <v>41</v>
      </c>
      <c r="B16" s="18" t="n">
        <f aca="false">IF(A16="","",COUNTIFS(SEMANAL!$B$7:$B$506,A16,SEMANAL!$Y$7:$Y$506,"?*"))</f>
        <v>3</v>
      </c>
      <c r="C16" s="18" t="n">
        <f aca="false">IF(A16="","",COUNTIFS(SEMANAL!$B$7:$B$506,A16,SEMANAL!$Y$7:$Y$506,"Sí"))</f>
        <v>2</v>
      </c>
      <c r="D16" s="19" t="n">
        <f aca="false">IF(OR(A16="",B16=0),"",C16/B16)</f>
        <v>0.666666666666667</v>
      </c>
      <c r="E16" s="19" t="n">
        <f aca="false">IF(A16="","",IFERROR(SUM(C$15:C16)/SUM(B$15:B16),""))</f>
        <v>0.6</v>
      </c>
      <c r="G16" s="18" t="str">
        <f aca="false">IF(INDEX($R$44:$R$81,MATCH(LARGE($S$44:$S$81,12),$S$44:$S$81,0))&lt;=0,"",INDEX($Q$44:$Q$81,MATCH(LARGE($S$44:$S$81,12),$S$44:$S$81,0)))</f>
        <v/>
      </c>
      <c r="H16" s="18" t="str">
        <f aca="false">IF(G16="","",COUNTIF(SEMANAL!$Z$7:$Z$506,G16))</f>
        <v/>
      </c>
      <c r="I16" s="19" t="str">
        <f aca="false">IF(G16="","",IFERROR(H16/SUM($H$5:$H$16),0))</f>
        <v/>
      </c>
      <c r="J16" s="19" t="str">
        <f aca="false">IF(G16="","",SUM($I$5:I16))</f>
        <v/>
      </c>
      <c r="L16" s="18" t="str">
        <f aca="false">IF(LISTAS!$C$15="","",LISTAS!$C$15)</f>
        <v/>
      </c>
      <c r="M16" s="18" t="str">
        <f aca="false">IF(L16="","",COUNTIFS(RESTRICCIONES!$E$5:$E$304,L16,RESTRICCIONES!$L$5:$L$304,"Pendiente"))</f>
        <v/>
      </c>
      <c r="N16" s="18" t="str">
        <f aca="false">IF(L16="","",COUNTIFS(RESTRICCIONES!$E$5:$E$304,L16,RESTRICCIONES!$L$5:$L$304,"Liberado"))</f>
        <v/>
      </c>
    </row>
    <row r="17" customFormat="false" ht="15" hidden="false" customHeight="false" outlineLevel="0" collapsed="false">
      <c r="A17" s="18" t="str">
        <f aca="false">IF(A16="","",IF(A16+1&gt;MAX(SEMANAL!$B$7:$B$506),"",A16+1))</f>
        <v/>
      </c>
      <c r="B17" s="18" t="str">
        <f aca="false">IF(A17="","",COUNTIFS(SEMANAL!$B$7:$B$506,A17,SEMANAL!$Y$7:$Y$506,"?*"))</f>
        <v/>
      </c>
      <c r="C17" s="18" t="str">
        <f aca="false">IF(A17="","",COUNTIFS(SEMANAL!$B$7:$B$506,A17,SEMANAL!$Y$7:$Y$506,"Sí"))</f>
        <v/>
      </c>
      <c r="D17" s="19" t="str">
        <f aca="false">IF(OR(A17="",B17=0),"",C17/B17)</f>
        <v/>
      </c>
      <c r="E17" s="19" t="str">
        <f aca="false">IF(A17="","",IFERROR(SUM(C$15:C17)/SUM(B$15:B17),""))</f>
        <v/>
      </c>
    </row>
    <row r="18" customFormat="false" ht="15" hidden="false" customHeight="false" outlineLevel="0" collapsed="false">
      <c r="A18" s="18" t="str">
        <f aca="false">IF(A17="","",IF(A17+1&gt;MAX(SEMANAL!$B$7:$B$506),"",A17+1))</f>
        <v/>
      </c>
      <c r="B18" s="18" t="str">
        <f aca="false">IF(A18="","",COUNTIFS(SEMANAL!$B$7:$B$506,A18,SEMANAL!$Y$7:$Y$506,"?*"))</f>
        <v/>
      </c>
      <c r="C18" s="18" t="str">
        <f aca="false">IF(A18="","",COUNTIFS(SEMANAL!$B$7:$B$506,A18,SEMANAL!$Y$7:$Y$506,"Sí"))</f>
        <v/>
      </c>
      <c r="D18" s="19" t="str">
        <f aca="false">IF(OR(A18="",B18=0),"",C18/B18)</f>
        <v/>
      </c>
      <c r="E18" s="19" t="str">
        <f aca="false">IF(A18="","",IFERROR(SUM(C$15:C18)/SUM(B$15:B18),""))</f>
        <v/>
      </c>
    </row>
    <row r="19" customFormat="false" ht="15" hidden="false" customHeight="false" outlineLevel="0" collapsed="false">
      <c r="A19" s="18" t="str">
        <f aca="false">IF(A18="","",IF(A18+1&gt;MAX(SEMANAL!$B$7:$B$506),"",A18+1))</f>
        <v/>
      </c>
      <c r="B19" s="18" t="str">
        <f aca="false">IF(A19="","",COUNTIFS(SEMANAL!$B$7:$B$506,A19,SEMANAL!$Y$7:$Y$506,"?*"))</f>
        <v/>
      </c>
      <c r="C19" s="18" t="str">
        <f aca="false">IF(A19="","",COUNTIFS(SEMANAL!$B$7:$B$506,A19,SEMANAL!$Y$7:$Y$506,"Sí"))</f>
        <v/>
      </c>
      <c r="D19" s="19" t="str">
        <f aca="false">IF(OR(A19="",B19=0),"",C19/B19)</f>
        <v/>
      </c>
      <c r="E19" s="19" t="str">
        <f aca="false">IF(A19="","",IFERROR(SUM(C$15:C19)/SUM(B$15:B19),""))</f>
        <v/>
      </c>
      <c r="G19" s="13" t="s">
        <v>270</v>
      </c>
    </row>
    <row r="20" customFormat="false" ht="31.5" hidden="false" customHeight="true" outlineLevel="0" collapsed="false">
      <c r="A20" s="18" t="str">
        <f aca="false">IF(A19="","",IF(A19+1&gt;MAX(SEMANAL!$B$7:$B$506),"",A19+1))</f>
        <v/>
      </c>
      <c r="B20" s="18" t="str">
        <f aca="false">IF(A20="","",COUNTIFS(SEMANAL!$B$7:$B$506,A20,SEMANAL!$Y$7:$Y$506,"?*"))</f>
        <v/>
      </c>
      <c r="C20" s="18" t="str">
        <f aca="false">IF(A20="","",COUNTIFS(SEMANAL!$B$7:$B$506,A20,SEMANAL!$Y$7:$Y$506,"Sí"))</f>
        <v/>
      </c>
      <c r="D20" s="19" t="str">
        <f aca="false">IF(OR(A20="",B20=0),"",C20/B20)</f>
        <v/>
      </c>
      <c r="E20" s="19" t="str">
        <f aca="false">IF(A20="","",IFERROR(SUM(C$15:C20)/SUM(B$15:B20),""))</f>
        <v/>
      </c>
      <c r="G20" s="8" t="s">
        <v>148</v>
      </c>
      <c r="H20" s="8" t="s">
        <v>266</v>
      </c>
      <c r="I20" s="8" t="s">
        <v>267</v>
      </c>
      <c r="J20" s="8" t="s">
        <v>268</v>
      </c>
    </row>
    <row r="21" customFormat="false" ht="15" hidden="false" customHeight="false" outlineLevel="0" collapsed="false">
      <c r="A21" s="18" t="str">
        <f aca="false">IF(A20="","",IF(A20+1&gt;MAX(SEMANAL!$B$7:$B$506),"",A20+1))</f>
        <v/>
      </c>
      <c r="B21" s="18" t="str">
        <f aca="false">IF(A21="","",COUNTIFS(SEMANAL!$B$7:$B$506,A21,SEMANAL!$Y$7:$Y$506,"?*"))</f>
        <v/>
      </c>
      <c r="C21" s="18" t="str">
        <f aca="false">IF(A21="","",COUNTIFS(SEMANAL!$B$7:$B$506,A21,SEMANAL!$Y$7:$Y$506,"Sí"))</f>
        <v/>
      </c>
      <c r="D21" s="19" t="str">
        <f aca="false">IF(OR(A21="",B21=0),"",C21/B21)</f>
        <v/>
      </c>
      <c r="E21" s="19" t="str">
        <f aca="false">IF(A21="","",IFERROR(SUM(C$15:C21)/SUM(B$15:B21),""))</f>
        <v/>
      </c>
      <c r="G21" s="18" t="str">
        <f aca="false">IF(LISTAS!$B$4="","",LISTAS!$B$4)</f>
        <v>Cuadrilla Excavación</v>
      </c>
      <c r="H21" s="18" t="n">
        <f aca="false">IF(G21="","",COUNTIFS(SEMANAL!$G$7:$G$506,G21,SEMANAL!$Y$7:$Y$506,"?*"))</f>
        <v>0</v>
      </c>
      <c r="I21" s="18" t="n">
        <f aca="false">IF(G21="","",COUNTIFS(SEMANAL!$G$7:$G$506,G21,SEMANAL!$Y$7:$Y$506,"Sí"))</f>
        <v>0</v>
      </c>
      <c r="J21" s="19" t="str">
        <f aca="false">IF(OR(G21="",H21=0),"",I21/H21)</f>
        <v/>
      </c>
    </row>
    <row r="22" customFormat="false" ht="15" hidden="false" customHeight="false" outlineLevel="0" collapsed="false">
      <c r="A22" s="18" t="str">
        <f aca="false">IF(A21="","",IF(A21+1&gt;MAX(SEMANAL!$B$7:$B$506),"",A21+1))</f>
        <v/>
      </c>
      <c r="B22" s="18" t="str">
        <f aca="false">IF(A22="","",COUNTIFS(SEMANAL!$B$7:$B$506,A22,SEMANAL!$Y$7:$Y$506,"?*"))</f>
        <v/>
      </c>
      <c r="C22" s="18" t="str">
        <f aca="false">IF(A22="","",COUNTIFS(SEMANAL!$B$7:$B$506,A22,SEMANAL!$Y$7:$Y$506,"Sí"))</f>
        <v/>
      </c>
      <c r="D22" s="19" t="str">
        <f aca="false">IF(OR(A22="",B22=0),"",C22/B22)</f>
        <v/>
      </c>
      <c r="E22" s="19" t="str">
        <f aca="false">IF(A22="","",IFERROR(SUM(C$15:C22)/SUM(B$15:B22),""))</f>
        <v/>
      </c>
      <c r="G22" s="18" t="str">
        <f aca="false">IF(LISTAS!$B$5="","",LISTAS!$B$5)</f>
        <v>Cuadrilla Enfierradura</v>
      </c>
      <c r="H22" s="18" t="n">
        <f aca="false">IF(G22="","",COUNTIFS(SEMANAL!$G$7:$G$506,G22,SEMANAL!$Y$7:$Y$506,"?*"))</f>
        <v>2</v>
      </c>
      <c r="I22" s="18" t="n">
        <f aca="false">IF(G22="","",COUNTIFS(SEMANAL!$G$7:$G$506,G22,SEMANAL!$Y$7:$Y$506,"Sí"))</f>
        <v>1</v>
      </c>
      <c r="J22" s="19" t="n">
        <f aca="false">IF(OR(G22="",H22=0),"",I22/H22)</f>
        <v>0.5</v>
      </c>
    </row>
    <row r="23" customFormat="false" ht="15" hidden="false" customHeight="false" outlineLevel="0" collapsed="false">
      <c r="A23" s="18" t="str">
        <f aca="false">IF(A22="","",IF(A22+1&gt;MAX(SEMANAL!$B$7:$B$506),"",A22+1))</f>
        <v/>
      </c>
      <c r="B23" s="18" t="str">
        <f aca="false">IF(A23="","",COUNTIFS(SEMANAL!$B$7:$B$506,A23,SEMANAL!$Y$7:$Y$506,"?*"))</f>
        <v/>
      </c>
      <c r="C23" s="18" t="str">
        <f aca="false">IF(A23="","",COUNTIFS(SEMANAL!$B$7:$B$506,A23,SEMANAL!$Y$7:$Y$506,"Sí"))</f>
        <v/>
      </c>
      <c r="D23" s="19" t="str">
        <f aca="false">IF(OR(A23="",B23=0),"",C23/B23)</f>
        <v/>
      </c>
      <c r="E23" s="19" t="str">
        <f aca="false">IF(A23="","",IFERROR(SUM(C$15:C23)/SUM(B$15:B23),""))</f>
        <v/>
      </c>
      <c r="G23" s="18" t="str">
        <f aca="false">IF(LISTAS!$B$6="","",LISTAS!$B$6)</f>
        <v>Cuadrilla Moldajes</v>
      </c>
      <c r="H23" s="18" t="n">
        <f aca="false">IF(G23="","",COUNTIFS(SEMANAL!$G$7:$G$506,G23,SEMANAL!$Y$7:$Y$506,"?*"))</f>
        <v>1</v>
      </c>
      <c r="I23" s="18" t="n">
        <f aca="false">IF(G23="","",COUNTIFS(SEMANAL!$G$7:$G$506,G23,SEMANAL!$Y$7:$Y$506,"Sí"))</f>
        <v>1</v>
      </c>
      <c r="J23" s="19" t="n">
        <f aca="false">IF(OR(G23="",H23=0),"",I23/H23)</f>
        <v>1</v>
      </c>
    </row>
    <row r="24" customFormat="false" ht="15" hidden="false" customHeight="false" outlineLevel="0" collapsed="false">
      <c r="A24" s="18" t="str">
        <f aca="false">IF(A23="","",IF(A23+1&gt;MAX(SEMANAL!$B$7:$B$506),"",A23+1))</f>
        <v/>
      </c>
      <c r="B24" s="18" t="str">
        <f aca="false">IF(A24="","",COUNTIFS(SEMANAL!$B$7:$B$506,A24,SEMANAL!$Y$7:$Y$506,"?*"))</f>
        <v/>
      </c>
      <c r="C24" s="18" t="str">
        <f aca="false">IF(A24="","",COUNTIFS(SEMANAL!$B$7:$B$506,A24,SEMANAL!$Y$7:$Y$506,"Sí"))</f>
        <v/>
      </c>
      <c r="D24" s="19" t="str">
        <f aca="false">IF(OR(A24="",B24=0),"",C24/B24)</f>
        <v/>
      </c>
      <c r="E24" s="19" t="str">
        <f aca="false">IF(A24="","",IFERROR(SUM(C$15:C24)/SUM(B$15:B24),""))</f>
        <v/>
      </c>
      <c r="G24" s="18" t="str">
        <f aca="false">IF(LISTAS!$B$7="","",LISTAS!$B$7)</f>
        <v>Cuadrilla Hormigón</v>
      </c>
      <c r="H24" s="18" t="n">
        <f aca="false">IF(G24="","",COUNTIFS(SEMANAL!$G$7:$G$506,G24,SEMANAL!$Y$7:$Y$506,"?*"))</f>
        <v>2</v>
      </c>
      <c r="I24" s="18" t="n">
        <f aca="false">IF(G24="","",COUNTIFS(SEMANAL!$G$7:$G$506,G24,SEMANAL!$Y$7:$Y$506,"Sí"))</f>
        <v>1</v>
      </c>
      <c r="J24" s="19" t="n">
        <f aca="false">IF(OR(G24="",H24=0),"",I24/H24)</f>
        <v>0.5</v>
      </c>
    </row>
    <row r="25" customFormat="false" ht="15" hidden="false" customHeight="false" outlineLevel="0" collapsed="false">
      <c r="A25" s="18" t="str">
        <f aca="false">IF(A24="","",IF(A24+1&gt;MAX(SEMANAL!$B$7:$B$506),"",A24+1))</f>
        <v/>
      </c>
      <c r="B25" s="18" t="str">
        <f aca="false">IF(A25="","",COUNTIFS(SEMANAL!$B$7:$B$506,A25,SEMANAL!$Y$7:$Y$506,"?*"))</f>
        <v/>
      </c>
      <c r="C25" s="18" t="str">
        <f aca="false">IF(A25="","",COUNTIFS(SEMANAL!$B$7:$B$506,A25,SEMANAL!$Y$7:$Y$506,"Sí"))</f>
        <v/>
      </c>
      <c r="D25" s="19" t="str">
        <f aca="false">IF(OR(A25="",B25=0),"",C25/B25)</f>
        <v/>
      </c>
      <c r="E25" s="19" t="str">
        <f aca="false">IF(A25="","",IFERROR(SUM(C$15:C25)/SUM(B$15:B25),""))</f>
        <v/>
      </c>
      <c r="G25" s="18" t="str">
        <f aca="false">IF(LISTAS!$B$8="","",LISTAS!$B$8)</f>
        <v>Cuadrilla Albañilería</v>
      </c>
      <c r="H25" s="18" t="n">
        <f aca="false">IF(G25="","",COUNTIFS(SEMANAL!$G$7:$G$506,G25,SEMANAL!$Y$7:$Y$506,"?*"))</f>
        <v>0</v>
      </c>
      <c r="I25" s="18" t="n">
        <f aca="false">IF(G25="","",COUNTIFS(SEMANAL!$G$7:$G$506,G25,SEMANAL!$Y$7:$Y$506,"Sí"))</f>
        <v>0</v>
      </c>
      <c r="J25" s="19" t="str">
        <f aca="false">IF(OR(G25="",H25=0),"",I25/H25)</f>
        <v/>
      </c>
    </row>
    <row r="26" customFormat="false" ht="15" hidden="false" customHeight="false" outlineLevel="0" collapsed="false">
      <c r="A26" s="18" t="str">
        <f aca="false">IF(A25="","",IF(A25+1&gt;MAX(SEMANAL!$B$7:$B$506),"",A25+1))</f>
        <v/>
      </c>
      <c r="B26" s="18" t="str">
        <f aca="false">IF(A26="","",COUNTIFS(SEMANAL!$B$7:$B$506,A26,SEMANAL!$Y$7:$Y$506,"?*"))</f>
        <v/>
      </c>
      <c r="C26" s="18" t="str">
        <f aca="false">IF(A26="","",COUNTIFS(SEMANAL!$B$7:$B$506,A26,SEMANAL!$Y$7:$Y$506,"Sí"))</f>
        <v/>
      </c>
      <c r="D26" s="19" t="str">
        <f aca="false">IF(OR(A26="",B26=0),"",C26/B26)</f>
        <v/>
      </c>
      <c r="E26" s="19" t="str">
        <f aca="false">IF(A26="","",IFERROR(SUM(C$15:C26)/SUM(B$15:B26),""))</f>
        <v/>
      </c>
      <c r="G26" s="18" t="str">
        <f aca="false">IF(LISTAS!$B$9="","",LISTAS!$B$9)</f>
        <v>Subc. Eléctrico</v>
      </c>
      <c r="H26" s="18" t="n">
        <f aca="false">IF(G26="","",COUNTIFS(SEMANAL!$G$7:$G$506,G26,SEMANAL!$Y$7:$Y$506,"?*"))</f>
        <v>0</v>
      </c>
      <c r="I26" s="18" t="n">
        <f aca="false">IF(G26="","",COUNTIFS(SEMANAL!$G$7:$G$506,G26,SEMANAL!$Y$7:$Y$506,"Sí"))</f>
        <v>0</v>
      </c>
      <c r="J26" s="19" t="str">
        <f aca="false">IF(OR(G26="",H26=0),"",I26/H26)</f>
        <v/>
      </c>
    </row>
    <row r="27" customFormat="false" ht="15" hidden="false" customHeight="false" outlineLevel="0" collapsed="false">
      <c r="A27" s="18" t="str">
        <f aca="false">IF(A26="","",IF(A26+1&gt;MAX(SEMANAL!$B$7:$B$506),"",A26+1))</f>
        <v/>
      </c>
      <c r="B27" s="18" t="str">
        <f aca="false">IF(A27="","",COUNTIFS(SEMANAL!$B$7:$B$506,A27,SEMANAL!$Y$7:$Y$506,"?*"))</f>
        <v/>
      </c>
      <c r="C27" s="18" t="str">
        <f aca="false">IF(A27="","",COUNTIFS(SEMANAL!$B$7:$B$506,A27,SEMANAL!$Y$7:$Y$506,"Sí"))</f>
        <v/>
      </c>
      <c r="D27" s="19" t="str">
        <f aca="false">IF(OR(A27="",B27=0),"",C27/B27)</f>
        <v/>
      </c>
      <c r="E27" s="19" t="str">
        <f aca="false">IF(A27="","",IFERROR(SUM(C$15:C27)/SUM(B$15:B27),""))</f>
        <v/>
      </c>
      <c r="G27" s="18" t="str">
        <f aca="false">IF(LISTAS!$B$10="","",LISTAS!$B$10)</f>
        <v>Subc. Sanitario</v>
      </c>
      <c r="H27" s="18" t="n">
        <f aca="false">IF(G27="","",COUNTIFS(SEMANAL!$G$7:$G$506,G27,SEMANAL!$Y$7:$Y$506,"?*"))</f>
        <v>0</v>
      </c>
      <c r="I27" s="18" t="n">
        <f aca="false">IF(G27="","",COUNTIFS(SEMANAL!$G$7:$G$506,G27,SEMANAL!$Y$7:$Y$506,"Sí"))</f>
        <v>0</v>
      </c>
      <c r="J27" s="19" t="str">
        <f aca="false">IF(OR(G27="",H27=0),"",I27/H27)</f>
        <v/>
      </c>
    </row>
    <row r="28" customFormat="false" ht="15" hidden="false" customHeight="false" outlineLevel="0" collapsed="false">
      <c r="A28" s="18" t="str">
        <f aca="false">IF(A27="","",IF(A27+1&gt;MAX(SEMANAL!$B$7:$B$506),"",A27+1))</f>
        <v/>
      </c>
      <c r="B28" s="18" t="str">
        <f aca="false">IF(A28="","",COUNTIFS(SEMANAL!$B$7:$B$506,A28,SEMANAL!$Y$7:$Y$506,"?*"))</f>
        <v/>
      </c>
      <c r="C28" s="18" t="str">
        <f aca="false">IF(A28="","",COUNTIFS(SEMANAL!$B$7:$B$506,A28,SEMANAL!$Y$7:$Y$506,"Sí"))</f>
        <v/>
      </c>
      <c r="D28" s="19" t="str">
        <f aca="false">IF(OR(A28="",B28=0),"",C28/B28)</f>
        <v/>
      </c>
      <c r="E28" s="19" t="str">
        <f aca="false">IF(A28="","",IFERROR(SUM(C$15:C28)/SUM(B$15:B28),""))</f>
        <v/>
      </c>
      <c r="G28" s="18" t="str">
        <f aca="false">IF(LISTAS!$B$11="","",LISTAS!$B$11)</f>
        <v>Subc. Climatización</v>
      </c>
      <c r="H28" s="18" t="n">
        <f aca="false">IF(G28="","",COUNTIFS(SEMANAL!$G$7:$G$506,G28,SEMANAL!$Y$7:$Y$506,"?*"))</f>
        <v>0</v>
      </c>
      <c r="I28" s="18" t="n">
        <f aca="false">IF(G28="","",COUNTIFS(SEMANAL!$G$7:$G$506,G28,SEMANAL!$Y$7:$Y$506,"Sí"))</f>
        <v>0</v>
      </c>
      <c r="J28" s="19" t="str">
        <f aca="false">IF(OR(G28="",H28=0),"",I28/H28)</f>
        <v/>
      </c>
    </row>
    <row r="29" customFormat="false" ht="15" hidden="false" customHeight="false" outlineLevel="0" collapsed="false">
      <c r="A29" s="18" t="str">
        <f aca="false">IF(A28="","",IF(A28+1&gt;MAX(SEMANAL!$B$7:$B$506),"",A28+1))</f>
        <v/>
      </c>
      <c r="B29" s="18" t="str">
        <f aca="false">IF(A29="","",COUNTIFS(SEMANAL!$B$7:$B$506,A29,SEMANAL!$Y$7:$Y$506,"?*"))</f>
        <v/>
      </c>
      <c r="C29" s="18" t="str">
        <f aca="false">IF(A29="","",COUNTIFS(SEMANAL!$B$7:$B$506,A29,SEMANAL!$Y$7:$Y$506,"Sí"))</f>
        <v/>
      </c>
      <c r="D29" s="19" t="str">
        <f aca="false">IF(OR(A29="",B29=0),"",C29/B29)</f>
        <v/>
      </c>
      <c r="E29" s="19" t="str">
        <f aca="false">IF(A29="","",IFERROR(SUM(C$15:C29)/SUM(B$15:B29),""))</f>
        <v/>
      </c>
      <c r="G29" s="18" t="str">
        <f aca="false">IF(LISTAS!$B$12="","",LISTAS!$B$12)</f>
        <v>Subc. Terminaciones</v>
      </c>
      <c r="H29" s="18" t="n">
        <f aca="false">IF(G29="","",COUNTIFS(SEMANAL!$G$7:$G$506,G29,SEMANAL!$Y$7:$Y$506,"?*"))</f>
        <v>0</v>
      </c>
      <c r="I29" s="18" t="n">
        <f aca="false">IF(G29="","",COUNTIFS(SEMANAL!$G$7:$G$506,G29,SEMANAL!$Y$7:$Y$506,"Sí"))</f>
        <v>0</v>
      </c>
      <c r="J29" s="19" t="str">
        <f aca="false">IF(OR(G29="",H29=0),"",I29/H29)</f>
        <v/>
      </c>
    </row>
    <row r="30" customFormat="false" ht="15" hidden="false" customHeight="false" outlineLevel="0" collapsed="false">
      <c r="A30" s="18" t="str">
        <f aca="false">IF(A29="","",IF(A29+1&gt;MAX(SEMANAL!$B$7:$B$506),"",A29+1))</f>
        <v/>
      </c>
      <c r="B30" s="18" t="str">
        <f aca="false">IF(A30="","",COUNTIFS(SEMANAL!$B$7:$B$506,A30,SEMANAL!$Y$7:$Y$506,"?*"))</f>
        <v/>
      </c>
      <c r="C30" s="18" t="str">
        <f aca="false">IF(A30="","",COUNTIFS(SEMANAL!$B$7:$B$506,A30,SEMANAL!$Y$7:$Y$506,"Sí"))</f>
        <v/>
      </c>
      <c r="D30" s="19" t="str">
        <f aca="false">IF(OR(A30="",B30=0),"",C30/B30)</f>
        <v/>
      </c>
      <c r="E30" s="19" t="str">
        <f aca="false">IF(A30="","",IFERROR(SUM(C$15:C30)/SUM(B$15:B30),""))</f>
        <v/>
      </c>
      <c r="G30" s="18" t="str">
        <f aca="false">IF(LISTAS!$B$13="","",LISTAS!$B$13)</f>
        <v/>
      </c>
      <c r="H30" s="18" t="str">
        <f aca="false">IF(G30="","",COUNTIFS(SEMANAL!$G$7:$G$506,G30,SEMANAL!$Y$7:$Y$506,"?*"))</f>
        <v/>
      </c>
      <c r="I30" s="18" t="str">
        <f aca="false">IF(G30="","",COUNTIFS(SEMANAL!$G$7:$G$506,G30,SEMANAL!$Y$7:$Y$506,"Sí"))</f>
        <v/>
      </c>
      <c r="J30" s="19" t="str">
        <f aca="false">IF(OR(G30="",H30=0),"",I30/H30)</f>
        <v/>
      </c>
    </row>
    <row r="31" customFormat="false" ht="15" hidden="false" customHeight="false" outlineLevel="0" collapsed="false">
      <c r="A31" s="18" t="str">
        <f aca="false">IF(A30="","",IF(A30+1&gt;MAX(SEMANAL!$B$7:$B$506),"",A30+1))</f>
        <v/>
      </c>
      <c r="B31" s="18" t="str">
        <f aca="false">IF(A31="","",COUNTIFS(SEMANAL!$B$7:$B$506,A31,SEMANAL!$Y$7:$Y$506,"?*"))</f>
        <v/>
      </c>
      <c r="C31" s="18" t="str">
        <f aca="false">IF(A31="","",COUNTIFS(SEMANAL!$B$7:$B$506,A31,SEMANAL!$Y$7:$Y$506,"Sí"))</f>
        <v/>
      </c>
      <c r="D31" s="19" t="str">
        <f aca="false">IF(OR(A31="",B31=0),"",C31/B31)</f>
        <v/>
      </c>
      <c r="E31" s="19" t="str">
        <f aca="false">IF(A31="","",IFERROR(SUM(C$15:C31)/SUM(B$15:B31),""))</f>
        <v/>
      </c>
      <c r="G31" s="18" t="str">
        <f aca="false">IF(LISTAS!$B$14="","",LISTAS!$B$14)</f>
        <v/>
      </c>
      <c r="H31" s="18" t="str">
        <f aca="false">IF(G31="","",COUNTIFS(SEMANAL!$G$7:$G$506,G31,SEMANAL!$Y$7:$Y$506,"?*"))</f>
        <v/>
      </c>
      <c r="I31" s="18" t="str">
        <f aca="false">IF(G31="","",COUNTIFS(SEMANAL!$G$7:$G$506,G31,SEMANAL!$Y$7:$Y$506,"Sí"))</f>
        <v/>
      </c>
      <c r="J31" s="19" t="str">
        <f aca="false">IF(OR(G31="",H31=0),"",I31/H31)</f>
        <v/>
      </c>
    </row>
    <row r="32" customFormat="false" ht="15" hidden="false" customHeight="false" outlineLevel="0" collapsed="false">
      <c r="A32" s="18" t="str">
        <f aca="false">IF(A31="","",IF(A31+1&gt;MAX(SEMANAL!$B$7:$B$506),"",A31+1))</f>
        <v/>
      </c>
      <c r="B32" s="18" t="str">
        <f aca="false">IF(A32="","",COUNTIFS(SEMANAL!$B$7:$B$506,A32,SEMANAL!$Y$7:$Y$506,"?*"))</f>
        <v/>
      </c>
      <c r="C32" s="18" t="str">
        <f aca="false">IF(A32="","",COUNTIFS(SEMANAL!$B$7:$B$506,A32,SEMANAL!$Y$7:$Y$506,"Sí"))</f>
        <v/>
      </c>
      <c r="D32" s="19" t="str">
        <f aca="false">IF(OR(A32="",B32=0),"",C32/B32)</f>
        <v/>
      </c>
      <c r="E32" s="19" t="str">
        <f aca="false">IF(A32="","",IFERROR(SUM(C$15:C32)/SUM(B$15:B32),""))</f>
        <v/>
      </c>
      <c r="G32" s="18" t="str">
        <f aca="false">IF(LISTAS!$B$15="","",LISTAS!$B$15)</f>
        <v/>
      </c>
      <c r="H32" s="18" t="str">
        <f aca="false">IF(G32="","",COUNTIFS(SEMANAL!$G$7:$G$506,G32,SEMANAL!$Y$7:$Y$506,"?*"))</f>
        <v/>
      </c>
      <c r="I32" s="18" t="str">
        <f aca="false">IF(G32="","",COUNTIFS(SEMANAL!$G$7:$G$506,G32,SEMANAL!$Y$7:$Y$506,"Sí"))</f>
        <v/>
      </c>
      <c r="J32" s="19" t="str">
        <f aca="false">IF(OR(G32="",H32=0),"",I32/H32)</f>
        <v/>
      </c>
    </row>
    <row r="33" customFormat="false" ht="15" hidden="false" customHeight="false" outlineLevel="0" collapsed="false">
      <c r="A33" s="18" t="str">
        <f aca="false">IF(A32="","",IF(A32+1&gt;MAX(SEMANAL!$B$7:$B$506),"",A32+1))</f>
        <v/>
      </c>
      <c r="B33" s="18" t="str">
        <f aca="false">IF(A33="","",COUNTIFS(SEMANAL!$B$7:$B$506,A33,SEMANAL!$Y$7:$Y$506,"?*"))</f>
        <v/>
      </c>
      <c r="C33" s="18" t="str">
        <f aca="false">IF(A33="","",COUNTIFS(SEMANAL!$B$7:$B$506,A33,SEMANAL!$Y$7:$Y$506,"Sí"))</f>
        <v/>
      </c>
      <c r="D33" s="19" t="str">
        <f aca="false">IF(OR(A33="",B33=0),"",C33/B33)</f>
        <v/>
      </c>
      <c r="E33" s="19" t="str">
        <f aca="false">IF(A33="","",IFERROR(SUM(C$15:C33)/SUM(B$15:B33),""))</f>
        <v/>
      </c>
      <c r="G33" s="18" t="str">
        <f aca="false">IF(LISTAS!$B$16="","",LISTAS!$B$16)</f>
        <v/>
      </c>
      <c r="H33" s="18" t="str">
        <f aca="false">IF(G33="","",COUNTIFS(SEMANAL!$G$7:$G$506,G33,SEMANAL!$Y$7:$Y$506,"?*"))</f>
        <v/>
      </c>
      <c r="I33" s="18" t="str">
        <f aca="false">IF(G33="","",COUNTIFS(SEMANAL!$G$7:$G$506,G33,SEMANAL!$Y$7:$Y$506,"Sí"))</f>
        <v/>
      </c>
      <c r="J33" s="19" t="str">
        <f aca="false">IF(OR(G33="",H33=0),"",I33/H33)</f>
        <v/>
      </c>
    </row>
    <row r="34" customFormat="false" ht="15" hidden="false" customHeight="false" outlineLevel="0" collapsed="false">
      <c r="A34" s="18" t="str">
        <f aca="false">IF(A33="","",IF(A33+1&gt;MAX(SEMANAL!$B$7:$B$506),"",A33+1))</f>
        <v/>
      </c>
      <c r="B34" s="18" t="str">
        <f aca="false">IF(A34="","",COUNTIFS(SEMANAL!$B$7:$B$506,A34,SEMANAL!$Y$7:$Y$506,"?*"))</f>
        <v/>
      </c>
      <c r="C34" s="18" t="str">
        <f aca="false">IF(A34="","",COUNTIFS(SEMANAL!$B$7:$B$506,A34,SEMANAL!$Y$7:$Y$506,"Sí"))</f>
        <v/>
      </c>
      <c r="D34" s="19" t="str">
        <f aca="false">IF(OR(A34="",B34=0),"",C34/B34)</f>
        <v/>
      </c>
      <c r="E34" s="19" t="str">
        <f aca="false">IF(A34="","",IFERROR(SUM(C$15:C34)/SUM(B$15:B34),""))</f>
        <v/>
      </c>
      <c r="G34" s="18" t="str">
        <f aca="false">IF(LISTAS!$B$17="","",LISTAS!$B$17)</f>
        <v/>
      </c>
      <c r="H34" s="18" t="str">
        <f aca="false">IF(G34="","",COUNTIFS(SEMANAL!$G$7:$G$506,G34,SEMANAL!$Y$7:$Y$506,"?*"))</f>
        <v/>
      </c>
      <c r="I34" s="18" t="str">
        <f aca="false">IF(G34="","",COUNTIFS(SEMANAL!$G$7:$G$506,G34,SEMANAL!$Y$7:$Y$506,"Sí"))</f>
        <v/>
      </c>
      <c r="J34" s="19" t="str">
        <f aca="false">IF(OR(G34="",H34=0),"",I34/H34)</f>
        <v/>
      </c>
    </row>
    <row r="35" customFormat="false" ht="15" hidden="false" customHeight="false" outlineLevel="0" collapsed="false">
      <c r="A35" s="18" t="str">
        <f aca="false">IF(A34="","",IF(A34+1&gt;MAX(SEMANAL!$B$7:$B$506),"",A34+1))</f>
        <v/>
      </c>
      <c r="B35" s="18" t="str">
        <f aca="false">IF(A35="","",COUNTIFS(SEMANAL!$B$7:$B$506,A35,SEMANAL!$Y$7:$Y$506,"?*"))</f>
        <v/>
      </c>
      <c r="C35" s="18" t="str">
        <f aca="false">IF(A35="","",COUNTIFS(SEMANAL!$B$7:$B$506,A35,SEMANAL!$Y$7:$Y$506,"Sí"))</f>
        <v/>
      </c>
      <c r="D35" s="19" t="str">
        <f aca="false">IF(OR(A35="",B35=0),"",C35/B35)</f>
        <v/>
      </c>
      <c r="E35" s="19" t="str">
        <f aca="false">IF(A35="","",IFERROR(SUM(C$15:C35)/SUM(B$15:B35),""))</f>
        <v/>
      </c>
      <c r="G35" s="18" t="str">
        <f aca="false">IF(LISTAS!$B$18="","",LISTAS!$B$18)</f>
        <v/>
      </c>
      <c r="H35" s="18" t="str">
        <f aca="false">IF(G35="","",COUNTIFS(SEMANAL!$G$7:$G$506,G35,SEMANAL!$Y$7:$Y$506,"?*"))</f>
        <v/>
      </c>
      <c r="I35" s="18" t="str">
        <f aca="false">IF(G35="","",COUNTIFS(SEMANAL!$G$7:$G$506,G35,SEMANAL!$Y$7:$Y$506,"Sí"))</f>
        <v/>
      </c>
      <c r="J35" s="19" t="str">
        <f aca="false">IF(OR(G35="",H35=0),"",I35/H35)</f>
        <v/>
      </c>
    </row>
    <row r="36" customFormat="false" ht="15" hidden="false" customHeight="false" outlineLevel="0" collapsed="false">
      <c r="A36" s="18" t="str">
        <f aca="false">IF(A35="","",IF(A35+1&gt;MAX(SEMANAL!$B$7:$B$506),"",A35+1))</f>
        <v/>
      </c>
      <c r="B36" s="18" t="str">
        <f aca="false">IF(A36="","",COUNTIFS(SEMANAL!$B$7:$B$506,A36,SEMANAL!$Y$7:$Y$506,"?*"))</f>
        <v/>
      </c>
      <c r="C36" s="18" t="str">
        <f aca="false">IF(A36="","",COUNTIFS(SEMANAL!$B$7:$B$506,A36,SEMANAL!$Y$7:$Y$506,"Sí"))</f>
        <v/>
      </c>
      <c r="D36" s="19" t="str">
        <f aca="false">IF(OR(A36="",B36=0),"",C36/B36)</f>
        <v/>
      </c>
      <c r="E36" s="19" t="str">
        <f aca="false">IF(A36="","",IFERROR(SUM(C$15:C36)/SUM(B$15:B36),""))</f>
        <v/>
      </c>
      <c r="G36" s="18" t="str">
        <f aca="false">IF(LISTAS!$B$19="","",LISTAS!$B$19)</f>
        <v/>
      </c>
      <c r="H36" s="18" t="str">
        <f aca="false">IF(G36="","",COUNTIFS(SEMANAL!$G$7:$G$506,G36,SEMANAL!$Y$7:$Y$506,"?*"))</f>
        <v/>
      </c>
      <c r="I36" s="18" t="str">
        <f aca="false">IF(G36="","",COUNTIFS(SEMANAL!$G$7:$G$506,G36,SEMANAL!$Y$7:$Y$506,"Sí"))</f>
        <v/>
      </c>
      <c r="J36" s="19" t="str">
        <f aca="false">IF(OR(G36="",H36=0),"",I36/H36)</f>
        <v/>
      </c>
    </row>
    <row r="37" customFormat="false" ht="15" hidden="false" customHeight="false" outlineLevel="0" collapsed="false">
      <c r="A37" s="18" t="str">
        <f aca="false">IF(A36="","",IF(A36+1&gt;MAX(SEMANAL!$B$7:$B$506),"",A36+1))</f>
        <v/>
      </c>
      <c r="B37" s="18" t="str">
        <f aca="false">IF(A37="","",COUNTIFS(SEMANAL!$B$7:$B$506,A37,SEMANAL!$Y$7:$Y$506,"?*"))</f>
        <v/>
      </c>
      <c r="C37" s="18" t="str">
        <f aca="false">IF(A37="","",COUNTIFS(SEMANAL!$B$7:$B$506,A37,SEMANAL!$Y$7:$Y$506,"Sí"))</f>
        <v/>
      </c>
      <c r="D37" s="19" t="str">
        <f aca="false">IF(OR(A37="",B37=0),"",C37/B37)</f>
        <v/>
      </c>
      <c r="E37" s="19" t="str">
        <f aca="false">IF(A37="","",IFERROR(SUM(C$15:C37)/SUM(B$15:B37),""))</f>
        <v/>
      </c>
      <c r="G37" s="18" t="str">
        <f aca="false">IF(LISTAS!$B$20="","",LISTAS!$B$20)</f>
        <v/>
      </c>
      <c r="H37" s="18" t="str">
        <f aca="false">IF(G37="","",COUNTIFS(SEMANAL!$G$7:$G$506,G37,SEMANAL!$Y$7:$Y$506,"?*"))</f>
        <v/>
      </c>
      <c r="I37" s="18" t="str">
        <f aca="false">IF(G37="","",COUNTIFS(SEMANAL!$G$7:$G$506,G37,SEMANAL!$Y$7:$Y$506,"Sí"))</f>
        <v/>
      </c>
      <c r="J37" s="19" t="str">
        <f aca="false">IF(OR(G37="",H37=0),"",I37/H37)</f>
        <v/>
      </c>
    </row>
    <row r="38" customFormat="false" ht="15" hidden="false" customHeight="false" outlineLevel="0" collapsed="false">
      <c r="A38" s="18" t="str">
        <f aca="false">IF(A37="","",IF(A37+1&gt;MAX(SEMANAL!$B$7:$B$506),"",A37+1))</f>
        <v/>
      </c>
      <c r="B38" s="18" t="str">
        <f aca="false">IF(A38="","",COUNTIFS(SEMANAL!$B$7:$B$506,A38,SEMANAL!$Y$7:$Y$506,"?*"))</f>
        <v/>
      </c>
      <c r="C38" s="18" t="str">
        <f aca="false">IF(A38="","",COUNTIFS(SEMANAL!$B$7:$B$506,A38,SEMANAL!$Y$7:$Y$506,"Sí"))</f>
        <v/>
      </c>
      <c r="D38" s="19" t="str">
        <f aca="false">IF(OR(A38="",B38=0),"",C38/B38)</f>
        <v/>
      </c>
      <c r="E38" s="19" t="str">
        <f aca="false">IF(A38="","",IFERROR(SUM(C$15:C38)/SUM(B$15:B38),""))</f>
        <v/>
      </c>
      <c r="G38" s="18" t="str">
        <f aca="false">IF(LISTAS!$B$21="","",LISTAS!$B$21)</f>
        <v/>
      </c>
      <c r="H38" s="18" t="str">
        <f aca="false">IF(G38="","",COUNTIFS(SEMANAL!$G$7:$G$506,G38,SEMANAL!$Y$7:$Y$506,"?*"))</f>
        <v/>
      </c>
      <c r="I38" s="18" t="str">
        <f aca="false">IF(G38="","",COUNTIFS(SEMANAL!$G$7:$G$506,G38,SEMANAL!$Y$7:$Y$506,"Sí"))</f>
        <v/>
      </c>
      <c r="J38" s="19" t="str">
        <f aca="false">IF(OR(G38="",H38=0),"",I38/H38)</f>
        <v/>
      </c>
    </row>
    <row r="39" customFormat="false" ht="15" hidden="false" customHeight="false" outlineLevel="0" collapsed="false">
      <c r="A39" s="18" t="str">
        <f aca="false">IF(A38="","",IF(A38+1&gt;MAX(SEMANAL!$B$7:$B$506),"",A38+1))</f>
        <v/>
      </c>
      <c r="B39" s="18" t="str">
        <f aca="false">IF(A39="","",COUNTIFS(SEMANAL!$B$7:$B$506,A39,SEMANAL!$Y$7:$Y$506,"?*"))</f>
        <v/>
      </c>
      <c r="C39" s="18" t="str">
        <f aca="false">IF(A39="","",COUNTIFS(SEMANAL!$B$7:$B$506,A39,SEMANAL!$Y$7:$Y$506,"Sí"))</f>
        <v/>
      </c>
      <c r="D39" s="19" t="str">
        <f aca="false">IF(OR(A39="",B39=0),"",C39/B39)</f>
        <v/>
      </c>
      <c r="E39" s="19" t="str">
        <f aca="false">IF(A39="","",IFERROR(SUM(C$15:C39)/SUM(B$15:B39),""))</f>
        <v/>
      </c>
      <c r="G39" s="18" t="str">
        <f aca="false">IF(LISTAS!$B$22="","",LISTAS!$B$22)</f>
        <v/>
      </c>
      <c r="H39" s="18" t="str">
        <f aca="false">IF(G39="","",COUNTIFS(SEMANAL!$G$7:$G$506,G39,SEMANAL!$Y$7:$Y$506,"?*"))</f>
        <v/>
      </c>
      <c r="I39" s="18" t="str">
        <f aca="false">IF(G39="","",COUNTIFS(SEMANAL!$G$7:$G$506,G39,SEMANAL!$Y$7:$Y$506,"Sí"))</f>
        <v/>
      </c>
      <c r="J39" s="19" t="str">
        <f aca="false">IF(OR(G39="",H39=0),"",I39/H39)</f>
        <v/>
      </c>
    </row>
    <row r="40" customFormat="false" ht="15" hidden="false" customHeight="false" outlineLevel="0" collapsed="false">
      <c r="A40" s="18" t="str">
        <f aca="false">IF(A39="","",IF(A39+1&gt;MAX(SEMANAL!$B$7:$B$506),"",A39+1))</f>
        <v/>
      </c>
      <c r="B40" s="18" t="str">
        <f aca="false">IF(A40="","",COUNTIFS(SEMANAL!$B$7:$B$506,A40,SEMANAL!$Y$7:$Y$506,"?*"))</f>
        <v/>
      </c>
      <c r="C40" s="18" t="str">
        <f aca="false">IF(A40="","",COUNTIFS(SEMANAL!$B$7:$B$506,A40,SEMANAL!$Y$7:$Y$506,"Sí"))</f>
        <v/>
      </c>
      <c r="D40" s="19" t="str">
        <f aca="false">IF(OR(A40="",B40=0),"",C40/B40)</f>
        <v/>
      </c>
      <c r="E40" s="19" t="str">
        <f aca="false">IF(A40="","",IFERROR(SUM(C$15:C40)/SUM(B$15:B40),""))</f>
        <v/>
      </c>
      <c r="G40" s="18" t="str">
        <f aca="false">IF(LISTAS!$B$23="","",LISTAS!$B$23)</f>
        <v/>
      </c>
      <c r="H40" s="18" t="str">
        <f aca="false">IF(G40="","",COUNTIFS(SEMANAL!$G$7:$G$506,G40,SEMANAL!$Y$7:$Y$506,"?*"))</f>
        <v/>
      </c>
      <c r="I40" s="18" t="str">
        <f aca="false">IF(G40="","",COUNTIFS(SEMANAL!$G$7:$G$506,G40,SEMANAL!$Y$7:$Y$506,"Sí"))</f>
        <v/>
      </c>
      <c r="J40" s="19" t="str">
        <f aca="false">IF(OR(G40="",H40=0),"",I40/H40)</f>
        <v/>
      </c>
    </row>
    <row r="43" customFormat="false" ht="15" hidden="false" customHeight="false" outlineLevel="0" collapsed="false">
      <c r="Q43" s="38" t="s">
        <v>271</v>
      </c>
    </row>
    <row r="44" customFormat="false" ht="15" hidden="false" customHeight="false" outlineLevel="0" collapsed="false">
      <c r="Q44" s="41" t="str">
        <f aca="false">IF(LISTAS!$D$4="","",LISTAS!$D$4)</f>
        <v>Clima</v>
      </c>
      <c r="R44" s="41" t="n">
        <f aca="false">IF(Q44="","",COUNTIF(SEMANAL!$Z$7:$Z$506,Q44))</f>
        <v>1</v>
      </c>
      <c r="S44" s="41" t="n">
        <f aca="false">IF(Q44="",-1,R44+(100-0)/1000)</f>
        <v>1.1</v>
      </c>
    </row>
    <row r="45" customFormat="false" ht="15" hidden="false" customHeight="false" outlineLevel="0" collapsed="false">
      <c r="Q45" s="41" t="str">
        <f aca="false">IF(LISTAS!$D$5="","",LISTAS!$D$5)</f>
        <v>Falta de material</v>
      </c>
      <c r="R45" s="41" t="n">
        <f aca="false">IF(Q45="","",COUNTIF(SEMANAL!$Z$7:$Z$506,Q45))</f>
        <v>0</v>
      </c>
      <c r="S45" s="41" t="n">
        <f aca="false">IF(Q45="",-1,R45+(100-1)/1000)</f>
        <v>0.099</v>
      </c>
    </row>
    <row r="46" customFormat="false" ht="15" hidden="false" customHeight="false" outlineLevel="0" collapsed="false">
      <c r="Q46" s="41" t="str">
        <f aca="false">IF(LISTAS!$D$6="","",LISTAS!$D$6)</f>
        <v>Falta de mano de obra</v>
      </c>
      <c r="R46" s="41" t="n">
        <f aca="false">IF(Q46="","",COUNTIF(SEMANAL!$Z$7:$Z$506,Q46))</f>
        <v>1</v>
      </c>
      <c r="S46" s="41" t="n">
        <f aca="false">IF(Q46="",-1,R46+(100-2)/1000)</f>
        <v>1.098</v>
      </c>
    </row>
    <row r="47" customFormat="false" ht="15" hidden="false" customHeight="false" outlineLevel="0" collapsed="false">
      <c r="Q47" s="41" t="str">
        <f aca="false">IF(LISTAS!$D$7="","",LISTAS!$D$7)</f>
        <v>Interferencias entre cuadrillas</v>
      </c>
      <c r="R47" s="41" t="n">
        <f aca="false">IF(Q47="","",COUNTIF(SEMANAL!$Z$7:$Z$506,Q47))</f>
        <v>0</v>
      </c>
      <c r="S47" s="41" t="n">
        <f aca="false">IF(Q47="",-1,R47+(100-3)/1000)</f>
        <v>0.097</v>
      </c>
    </row>
    <row r="48" customFormat="false" ht="15" hidden="false" customHeight="false" outlineLevel="0" collapsed="false">
      <c r="Q48" s="41" t="str">
        <f aca="false">IF(LISTAS!$D$8="","",LISTAS!$D$8)</f>
        <v>Falta de equipos / maquinaria</v>
      </c>
      <c r="R48" s="41" t="n">
        <f aca="false">IF(Q48="","",COUNTIF(SEMANAL!$Z$7:$Z$506,Q48))</f>
        <v>0</v>
      </c>
      <c r="S48" s="41" t="n">
        <f aca="false">IF(Q48="",-1,R48+(100-4)/1000)</f>
        <v>0.096</v>
      </c>
    </row>
    <row r="49" customFormat="false" ht="15" hidden="false" customHeight="false" outlineLevel="0" collapsed="false">
      <c r="Q49" s="41" t="str">
        <f aca="false">IF(LISTAS!$D$9="","",LISTAS!$D$9)</f>
        <v>Actividad previa no terminada</v>
      </c>
      <c r="R49" s="41" t="n">
        <f aca="false">IF(Q49="","",COUNTIF(SEMANAL!$Z$7:$Z$506,Q49))</f>
        <v>0</v>
      </c>
      <c r="S49" s="41" t="n">
        <f aca="false">IF(Q49="",-1,R49+(100-5)/1000)</f>
        <v>0.095</v>
      </c>
    </row>
    <row r="50" customFormat="false" ht="15" hidden="false" customHeight="false" outlineLevel="0" collapsed="false">
      <c r="Q50" s="41" t="str">
        <f aca="false">IF(LISTAS!$D$10="","",LISTAS!$D$10)</f>
        <v>Cambio de prioridades</v>
      </c>
      <c r="R50" s="41" t="n">
        <f aca="false">IF(Q50="","",COUNTIF(SEMANAL!$Z$7:$Z$506,Q50))</f>
        <v>0</v>
      </c>
      <c r="S50" s="41" t="n">
        <f aca="false">IF(Q50="",-1,R50+(100-6)/1000)</f>
        <v>0.094</v>
      </c>
    </row>
    <row r="51" customFormat="false" ht="15" hidden="false" customHeight="false" outlineLevel="0" collapsed="false">
      <c r="Q51" s="41" t="str">
        <f aca="false">IF(LISTAS!$D$11="","",LISTAS!$D$11)</f>
        <v>Error de planificación</v>
      </c>
      <c r="R51" s="41" t="n">
        <f aca="false">IF(Q51="","",COUNTIF(SEMANAL!$Z$7:$Z$506,Q51))</f>
        <v>0</v>
      </c>
      <c r="S51" s="41" t="n">
        <f aca="false">IF(Q51="",-1,R51+(100-7)/1000)</f>
        <v>0.093</v>
      </c>
    </row>
    <row r="52" customFormat="false" ht="15" hidden="false" customHeight="false" outlineLevel="0" collapsed="false">
      <c r="Q52" s="41" t="str">
        <f aca="false">IF(LISTAS!$D$12="","",LISTAS!$D$12)</f>
        <v>Diseño / información incompleta</v>
      </c>
      <c r="R52" s="41" t="n">
        <f aca="false">IF(Q52="","",COUNTIF(SEMANAL!$Z$7:$Z$506,Q52))</f>
        <v>0</v>
      </c>
      <c r="S52" s="41" t="n">
        <f aca="false">IF(Q52="",-1,R52+(100-8)/1000)</f>
        <v>0.092</v>
      </c>
    </row>
    <row r="53" customFormat="false" ht="15" hidden="false" customHeight="false" outlineLevel="0" collapsed="false">
      <c r="Q53" s="41" t="str">
        <f aca="false">IF(LISTAS!$D$13="","",LISTAS!$D$13)</f>
        <v>Retrabajo / calidad</v>
      </c>
      <c r="R53" s="41" t="n">
        <f aca="false">IF(Q53="","",COUNTIF(SEMANAL!$Z$7:$Z$506,Q53))</f>
        <v>0</v>
      </c>
      <c r="S53" s="41" t="n">
        <f aca="false">IF(Q53="",-1,R53+(100-9)/1000)</f>
        <v>0.091</v>
      </c>
    </row>
    <row r="54" customFormat="false" ht="15" hidden="false" customHeight="false" outlineLevel="0" collapsed="false">
      <c r="Q54" s="41" t="str">
        <f aca="false">IF(LISTAS!$D$14="","",LISTAS!$D$14)</f>
        <v>Subcontratista no se presentó</v>
      </c>
      <c r="R54" s="41" t="n">
        <f aca="false">IF(Q54="","",COUNTIF(SEMANAL!$Z$7:$Z$506,Q54))</f>
        <v>0</v>
      </c>
      <c r="S54" s="41" t="n">
        <f aca="false">IF(Q54="",-1,R54+(100-10)/1000)</f>
        <v>0.09</v>
      </c>
    </row>
    <row r="55" customFormat="false" ht="15" hidden="false" customHeight="false" outlineLevel="0" collapsed="false">
      <c r="Q55" s="41" t="str">
        <f aca="false">IF(LISTAS!$D$15="","",LISTAS!$D$15)</f>
        <v>Permiso / inspección no aprobada</v>
      </c>
      <c r="R55" s="41" t="n">
        <f aca="false">IF(Q55="","",COUNTIF(SEMANAL!$Z$7:$Z$506,Q55))</f>
        <v>0</v>
      </c>
      <c r="S55" s="41" t="n">
        <f aca="false">IF(Q55="",-1,R55+(100-11)/1000)</f>
        <v>0.089</v>
      </c>
    </row>
    <row r="56" customFormat="false" ht="15" hidden="false" customHeight="false" outlineLevel="0" collapsed="false">
      <c r="Q56" s="41" t="str">
        <f aca="false">IF(LISTAS!$D$16="","",LISTAS!$D$16)</f>
        <v/>
      </c>
      <c r="R56" s="41" t="str">
        <f aca="false">IF(Q56="","",COUNTIF(SEMANAL!$Z$7:$Z$506,Q56))</f>
        <v/>
      </c>
      <c r="S56" s="41" t="n">
        <f aca="false">IF(Q56="",-1,R56+(100-12)/1000)</f>
        <v>-1</v>
      </c>
    </row>
    <row r="57" customFormat="false" ht="15" hidden="false" customHeight="false" outlineLevel="0" collapsed="false">
      <c r="Q57" s="41" t="str">
        <f aca="false">IF(LISTAS!$D$17="","",LISTAS!$D$17)</f>
        <v/>
      </c>
      <c r="R57" s="41" t="str">
        <f aca="false">IF(Q57="","",COUNTIF(SEMANAL!$Z$7:$Z$506,Q57))</f>
        <v/>
      </c>
      <c r="S57" s="41" t="n">
        <f aca="false">IF(Q57="",-1,R57+(100-13)/1000)</f>
        <v>-1</v>
      </c>
    </row>
    <row r="58" customFormat="false" ht="15" hidden="false" customHeight="false" outlineLevel="0" collapsed="false">
      <c r="Q58" s="41" t="str">
        <f aca="false">IF(LISTAS!$D$18="","",LISTAS!$D$18)</f>
        <v/>
      </c>
      <c r="R58" s="41" t="str">
        <f aca="false">IF(Q58="","",COUNTIF(SEMANAL!$Z$7:$Z$506,Q58))</f>
        <v/>
      </c>
      <c r="S58" s="41" t="n">
        <f aca="false">IF(Q58="",-1,R58+(100-14)/1000)</f>
        <v>-1</v>
      </c>
    </row>
    <row r="59" customFormat="false" ht="15" hidden="false" customHeight="false" outlineLevel="0" collapsed="false">
      <c r="Q59" s="41" t="str">
        <f aca="false">IF(LISTAS!$D$19="","",LISTAS!$D$19)</f>
        <v/>
      </c>
      <c r="R59" s="41" t="str">
        <f aca="false">IF(Q59="","",COUNTIF(SEMANAL!$Z$7:$Z$506,Q59))</f>
        <v/>
      </c>
      <c r="S59" s="41" t="n">
        <f aca="false">IF(Q59="",-1,R59+(100-15)/1000)</f>
        <v>-1</v>
      </c>
    </row>
    <row r="60" customFormat="false" ht="15" hidden="false" customHeight="false" outlineLevel="0" collapsed="false">
      <c r="Q60" s="41" t="str">
        <f aca="false">IF(LISTAS!$D$20="","",LISTAS!$D$20)</f>
        <v/>
      </c>
      <c r="R60" s="41" t="str">
        <f aca="false">IF(Q60="","",COUNTIF(SEMANAL!$Z$7:$Z$506,Q60))</f>
        <v/>
      </c>
      <c r="S60" s="41" t="n">
        <f aca="false">IF(Q60="",-1,R60+(100-16)/1000)</f>
        <v>-1</v>
      </c>
    </row>
    <row r="61" customFormat="false" ht="15" hidden="false" customHeight="false" outlineLevel="0" collapsed="false">
      <c r="Q61" s="41" t="str">
        <f aca="false">IF(LISTAS!$D$21="","",LISTAS!$D$21)</f>
        <v/>
      </c>
      <c r="R61" s="41" t="str">
        <f aca="false">IF(Q61="","",COUNTIF(SEMANAL!$Z$7:$Z$506,Q61))</f>
        <v/>
      </c>
      <c r="S61" s="41" t="n">
        <f aca="false">IF(Q61="",-1,R61+(100-17)/1000)</f>
        <v>-1</v>
      </c>
    </row>
    <row r="62" customFormat="false" ht="15" hidden="false" customHeight="false" outlineLevel="0" collapsed="false">
      <c r="Q62" s="41" t="str">
        <f aca="false">IF(LISTAS!$D$22="","",LISTAS!$D$22)</f>
        <v/>
      </c>
      <c r="R62" s="41" t="str">
        <f aca="false">IF(Q62="","",COUNTIF(SEMANAL!$Z$7:$Z$506,Q62))</f>
        <v/>
      </c>
      <c r="S62" s="41" t="n">
        <f aca="false">IF(Q62="",-1,R62+(100-18)/1000)</f>
        <v>-1</v>
      </c>
    </row>
    <row r="63" customFormat="false" ht="15" hidden="false" customHeight="false" outlineLevel="0" collapsed="false">
      <c r="Q63" s="41" t="str">
        <f aca="false">IF(LISTAS!$D$23="","",LISTAS!$D$23)</f>
        <v/>
      </c>
      <c r="R63" s="41" t="str">
        <f aca="false">IF(Q63="","",COUNTIF(SEMANAL!$Z$7:$Z$506,Q63))</f>
        <v/>
      </c>
      <c r="S63" s="41" t="n">
        <f aca="false">IF(Q63="",-1,R63+(100-19)/1000)</f>
        <v>-1</v>
      </c>
    </row>
    <row r="64" customFormat="false" ht="15" hidden="false" customHeight="false" outlineLevel="0" collapsed="false">
      <c r="Q64" s="41" t="str">
        <f aca="false">IF(LISTAS!$D$24="","",LISTAS!$D$24)</f>
        <v/>
      </c>
      <c r="R64" s="41" t="str">
        <f aca="false">IF(Q64="","",COUNTIF(SEMANAL!$Z$7:$Z$506,Q64))</f>
        <v/>
      </c>
      <c r="S64" s="41" t="n">
        <f aca="false">IF(Q64="",-1,R64+(100-20)/1000)</f>
        <v>-1</v>
      </c>
    </row>
    <row r="65" customFormat="false" ht="15" hidden="false" customHeight="false" outlineLevel="0" collapsed="false">
      <c r="Q65" s="41" t="str">
        <f aca="false">IF(LISTAS!$D$25="","",LISTAS!$D$25)</f>
        <v/>
      </c>
      <c r="R65" s="41" t="str">
        <f aca="false">IF(Q65="","",COUNTIF(SEMANAL!$Z$7:$Z$506,Q65))</f>
        <v/>
      </c>
      <c r="S65" s="41" t="n">
        <f aca="false">IF(Q65="",-1,R65+(100-21)/1000)</f>
        <v>-1</v>
      </c>
    </row>
    <row r="66" customFormat="false" ht="15" hidden="false" customHeight="false" outlineLevel="0" collapsed="false">
      <c r="Q66" s="41" t="str">
        <f aca="false">IF(LISTAS!$D$26="","",LISTAS!$D$26)</f>
        <v/>
      </c>
      <c r="R66" s="41" t="str">
        <f aca="false">IF(Q66="","",COUNTIF(SEMANAL!$Z$7:$Z$506,Q66))</f>
        <v/>
      </c>
      <c r="S66" s="41" t="n">
        <f aca="false">IF(Q66="",-1,R66+(100-22)/1000)</f>
        <v>-1</v>
      </c>
    </row>
    <row r="67" customFormat="false" ht="15" hidden="false" customHeight="false" outlineLevel="0" collapsed="false">
      <c r="Q67" s="41" t="str">
        <f aca="false">IF(LISTAS!$D$27="","",LISTAS!$D$27)</f>
        <v/>
      </c>
      <c r="R67" s="41" t="str">
        <f aca="false">IF(Q67="","",COUNTIF(SEMANAL!$Z$7:$Z$506,Q67))</f>
        <v/>
      </c>
      <c r="S67" s="41" t="n">
        <f aca="false">IF(Q67="",-1,R67+(100-23)/1000)</f>
        <v>-1</v>
      </c>
    </row>
    <row r="68" customFormat="false" ht="15" hidden="false" customHeight="false" outlineLevel="0" collapsed="false">
      <c r="Q68" s="41" t="str">
        <f aca="false">IF(LISTAS!$D$28="","",LISTAS!$D$28)</f>
        <v/>
      </c>
      <c r="R68" s="41" t="str">
        <f aca="false">IF(Q68="","",COUNTIF(SEMANAL!$Z$7:$Z$506,Q68))</f>
        <v/>
      </c>
      <c r="S68" s="41" t="n">
        <f aca="false">IF(Q68="",-1,R68+(100-24)/1000)</f>
        <v>-1</v>
      </c>
    </row>
    <row r="69" customFormat="false" ht="15" hidden="false" customHeight="false" outlineLevel="0" collapsed="false">
      <c r="Q69" s="41" t="str">
        <f aca="false">IF(LISTAS!$D$29="","",LISTAS!$D$29)</f>
        <v/>
      </c>
      <c r="R69" s="41" t="str">
        <f aca="false">IF(Q69="","",COUNTIF(SEMANAL!$Z$7:$Z$506,Q69))</f>
        <v/>
      </c>
      <c r="S69" s="41" t="n">
        <f aca="false">IF(Q69="",-1,R69+(100-25)/1000)</f>
        <v>-1</v>
      </c>
    </row>
    <row r="70" customFormat="false" ht="15" hidden="false" customHeight="false" outlineLevel="0" collapsed="false">
      <c r="Q70" s="41" t="str">
        <f aca="false">IF(LISTAS!$D$30="","",LISTAS!$D$30)</f>
        <v/>
      </c>
      <c r="R70" s="41" t="str">
        <f aca="false">IF(Q70="","",COUNTIF(SEMANAL!$Z$7:$Z$506,Q70))</f>
        <v/>
      </c>
      <c r="S70" s="41" t="n">
        <f aca="false">IF(Q70="",-1,R70+(100-26)/1000)</f>
        <v>-1</v>
      </c>
    </row>
    <row r="71" customFormat="false" ht="15" hidden="false" customHeight="false" outlineLevel="0" collapsed="false">
      <c r="Q71" s="41" t="str">
        <f aca="false">IF(LISTAS!$D$31="","",LISTAS!$D$31)</f>
        <v/>
      </c>
      <c r="R71" s="41" t="str">
        <f aca="false">IF(Q71="","",COUNTIF(SEMANAL!$Z$7:$Z$506,Q71))</f>
        <v/>
      </c>
      <c r="S71" s="41" t="n">
        <f aca="false">IF(Q71="",-1,R71+(100-27)/1000)</f>
        <v>-1</v>
      </c>
    </row>
    <row r="72" customFormat="false" ht="15" hidden="false" customHeight="false" outlineLevel="0" collapsed="false">
      <c r="Q72" s="41" t="str">
        <f aca="false">IF(LISTAS!$D$32="","",LISTAS!$D$32)</f>
        <v/>
      </c>
      <c r="R72" s="41" t="str">
        <f aca="false">IF(Q72="","",COUNTIF(SEMANAL!$Z$7:$Z$506,Q72))</f>
        <v/>
      </c>
      <c r="S72" s="41" t="n">
        <f aca="false">IF(Q72="",-1,R72+(100-28)/1000)</f>
        <v>-1</v>
      </c>
    </row>
    <row r="73" customFormat="false" ht="15" hidden="false" customHeight="false" outlineLevel="0" collapsed="false">
      <c r="Q73" s="41" t="str">
        <f aca="false">IF(LISTAS!$D$33="","",LISTAS!$D$33)</f>
        <v/>
      </c>
      <c r="R73" s="41" t="str">
        <f aca="false">IF(Q73="","",COUNTIF(SEMANAL!$Z$7:$Z$506,Q73))</f>
        <v/>
      </c>
      <c r="S73" s="41" t="n">
        <f aca="false">IF(Q73="",-1,R73+(100-29)/1000)</f>
        <v>-1</v>
      </c>
    </row>
    <row r="74" customFormat="false" ht="15" hidden="false" customHeight="false" outlineLevel="0" collapsed="false">
      <c r="Q74" s="41" t="str">
        <f aca="false">IF(LISTAS!$D$34="","",LISTAS!$D$34)</f>
        <v/>
      </c>
      <c r="R74" s="41" t="str">
        <f aca="false">IF(Q74="","",COUNTIF(SEMANAL!$Z$7:$Z$506,Q74))</f>
        <v/>
      </c>
      <c r="S74" s="41" t="n">
        <f aca="false">IF(Q74="",-1,R74+(100-30)/1000)</f>
        <v>-1</v>
      </c>
    </row>
    <row r="75" customFormat="false" ht="15" hidden="false" customHeight="false" outlineLevel="0" collapsed="false">
      <c r="Q75" s="41" t="str">
        <f aca="false">IF(LISTAS!$D$35="","",LISTAS!$D$35)</f>
        <v/>
      </c>
      <c r="R75" s="41" t="str">
        <f aca="false">IF(Q75="","",COUNTIF(SEMANAL!$Z$7:$Z$506,Q75))</f>
        <v/>
      </c>
      <c r="S75" s="41" t="n">
        <f aca="false">IF(Q75="",-1,R75+(100-31)/1000)</f>
        <v>-1</v>
      </c>
    </row>
    <row r="76" customFormat="false" ht="15" hidden="false" customHeight="false" outlineLevel="0" collapsed="false">
      <c r="Q76" s="41" t="str">
        <f aca="false">IF(LISTAS!$D$36="","",LISTAS!$D$36)</f>
        <v/>
      </c>
      <c r="R76" s="41" t="str">
        <f aca="false">IF(Q76="","",COUNTIF(SEMANAL!$Z$7:$Z$506,Q76))</f>
        <v/>
      </c>
      <c r="S76" s="41" t="n">
        <f aca="false">IF(Q76="",-1,R76+(100-32)/1000)</f>
        <v>-1</v>
      </c>
    </row>
    <row r="77" customFormat="false" ht="15" hidden="false" customHeight="false" outlineLevel="0" collapsed="false">
      <c r="Q77" s="41" t="str">
        <f aca="false">IF(LISTAS!$D$37="","",LISTAS!$D$37)</f>
        <v/>
      </c>
      <c r="R77" s="41" t="str">
        <f aca="false">IF(Q77="","",COUNTIF(SEMANAL!$Z$7:$Z$506,Q77))</f>
        <v/>
      </c>
      <c r="S77" s="41" t="n">
        <f aca="false">IF(Q77="",-1,R77+(100-33)/1000)</f>
        <v>-1</v>
      </c>
    </row>
    <row r="78" customFormat="false" ht="15" hidden="false" customHeight="false" outlineLevel="0" collapsed="false">
      <c r="Q78" s="41" t="str">
        <f aca="false">IF(LISTAS!$D$38="","",LISTAS!$D$38)</f>
        <v/>
      </c>
      <c r="R78" s="41" t="str">
        <f aca="false">IF(Q78="","",COUNTIF(SEMANAL!$Z$7:$Z$506,Q78))</f>
        <v/>
      </c>
      <c r="S78" s="41" t="n">
        <f aca="false">IF(Q78="",-1,R78+(100-34)/1000)</f>
        <v>-1</v>
      </c>
    </row>
    <row r="79" customFormat="false" ht="15" hidden="false" customHeight="false" outlineLevel="0" collapsed="false">
      <c r="Q79" s="41" t="str">
        <f aca="false">IF(LISTAS!$D$39="","",LISTAS!$D$39)</f>
        <v/>
      </c>
      <c r="R79" s="41" t="str">
        <f aca="false">IF(Q79="","",COUNTIF(SEMANAL!$Z$7:$Z$506,Q79))</f>
        <v/>
      </c>
      <c r="S79" s="41" t="n">
        <f aca="false">IF(Q79="",-1,R79+(100-35)/1000)</f>
        <v>-1</v>
      </c>
    </row>
    <row r="80" customFormat="false" ht="15" hidden="false" customHeight="false" outlineLevel="0" collapsed="false">
      <c r="Q80" s="41" t="str">
        <f aca="false">IF(LISTAS!$D$40="","",LISTAS!$D$40)</f>
        <v/>
      </c>
      <c r="R80" s="41" t="str">
        <f aca="false">IF(Q80="","",COUNTIF(SEMANAL!$Z$7:$Z$506,Q80))</f>
        <v/>
      </c>
      <c r="S80" s="41" t="n">
        <f aca="false">IF(Q80="",-1,R80+(100-36)/1000)</f>
        <v>-1</v>
      </c>
    </row>
    <row r="81" customFormat="false" ht="15" hidden="false" customHeight="false" outlineLevel="0" collapsed="false">
      <c r="Q81" s="41" t="str">
        <f aca="false">IF(LISTAS!$D$41="","",LISTAS!$D$41)</f>
        <v/>
      </c>
      <c r="R81" s="41" t="str">
        <f aca="false">IF(Q81="","",COUNTIF(SEMANAL!$Z$7:$Z$506,Q81))</f>
        <v/>
      </c>
      <c r="S81" s="41" t="n">
        <f aca="false">IF(Q81="",-1,R81+(100-37)/1000)</f>
        <v>-1</v>
      </c>
    </row>
  </sheetData>
  <conditionalFormatting sqref="B5">
    <cfRule type="expression" priority="2" aboveAverage="0" equalAverage="0" bottom="0" percent="0" rank="0" text="" dxfId="0">
      <formula>AND(B5&lt;&gt;"",B5&gt;=$B$4)</formula>
    </cfRule>
    <cfRule type="expression" priority="3" aboveAverage="0" equalAverage="0" bottom="0" percent="0" rank="0" text="" dxfId="2">
      <formula>AND(B5&lt;&gt;"",B5&lt;$B$4)</formula>
    </cfRule>
  </conditionalFormatting>
  <conditionalFormatting sqref="B6">
    <cfRule type="expression" priority="4" aboveAverage="0" equalAverage="0" bottom="0" percent="0" rank="0" text="" dxfId="0">
      <formula>AND(B6&lt;&gt;"",B6&gt;=$B$4)</formula>
    </cfRule>
    <cfRule type="expression" priority="5" aboveAverage="0" equalAverage="0" bottom="0" percent="0" rank="0" text="" dxfId="2">
      <formula>AND(B6&lt;&gt;"",B6&lt;$B$4)</formula>
    </cfRule>
  </conditionalFormatting>
  <conditionalFormatting sqref="D15:D40">
    <cfRule type="expression" priority="6" aboveAverage="0" equalAverage="0" bottom="0" percent="0" rank="0" text="" dxfId="0">
      <formula>AND(D15&lt;&gt;"",D15&gt;=$B$4)</formula>
    </cfRule>
    <cfRule type="expression" priority="7" aboveAverage="0" equalAverage="0" bottom="0" percent="0" rank="0" text="" dxfId="2">
      <formula>AND(D15&lt;&gt;"",D15&lt;$B$4)</formula>
    </cfRule>
  </conditionalFormatting>
  <conditionalFormatting sqref="J21:J40">
    <cfRule type="expression" priority="8" aboveAverage="0" equalAverage="0" bottom="0" percent="0" rank="0" text="" dxfId="0">
      <formula>AND(J21&lt;&gt;"",J21&gt;=$B$4)</formula>
    </cfRule>
    <cfRule type="expression" priority="9" aboveAverage="0" equalAverage="0" bottom="0" percent="0" rank="0" text="" dxfId="2">
      <formula>AND(J21&lt;&gt;"",J21&lt;$B$4)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2026-10-09T22:18:25Z</dcterms:created>
  <dc:creator>openpyxl</dc:creator>
  <dc:description/>
  <dc:language>en-US</dc:language>
  <cp:lastModifiedBy/>
  <dcterms:modified xsi:type="dcterms:W3CDTF">2026-10-09T22:18:28Z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