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" sheetId="1" state="visible" r:id="rId3"/>
    <sheet name="Resumen" sheetId="2" state="visible" r:id="rId4"/>
    <sheet name="Lista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Hipervínculo relativo a la imagen exportada por Navisworks (misma carpeta que este archivo).</t>
        </r>
      </text>
    </comment>
    <comment ref="M4" authorId="0">
      <text>
        <r>
          <rPr>
            <sz val="10"/>
            <rFont val="Arial"/>
            <family val="2"/>
          </rPr>
          <t xml:space="preserve">Valor negativo = penetración reportada por Navisworks.</t>
        </r>
      </text>
    </comment>
    <comment ref="S4" authorId="0">
      <text>
        <r>
          <rPr>
            <sz val="10"/>
            <rFont val="Arial"/>
            <family val="2"/>
          </rPr>
          <t xml:space="preserve">Fórmula: Fecha cierre (o hoy si sigue abierta) – Fecha detección.</t>
        </r>
      </text>
    </comment>
  </commentList>
</comments>
</file>

<file path=xl/sharedStrings.xml><?xml version="1.0" encoding="utf-8"?>
<sst xmlns="http://schemas.openxmlformats.org/spreadsheetml/2006/main" count="166" uniqueCount="150">
  <si>
    <t xml:space="preserve">REPORTE DE DETECCIÓN DE INTERFERENCIAS – NAVISWORKS</t>
  </si>
  <si>
    <t xml:space="preserve">Proyecto:</t>
  </si>
  <si>
    <t xml:space="preserve">Edificio Ejemplo</t>
  </si>
  <si>
    <t xml:space="preserve">Modelo federado:</t>
  </si>
  <si>
    <t xml:space="preserve">Modelo_Federado.nwd</t>
  </si>
  <si>
    <t xml:space="preserve">Revisión:</t>
  </si>
  <si>
    <t xml:space="preserve">R01</t>
  </si>
  <si>
    <t xml:space="preserve">Fecha reporte:</t>
  </si>
  <si>
    <t xml:space="preserve">Hoy:</t>
  </si>
  <si>
    <t xml:space="preserve">N°</t>
  </si>
  <si>
    <t xml:space="preserve">ID Interferencia</t>
  </si>
  <si>
    <t xml:space="preserve">Imagen</t>
  </si>
  <si>
    <t xml:space="preserve">Prueba (Clash Test)</t>
  </si>
  <si>
    <t xml:space="preserve">Fecha detección</t>
  </si>
  <si>
    <t xml:space="preserve">Disciplina A</t>
  </si>
  <si>
    <t xml:space="preserve">Elemento A</t>
  </si>
  <si>
    <t xml:space="preserve">Disciplina B</t>
  </si>
  <si>
    <t xml:space="preserve">Elemento B</t>
  </si>
  <si>
    <t xml:space="preserve">Nivel</t>
  </si>
  <si>
    <t xml:space="preserve">Eje / Ubicación</t>
  </si>
  <si>
    <t xml:space="preserve">Tipo</t>
  </si>
  <si>
    <t xml:space="preserve">Distancia (m)</t>
  </si>
  <si>
    <t xml:space="preserve">Estado</t>
  </si>
  <si>
    <t xml:space="preserve">Prioridad</t>
  </si>
  <si>
    <t xml:space="preserve">Responsable</t>
  </si>
  <si>
    <t xml:space="preserve">Fecha compromiso</t>
  </si>
  <si>
    <t xml:space="preserve">Fecha cierre</t>
  </si>
  <si>
    <t xml:space="preserve">Días abiertos</t>
  </si>
  <si>
    <t xml:space="preserve">Solución propuesta / Observaciones</t>
  </si>
  <si>
    <t xml:space="preserve">Clash1</t>
  </si>
  <si>
    <t xml:space="preserve">Estructura vs MEP</t>
  </si>
  <si>
    <t xml:space="preserve">Estructura</t>
  </si>
  <si>
    <t xml:space="preserve">Viga V-12 30x60</t>
  </si>
  <si>
    <t xml:space="preserve">Sanitaria</t>
  </si>
  <si>
    <t xml:space="preserve">Tubería PVC Ø110</t>
  </si>
  <si>
    <t xml:space="preserve">Piso 2</t>
  </si>
  <si>
    <t xml:space="preserve">C-4</t>
  </si>
  <si>
    <t xml:space="preserve">Dura</t>
  </si>
  <si>
    <t xml:space="preserve">Activo</t>
  </si>
  <si>
    <t xml:space="preserve">Alta</t>
  </si>
  <si>
    <t xml:space="preserve">Especialidades MEP</t>
  </si>
  <si>
    <t xml:space="preserve">Desviar tubería bajo viga o pasada con manguito (ejemplo)</t>
  </si>
  <si>
    <t xml:space="preserve">Clash2</t>
  </si>
  <si>
    <t xml:space="preserve">Clash3</t>
  </si>
  <si>
    <t xml:space="preserve">Clash4</t>
  </si>
  <si>
    <t xml:space="preserve">Clash5</t>
  </si>
  <si>
    <t xml:space="preserve">Clash6</t>
  </si>
  <si>
    <t xml:space="preserve">Clash7</t>
  </si>
  <si>
    <t xml:space="preserve">Clash8</t>
  </si>
  <si>
    <t xml:space="preserve">Clash9</t>
  </si>
  <si>
    <t xml:space="preserve">Clash10</t>
  </si>
  <si>
    <t xml:space="preserve">Clash11</t>
  </si>
  <si>
    <t xml:space="preserve">Clash12</t>
  </si>
  <si>
    <t xml:space="preserve">Clash13</t>
  </si>
  <si>
    <t xml:space="preserve">Clash14</t>
  </si>
  <si>
    <t xml:space="preserve">Clash15</t>
  </si>
  <si>
    <t xml:space="preserve">Clash16</t>
  </si>
  <si>
    <t xml:space="preserve">Clash17</t>
  </si>
  <si>
    <t xml:space="preserve">Clash18</t>
  </si>
  <si>
    <t xml:space="preserve">Clash19</t>
  </si>
  <si>
    <t xml:space="preserve">Clash20</t>
  </si>
  <si>
    <t xml:space="preserve">Clash21</t>
  </si>
  <si>
    <t xml:space="preserve">Clash22</t>
  </si>
  <si>
    <t xml:space="preserve">Clash23</t>
  </si>
  <si>
    <t xml:space="preserve">Clash24</t>
  </si>
  <si>
    <t xml:space="preserve">Clash25</t>
  </si>
  <si>
    <t xml:space="preserve">Clash26</t>
  </si>
  <si>
    <t xml:space="preserve">Clash27</t>
  </si>
  <si>
    <t xml:space="preserve">Clash28</t>
  </si>
  <si>
    <t xml:space="preserve">Clash29</t>
  </si>
  <si>
    <t xml:space="preserve">Clash30</t>
  </si>
  <si>
    <t xml:space="preserve">Clash31</t>
  </si>
  <si>
    <t xml:space="preserve">Clash32</t>
  </si>
  <si>
    <t xml:space="preserve">Clash33</t>
  </si>
  <si>
    <t xml:space="preserve">Clash34</t>
  </si>
  <si>
    <t xml:space="preserve">Clash35</t>
  </si>
  <si>
    <t xml:space="preserve">Clash36</t>
  </si>
  <si>
    <t xml:space="preserve">Clash37</t>
  </si>
  <si>
    <t xml:space="preserve">Clash38</t>
  </si>
  <si>
    <t xml:space="preserve">Clash39</t>
  </si>
  <si>
    <t xml:space="preserve">Clash40</t>
  </si>
  <si>
    <t xml:space="preserve">Clash41</t>
  </si>
  <si>
    <t xml:space="preserve">Clash42</t>
  </si>
  <si>
    <t xml:space="preserve">Clash43</t>
  </si>
  <si>
    <t xml:space="preserve">Clash44</t>
  </si>
  <si>
    <t xml:space="preserve">Clash45</t>
  </si>
  <si>
    <t xml:space="preserve">Clash46</t>
  </si>
  <si>
    <t xml:space="preserve">Clash47</t>
  </si>
  <si>
    <t xml:space="preserve">Clash48</t>
  </si>
  <si>
    <t xml:space="preserve">Clash49</t>
  </si>
  <si>
    <t xml:space="preserve">Clash50</t>
  </si>
  <si>
    <t xml:space="preserve">Clash51</t>
  </si>
  <si>
    <t xml:space="preserve">Clash52</t>
  </si>
  <si>
    <t xml:space="preserve">Clash53</t>
  </si>
  <si>
    <t xml:space="preserve">Clash54</t>
  </si>
  <si>
    <t xml:space="preserve">Clash55</t>
  </si>
  <si>
    <t xml:space="preserve">Clash56</t>
  </si>
  <si>
    <t xml:space="preserve">Clash57</t>
  </si>
  <si>
    <t xml:space="preserve">Clash58</t>
  </si>
  <si>
    <t xml:space="preserve">Clash59</t>
  </si>
  <si>
    <t xml:space="preserve">Clash60</t>
  </si>
  <si>
    <t xml:space="preserve">Clash61</t>
  </si>
  <si>
    <t xml:space="preserve">Clash62</t>
  </si>
  <si>
    <t xml:space="preserve">RESUMEN DE INTERFERENCIAS</t>
  </si>
  <si>
    <t xml:space="preserve">Total registradas</t>
  </si>
  <si>
    <t xml:space="preserve">Total = filas con ID; Pendientes = con estado asignado y no resueltas.</t>
  </si>
  <si>
    <t xml:space="preserve">Con estado asignado</t>
  </si>
  <si>
    <t xml:space="preserve">Resueltas</t>
  </si>
  <si>
    <t xml:space="preserve">Pendientes</t>
  </si>
  <si>
    <t xml:space="preserve">% avance</t>
  </si>
  <si>
    <t xml:space="preserve">Vencidas</t>
  </si>
  <si>
    <t xml:space="preserve">Por estado</t>
  </si>
  <si>
    <t xml:space="preserve">Cantidad</t>
  </si>
  <si>
    <t xml:space="preserve">Por prioridad</t>
  </si>
  <si>
    <t xml:space="preserve">Disciplina A \ B</t>
  </si>
  <si>
    <t xml:space="preserve">Por nivel</t>
  </si>
  <si>
    <t xml:space="preserve">Total</t>
  </si>
  <si>
    <t xml:space="preserve">Disciplina</t>
  </si>
  <si>
    <t xml:space="preserve">Edite o agregue valores en las celdas azules; los desplegables del Registro toman hasta la fila 30.</t>
  </si>
  <si>
    <t xml:space="preserve">Arquitectura</t>
  </si>
  <si>
    <t xml:space="preserve">Nuevo</t>
  </si>
  <si>
    <t xml:space="preserve">Subterráneo 2</t>
  </si>
  <si>
    <t xml:space="preserve">Coordinador BIM</t>
  </si>
  <si>
    <t xml:space="preserve">Holgura</t>
  </si>
  <si>
    <t xml:space="preserve">Media</t>
  </si>
  <si>
    <t xml:space="preserve">Subterráneo 1</t>
  </si>
  <si>
    <t xml:space="preserve">Duplicado</t>
  </si>
  <si>
    <t xml:space="preserve">Revisado</t>
  </si>
  <si>
    <t xml:space="preserve">Baja</t>
  </si>
  <si>
    <t xml:space="preserve">Piso 1</t>
  </si>
  <si>
    <t xml:space="preserve">Eléctrica</t>
  </si>
  <si>
    <t xml:space="preserve">Aprobado</t>
  </si>
  <si>
    <t xml:space="preserve">HVAC</t>
  </si>
  <si>
    <t xml:space="preserve">Resuelto</t>
  </si>
  <si>
    <t xml:space="preserve">Piso 3</t>
  </si>
  <si>
    <t xml:space="preserve">Contra Incendio</t>
  </si>
  <si>
    <t xml:space="preserve">Piso 4</t>
  </si>
  <si>
    <t xml:space="preserve">Gas</t>
  </si>
  <si>
    <t xml:space="preserve">Cubierta</t>
  </si>
  <si>
    <t xml:space="preserve">Corrientes Débiles</t>
  </si>
  <si>
    <t xml:space="preserve">INSTRUCCIONES DE USO</t>
  </si>
  <si>
    <t xml:space="preserve">1. Hoja Registro: una fila por interferencia detectada en Navisworks (Clash Detective).</t>
  </si>
  <si>
    <t xml:space="preserve">2. Celdas con texto AZUL son de ingreso manual; texto NEGRO son fórmulas (no editar). Celdas amarillas = datos del proyecto.</t>
  </si>
  <si>
    <t xml:space="preserve">3. Columnas Disciplina, Nivel, Tipo, Estado, Prioridad y Responsable usan listas desplegables definidas en la hoja Listas.</t>
  </si>
  <si>
    <t xml:space="preserve">4. Columna Imagen: hipervínculo a cdXXXXXX.jpg (imágenes exportadas por Navisworks); el .xlsx debe estar en la misma carpeta.</t>
  </si>
  <si>
    <t xml:space="preserve">5. La fila 1 (Clash1) es un EJEMPLO con valores ficticios: reemplácela con datos reales.</t>
  </si>
  <si>
    <t xml:space="preserve">6. Días abiertos se calcula automáticamente; Fecha compromiso se marca en rojo si está vencida y no está Resuelta.</t>
  </si>
  <si>
    <t xml:space="preserve">7. Hoja Resumen: indicadores, conteos por estado/prioridad/nivel, matriz Disciplina A vs B y gráficos (todo con fórmulas).</t>
  </si>
  <si>
    <t xml:space="preserve">8. Para agregar más filas, extienda la tabla desde la esquina inferior derecha; amplíe los rangos del Resumen si supera la fila 66.</t>
  </si>
  <si>
    <t xml:space="preserve">Flujo de estados sugerido (Navisworks): Nuevo → Activo → Revisado → Aprobado → Resuelto.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</si>
</sst>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yy"/>
    <numFmt numFmtId="166" formatCode="0.000"/>
    <numFmt numFmtId="167" formatCode="0"/>
    <numFmt numFmtId="168" formatCode="General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D9D2E9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9D9D9"/>
      <rgbColor rgb="FF660066"/>
      <rgbColor rgb="FFFF8080"/>
      <rgbColor rgb="FF0563C1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BDD7EE"/>
      <rgbColor rgb="FFFF9999"/>
      <rgbColor rgb="FFCC99FF"/>
      <rgbColor rgb="FFF8CBAD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Interferencias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Resumen!B11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Resumen!$A$12:$A$16</c:f>
              <c:strCache>
                <c:ptCount val="5"/>
                <c:pt idx="0">
                  <c:v>Nuevo</c:v>
                </c:pt>
                <c:pt idx="1">
                  <c:v>Activo</c:v>
                </c:pt>
                <c:pt idx="2">
                  <c:v>Revisado</c:v>
                </c:pt>
                <c:pt idx="3">
                  <c:v>Aprobado</c:v>
                </c:pt>
                <c:pt idx="4">
                  <c:v>Resuelto</c:v>
                </c:pt>
              </c:strCache>
            </c:strRef>
          </c:cat>
          <c:val>
            <c:numRef>
              <c:f>Resumen!$B$12:$B$16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6711269"/>
        <c:axId val="34994873"/>
      </c:barChart>
      <c:catAx>
        <c:axId val="567112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94873"/>
        <c:crosses val="autoZero"/>
        <c:auto val="1"/>
        <c:lblAlgn val="ctr"/>
        <c:lblOffset val="100"/>
        <c:noMultiLvlLbl val="0"/>
      </c:catAx>
      <c:valAx>
        <c:axId val="349948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112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 prioridad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Resumen!B18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Resumen!$A$19:$A$21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Resumen!$B$19:$B$21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8</xdr:col>
      <xdr:colOff>98280</xdr:colOff>
      <xdr:row>15</xdr:row>
      <xdr:rowOff>13320</xdr:rowOff>
    </xdr:to>
    <xdr:graphicFrame>
      <xdr:nvGraphicFramePr>
        <xdr:cNvPr id="0" name="Chart 1"/>
        <xdr:cNvGraphicFramePr/>
      </xdr:nvGraphicFramePr>
      <xdr:xfrm>
        <a:off x="3383280" y="3808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15</xdr:col>
      <xdr:colOff>181800</xdr:colOff>
      <xdr:row>15</xdr:row>
      <xdr:rowOff>13320</xdr:rowOff>
    </xdr:to>
    <xdr:graphicFrame>
      <xdr:nvGraphicFramePr>
        <xdr:cNvPr id="1" name="Chart 2"/>
        <xdr:cNvGraphicFramePr/>
      </xdr:nvGraphicFramePr>
      <xdr:xfrm>
        <a:off x="9492480" y="38088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Interferencias" displayName="TablaInterferencias" ref="A4:T66" headerRowCount="1" totalsRowCount="0" totalsRowShown="0">
  <autoFilter ref="A4:T66"/>
  <tableColumns count="20">
    <tableColumn id="1" name="N°"/>
    <tableColumn id="2" name="ID Interferencia"/>
    <tableColumn id="3" name="Imagen"/>
    <tableColumn id="4" name="Prueba (Clash Test)"/>
    <tableColumn id="5" name="Fecha detección"/>
    <tableColumn id="6" name="Disciplina A"/>
    <tableColumn id="7" name="Elemento A"/>
    <tableColumn id="8" name="Disciplina B"/>
    <tableColumn id="9" name="Elemento B"/>
    <tableColumn id="10" name="Nivel"/>
    <tableColumn id="11" name="Eje / Ubicación"/>
    <tableColumn id="12" name="Tipo"/>
    <tableColumn id="13" name="Distancia (m)"/>
    <tableColumn id="14" name="Estado"/>
    <tableColumn id="15" name="Prioridad"/>
    <tableColumn id="16" name="Responsable"/>
    <tableColumn id="17" name="Fecha compromiso"/>
    <tableColumn id="18" name="Fecha cierre"/>
    <tableColumn id="19" name="Días abiertos"/>
    <tableColumn id="20" name="Solución propuesta / 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1" min="10" style="0" width="14"/>
    <col collapsed="false" customWidth="true" hidden="false" outlineLevel="0" max="14" min="12" style="0" width="11"/>
    <col collapsed="false" customWidth="true" hidden="false" outlineLevel="0" max="15" min="15" style="0" width="10"/>
    <col collapsed="false" customWidth="true" hidden="false" outlineLevel="0" max="16" min="16" style="0" width="18"/>
    <col collapsed="false" customWidth="true" hidden="false" outlineLevel="0" max="18" min="17" style="0" width="13"/>
    <col collapsed="false" customWidth="true" hidden="false" outlineLevel="0" max="19" min="19" style="0" width="10"/>
    <col collapsed="false" customWidth="true" hidden="false" outlineLevel="0" max="20" min="20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s">
        <v>2</v>
      </c>
      <c r="F2" s="2" t="s">
        <v>3</v>
      </c>
      <c r="H2" s="3" t="s">
        <v>4</v>
      </c>
      <c r="K2" s="2" t="s">
        <v>5</v>
      </c>
      <c r="M2" s="3" t="s">
        <v>6</v>
      </c>
      <c r="P2" s="2" t="s">
        <v>7</v>
      </c>
      <c r="R2" s="4" t="s">
        <v>8</v>
      </c>
      <c r="S2" s="5" t="n">
        <f aca="true">TODAY()</f>
        <v>46304</v>
      </c>
    </row>
    <row r="4" customFormat="false" ht="31.5" hidden="false" customHeight="true" outlineLevel="0" collapsed="false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  <c r="M4" s="6" t="s">
        <v>21</v>
      </c>
      <c r="N4" s="6" t="s">
        <v>22</v>
      </c>
      <c r="O4" s="6" t="s">
        <v>23</v>
      </c>
      <c r="P4" s="6" t="s">
        <v>24</v>
      </c>
      <c r="Q4" s="6" t="s">
        <v>25</v>
      </c>
      <c r="R4" s="6" t="s">
        <v>26</v>
      </c>
      <c r="S4" s="6" t="s">
        <v>27</v>
      </c>
      <c r="T4" s="6" t="s">
        <v>28</v>
      </c>
    </row>
    <row r="5" customFormat="false" ht="23.85" hidden="false" customHeight="false" outlineLevel="0" collapsed="false">
      <c r="A5" s="7" t="n">
        <v>1</v>
      </c>
      <c r="B5" s="8" t="s">
        <v>29</v>
      </c>
      <c r="C5" s="9" t="str">
        <f aca="false">HYPERLINK("cd000001.jpg","cd000001.jpg")</f>
        <v>cd000001.jpg</v>
      </c>
      <c r="D5" s="8" t="s">
        <v>30</v>
      </c>
      <c r="E5" s="10" t="n">
        <v>46296</v>
      </c>
      <c r="F5" s="8" t="s">
        <v>31</v>
      </c>
      <c r="G5" s="11" t="s">
        <v>32</v>
      </c>
      <c r="H5" s="8" t="s">
        <v>33</v>
      </c>
      <c r="I5" s="11" t="s">
        <v>34</v>
      </c>
      <c r="J5" s="8" t="s">
        <v>35</v>
      </c>
      <c r="K5" s="8" t="s">
        <v>36</v>
      </c>
      <c r="L5" s="8" t="s">
        <v>37</v>
      </c>
      <c r="M5" s="12" t="n">
        <v>-0.085</v>
      </c>
      <c r="N5" s="8" t="s">
        <v>38</v>
      </c>
      <c r="O5" s="8" t="s">
        <v>39</v>
      </c>
      <c r="P5" s="8" t="s">
        <v>40</v>
      </c>
      <c r="Q5" s="10" t="n">
        <v>46310</v>
      </c>
      <c r="R5" s="10"/>
      <c r="S5" s="13" t="n">
        <f aca="false">IF(E5="","",IF(R5&lt;&gt;"",R5,$S$2)-E5)</f>
        <v>8</v>
      </c>
      <c r="T5" s="11" t="s">
        <v>41</v>
      </c>
    </row>
    <row r="6" customFormat="false" ht="15" hidden="false" customHeight="false" outlineLevel="0" collapsed="false">
      <c r="A6" s="7" t="n">
        <v>2</v>
      </c>
      <c r="B6" s="8" t="s">
        <v>42</v>
      </c>
      <c r="C6" s="9" t="str">
        <f aca="false">HYPERLINK("cd000002.jpg","cd000002.jpg")</f>
        <v>cd000002.jpg</v>
      </c>
      <c r="D6" s="8"/>
      <c r="E6" s="10"/>
      <c r="F6" s="8"/>
      <c r="G6" s="11"/>
      <c r="H6" s="8"/>
      <c r="I6" s="11"/>
      <c r="J6" s="8"/>
      <c r="K6" s="8"/>
      <c r="L6" s="8"/>
      <c r="M6" s="12"/>
      <c r="N6" s="8"/>
      <c r="O6" s="8"/>
      <c r="P6" s="8"/>
      <c r="Q6" s="10"/>
      <c r="R6" s="10"/>
      <c r="S6" s="13" t="str">
        <f aca="false">IF(E6="","",IF(R6&lt;&gt;"",R6,$S$2)-E6)</f>
        <v/>
      </c>
      <c r="T6" s="11"/>
    </row>
    <row r="7" customFormat="false" ht="15" hidden="false" customHeight="false" outlineLevel="0" collapsed="false">
      <c r="A7" s="7" t="n">
        <v>3</v>
      </c>
      <c r="B7" s="8" t="s">
        <v>43</v>
      </c>
      <c r="C7" s="9" t="str">
        <f aca="false">HYPERLINK("cd000003.jpg","cd000003.jpg")</f>
        <v>cd000003.jpg</v>
      </c>
      <c r="D7" s="8"/>
      <c r="E7" s="10"/>
      <c r="F7" s="8"/>
      <c r="G7" s="11"/>
      <c r="H7" s="8"/>
      <c r="I7" s="11"/>
      <c r="J7" s="8"/>
      <c r="K7" s="8"/>
      <c r="L7" s="8"/>
      <c r="M7" s="12"/>
      <c r="N7" s="8"/>
      <c r="O7" s="8"/>
      <c r="P7" s="8"/>
      <c r="Q7" s="10"/>
      <c r="R7" s="10"/>
      <c r="S7" s="13" t="str">
        <f aca="false">IF(E7="","",IF(R7&lt;&gt;"",R7,$S$2)-E7)</f>
        <v/>
      </c>
      <c r="T7" s="11"/>
    </row>
    <row r="8" customFormat="false" ht="15" hidden="false" customHeight="false" outlineLevel="0" collapsed="false">
      <c r="A8" s="7" t="n">
        <v>4</v>
      </c>
      <c r="B8" s="8" t="s">
        <v>44</v>
      </c>
      <c r="C8" s="9" t="str">
        <f aca="false">HYPERLINK("cd000004.jpg","cd000004.jpg")</f>
        <v>cd000004.jpg</v>
      </c>
      <c r="D8" s="8"/>
      <c r="E8" s="10"/>
      <c r="F8" s="8"/>
      <c r="G8" s="11"/>
      <c r="H8" s="8"/>
      <c r="I8" s="11"/>
      <c r="J8" s="8"/>
      <c r="K8" s="8"/>
      <c r="L8" s="8"/>
      <c r="M8" s="12"/>
      <c r="N8" s="8"/>
      <c r="O8" s="8"/>
      <c r="P8" s="8"/>
      <c r="Q8" s="10"/>
      <c r="R8" s="10"/>
      <c r="S8" s="13" t="str">
        <f aca="false">IF(E8="","",IF(R8&lt;&gt;"",R8,$S$2)-E8)</f>
        <v/>
      </c>
      <c r="T8" s="11"/>
    </row>
    <row r="9" customFormat="false" ht="15" hidden="false" customHeight="false" outlineLevel="0" collapsed="false">
      <c r="A9" s="7" t="n">
        <v>5</v>
      </c>
      <c r="B9" s="8" t="s">
        <v>45</v>
      </c>
      <c r="C9" s="9" t="str">
        <f aca="false">HYPERLINK("cd000005.jpg","cd000005.jpg")</f>
        <v>cd000005.jpg</v>
      </c>
      <c r="D9" s="8"/>
      <c r="E9" s="10"/>
      <c r="F9" s="8"/>
      <c r="G9" s="11"/>
      <c r="H9" s="8"/>
      <c r="I9" s="11"/>
      <c r="J9" s="8"/>
      <c r="K9" s="8"/>
      <c r="L9" s="8"/>
      <c r="M9" s="12"/>
      <c r="N9" s="8"/>
      <c r="O9" s="8"/>
      <c r="P9" s="8"/>
      <c r="Q9" s="10"/>
      <c r="R9" s="10"/>
      <c r="S9" s="13" t="str">
        <f aca="false">IF(E9="","",IF(R9&lt;&gt;"",R9,$S$2)-E9)</f>
        <v/>
      </c>
      <c r="T9" s="11"/>
    </row>
    <row r="10" customFormat="false" ht="15" hidden="false" customHeight="false" outlineLevel="0" collapsed="false">
      <c r="A10" s="7" t="n">
        <v>6</v>
      </c>
      <c r="B10" s="8" t="s">
        <v>46</v>
      </c>
      <c r="C10" s="9" t="str">
        <f aca="false">HYPERLINK("cd000006.jpg","cd000006.jpg")</f>
        <v>cd000006.jpg</v>
      </c>
      <c r="D10" s="8"/>
      <c r="E10" s="10"/>
      <c r="F10" s="8"/>
      <c r="G10" s="11"/>
      <c r="H10" s="8"/>
      <c r="I10" s="11"/>
      <c r="J10" s="8"/>
      <c r="K10" s="8"/>
      <c r="L10" s="8"/>
      <c r="M10" s="12"/>
      <c r="N10" s="8"/>
      <c r="O10" s="8"/>
      <c r="P10" s="8"/>
      <c r="Q10" s="10"/>
      <c r="R10" s="10"/>
      <c r="S10" s="13" t="str">
        <f aca="false">IF(E10="","",IF(R10&lt;&gt;"",R10,$S$2)-E10)</f>
        <v/>
      </c>
      <c r="T10" s="11"/>
    </row>
    <row r="11" customFormat="false" ht="15" hidden="false" customHeight="false" outlineLevel="0" collapsed="false">
      <c r="A11" s="7" t="n">
        <v>7</v>
      </c>
      <c r="B11" s="8" t="s">
        <v>47</v>
      </c>
      <c r="C11" s="9" t="str">
        <f aca="false">HYPERLINK("cd000007.jpg","cd000007.jpg")</f>
        <v>cd000007.jpg</v>
      </c>
      <c r="D11" s="8"/>
      <c r="E11" s="10"/>
      <c r="F11" s="8"/>
      <c r="G11" s="11"/>
      <c r="H11" s="8"/>
      <c r="I11" s="11"/>
      <c r="J11" s="8"/>
      <c r="K11" s="8"/>
      <c r="L11" s="8"/>
      <c r="M11" s="12"/>
      <c r="N11" s="8"/>
      <c r="O11" s="8"/>
      <c r="P11" s="8"/>
      <c r="Q11" s="10"/>
      <c r="R11" s="10"/>
      <c r="S11" s="13" t="str">
        <f aca="false">IF(E11="","",IF(R11&lt;&gt;"",R11,$S$2)-E11)</f>
        <v/>
      </c>
      <c r="T11" s="11"/>
    </row>
    <row r="12" customFormat="false" ht="15" hidden="false" customHeight="false" outlineLevel="0" collapsed="false">
      <c r="A12" s="7" t="n">
        <v>8</v>
      </c>
      <c r="B12" s="8" t="s">
        <v>48</v>
      </c>
      <c r="C12" s="9" t="str">
        <f aca="false">HYPERLINK("cd000008.jpg","cd000008.jpg")</f>
        <v>cd000008.jpg</v>
      </c>
      <c r="D12" s="8"/>
      <c r="E12" s="10"/>
      <c r="F12" s="8"/>
      <c r="G12" s="11"/>
      <c r="H12" s="8"/>
      <c r="I12" s="11"/>
      <c r="J12" s="8"/>
      <c r="K12" s="8"/>
      <c r="L12" s="8"/>
      <c r="M12" s="12"/>
      <c r="N12" s="8"/>
      <c r="O12" s="8"/>
      <c r="P12" s="8"/>
      <c r="Q12" s="10"/>
      <c r="R12" s="10"/>
      <c r="S12" s="13" t="str">
        <f aca="false">IF(E12="","",IF(R12&lt;&gt;"",R12,$S$2)-E12)</f>
        <v/>
      </c>
      <c r="T12" s="11"/>
    </row>
    <row r="13" customFormat="false" ht="15" hidden="false" customHeight="false" outlineLevel="0" collapsed="false">
      <c r="A13" s="7" t="n">
        <v>9</v>
      </c>
      <c r="B13" s="8" t="s">
        <v>49</v>
      </c>
      <c r="C13" s="9" t="str">
        <f aca="false">HYPERLINK("cd000009.jpg","cd000009.jpg")</f>
        <v>cd000009.jpg</v>
      </c>
      <c r="D13" s="8"/>
      <c r="E13" s="10"/>
      <c r="F13" s="8"/>
      <c r="G13" s="11"/>
      <c r="H13" s="8"/>
      <c r="I13" s="11"/>
      <c r="J13" s="8"/>
      <c r="K13" s="8"/>
      <c r="L13" s="8"/>
      <c r="M13" s="12"/>
      <c r="N13" s="8"/>
      <c r="O13" s="8"/>
      <c r="P13" s="8"/>
      <c r="Q13" s="10"/>
      <c r="R13" s="10"/>
      <c r="S13" s="13" t="str">
        <f aca="false">IF(E13="","",IF(R13&lt;&gt;"",R13,$S$2)-E13)</f>
        <v/>
      </c>
      <c r="T13" s="11"/>
    </row>
    <row r="14" customFormat="false" ht="15" hidden="false" customHeight="false" outlineLevel="0" collapsed="false">
      <c r="A14" s="7" t="n">
        <v>10</v>
      </c>
      <c r="B14" s="8" t="s">
        <v>50</v>
      </c>
      <c r="C14" s="9" t="str">
        <f aca="false">HYPERLINK("cd000010.jpg","cd000010.jpg")</f>
        <v>cd000010.jpg</v>
      </c>
      <c r="D14" s="8"/>
      <c r="E14" s="10"/>
      <c r="F14" s="8"/>
      <c r="G14" s="11"/>
      <c r="H14" s="8"/>
      <c r="I14" s="11"/>
      <c r="J14" s="8"/>
      <c r="K14" s="8"/>
      <c r="L14" s="8"/>
      <c r="M14" s="12"/>
      <c r="N14" s="8"/>
      <c r="O14" s="8"/>
      <c r="P14" s="8"/>
      <c r="Q14" s="10"/>
      <c r="R14" s="10"/>
      <c r="S14" s="13" t="str">
        <f aca="false">IF(E14="","",IF(R14&lt;&gt;"",R14,$S$2)-E14)</f>
        <v/>
      </c>
      <c r="T14" s="11"/>
    </row>
    <row r="15" customFormat="false" ht="15" hidden="false" customHeight="false" outlineLevel="0" collapsed="false">
      <c r="A15" s="7" t="n">
        <v>11</v>
      </c>
      <c r="B15" s="8" t="s">
        <v>51</v>
      </c>
      <c r="C15" s="9" t="str">
        <f aca="false">HYPERLINK("cd000011.jpg","cd000011.jpg")</f>
        <v>cd000011.jpg</v>
      </c>
      <c r="D15" s="8"/>
      <c r="E15" s="10"/>
      <c r="F15" s="8"/>
      <c r="G15" s="11"/>
      <c r="H15" s="8"/>
      <c r="I15" s="11"/>
      <c r="J15" s="8"/>
      <c r="K15" s="8"/>
      <c r="L15" s="8"/>
      <c r="M15" s="12"/>
      <c r="N15" s="8"/>
      <c r="O15" s="8"/>
      <c r="P15" s="8"/>
      <c r="Q15" s="10"/>
      <c r="R15" s="10"/>
      <c r="S15" s="13" t="str">
        <f aca="false">IF(E15="","",IF(R15&lt;&gt;"",R15,$S$2)-E15)</f>
        <v/>
      </c>
      <c r="T15" s="11"/>
    </row>
    <row r="16" customFormat="false" ht="15" hidden="false" customHeight="false" outlineLevel="0" collapsed="false">
      <c r="A16" s="7" t="n">
        <v>12</v>
      </c>
      <c r="B16" s="8" t="s">
        <v>52</v>
      </c>
      <c r="C16" s="9" t="str">
        <f aca="false">HYPERLINK("cd000012.jpg","cd000012.jpg")</f>
        <v>cd000012.jpg</v>
      </c>
      <c r="D16" s="8"/>
      <c r="E16" s="10"/>
      <c r="F16" s="8"/>
      <c r="G16" s="11"/>
      <c r="H16" s="8"/>
      <c r="I16" s="11"/>
      <c r="J16" s="8"/>
      <c r="K16" s="8"/>
      <c r="L16" s="8"/>
      <c r="M16" s="12"/>
      <c r="N16" s="8"/>
      <c r="O16" s="8"/>
      <c r="P16" s="8"/>
      <c r="Q16" s="10"/>
      <c r="R16" s="10"/>
      <c r="S16" s="13" t="str">
        <f aca="false">IF(E16="","",IF(R16&lt;&gt;"",R16,$S$2)-E16)</f>
        <v/>
      </c>
      <c r="T16" s="11"/>
    </row>
    <row r="17" customFormat="false" ht="15" hidden="false" customHeight="false" outlineLevel="0" collapsed="false">
      <c r="A17" s="7" t="n">
        <v>13</v>
      </c>
      <c r="B17" s="8" t="s">
        <v>53</v>
      </c>
      <c r="C17" s="9" t="str">
        <f aca="false">HYPERLINK("cd000013.jpg","cd000013.jpg")</f>
        <v>cd000013.jpg</v>
      </c>
      <c r="D17" s="8"/>
      <c r="E17" s="10"/>
      <c r="F17" s="8"/>
      <c r="G17" s="11"/>
      <c r="H17" s="8"/>
      <c r="I17" s="11"/>
      <c r="J17" s="8"/>
      <c r="K17" s="8"/>
      <c r="L17" s="8"/>
      <c r="M17" s="12"/>
      <c r="N17" s="8"/>
      <c r="O17" s="8"/>
      <c r="P17" s="8"/>
      <c r="Q17" s="10"/>
      <c r="R17" s="10"/>
      <c r="S17" s="13" t="str">
        <f aca="false">IF(E17="","",IF(R17&lt;&gt;"",R17,$S$2)-E17)</f>
        <v/>
      </c>
      <c r="T17" s="11"/>
    </row>
    <row r="18" customFormat="false" ht="15" hidden="false" customHeight="false" outlineLevel="0" collapsed="false">
      <c r="A18" s="7" t="n">
        <v>14</v>
      </c>
      <c r="B18" s="8" t="s">
        <v>54</v>
      </c>
      <c r="C18" s="9" t="str">
        <f aca="false">HYPERLINK("cd000014.jpg","cd000014.jpg")</f>
        <v>cd000014.jpg</v>
      </c>
      <c r="D18" s="8"/>
      <c r="E18" s="10"/>
      <c r="F18" s="8"/>
      <c r="G18" s="11"/>
      <c r="H18" s="8"/>
      <c r="I18" s="11"/>
      <c r="J18" s="8"/>
      <c r="K18" s="8"/>
      <c r="L18" s="8"/>
      <c r="M18" s="12"/>
      <c r="N18" s="8"/>
      <c r="O18" s="8"/>
      <c r="P18" s="8"/>
      <c r="Q18" s="10"/>
      <c r="R18" s="10"/>
      <c r="S18" s="13" t="str">
        <f aca="false">IF(E18="","",IF(R18&lt;&gt;"",R18,$S$2)-E18)</f>
        <v/>
      </c>
      <c r="T18" s="11"/>
    </row>
    <row r="19" customFormat="false" ht="15" hidden="false" customHeight="false" outlineLevel="0" collapsed="false">
      <c r="A19" s="7" t="n">
        <v>15</v>
      </c>
      <c r="B19" s="8" t="s">
        <v>55</v>
      </c>
      <c r="C19" s="9" t="str">
        <f aca="false">HYPERLINK("cd000015.jpg","cd000015.jpg")</f>
        <v>cd000015.jpg</v>
      </c>
      <c r="D19" s="8"/>
      <c r="E19" s="10"/>
      <c r="F19" s="8"/>
      <c r="G19" s="11"/>
      <c r="H19" s="8"/>
      <c r="I19" s="11"/>
      <c r="J19" s="8"/>
      <c r="K19" s="8"/>
      <c r="L19" s="8"/>
      <c r="M19" s="12"/>
      <c r="N19" s="8"/>
      <c r="O19" s="8"/>
      <c r="P19" s="8"/>
      <c r="Q19" s="10"/>
      <c r="R19" s="10"/>
      <c r="S19" s="13" t="str">
        <f aca="false">IF(E19="","",IF(R19&lt;&gt;"",R19,$S$2)-E19)</f>
        <v/>
      </c>
      <c r="T19" s="11"/>
    </row>
    <row r="20" customFormat="false" ht="15" hidden="false" customHeight="false" outlineLevel="0" collapsed="false">
      <c r="A20" s="7" t="n">
        <v>16</v>
      </c>
      <c r="B20" s="8" t="s">
        <v>56</v>
      </c>
      <c r="C20" s="9" t="str">
        <f aca="false">HYPERLINK("cd000016.jpg","cd000016.jpg")</f>
        <v>cd000016.jpg</v>
      </c>
      <c r="D20" s="8"/>
      <c r="E20" s="10"/>
      <c r="F20" s="8"/>
      <c r="G20" s="11"/>
      <c r="H20" s="8"/>
      <c r="I20" s="11"/>
      <c r="J20" s="8"/>
      <c r="K20" s="8"/>
      <c r="L20" s="8"/>
      <c r="M20" s="12"/>
      <c r="N20" s="8"/>
      <c r="O20" s="8"/>
      <c r="P20" s="8"/>
      <c r="Q20" s="10"/>
      <c r="R20" s="10"/>
      <c r="S20" s="13" t="str">
        <f aca="false">IF(E20="","",IF(R20&lt;&gt;"",R20,$S$2)-E20)</f>
        <v/>
      </c>
      <c r="T20" s="11"/>
    </row>
    <row r="21" customFormat="false" ht="15" hidden="false" customHeight="false" outlineLevel="0" collapsed="false">
      <c r="A21" s="7" t="n">
        <v>17</v>
      </c>
      <c r="B21" s="8" t="s">
        <v>57</v>
      </c>
      <c r="C21" s="9" t="str">
        <f aca="false">HYPERLINK("cd000017.jpg","cd000017.jpg")</f>
        <v>cd000017.jpg</v>
      </c>
      <c r="D21" s="8"/>
      <c r="E21" s="10"/>
      <c r="F21" s="8"/>
      <c r="G21" s="11"/>
      <c r="H21" s="8"/>
      <c r="I21" s="11"/>
      <c r="J21" s="8"/>
      <c r="K21" s="8"/>
      <c r="L21" s="8"/>
      <c r="M21" s="12"/>
      <c r="N21" s="8"/>
      <c r="O21" s="8"/>
      <c r="P21" s="8"/>
      <c r="Q21" s="10"/>
      <c r="R21" s="10"/>
      <c r="S21" s="13" t="str">
        <f aca="false">IF(E21="","",IF(R21&lt;&gt;"",R21,$S$2)-E21)</f>
        <v/>
      </c>
      <c r="T21" s="11"/>
    </row>
    <row r="22" customFormat="false" ht="15" hidden="false" customHeight="false" outlineLevel="0" collapsed="false">
      <c r="A22" s="7" t="n">
        <v>18</v>
      </c>
      <c r="B22" s="8" t="s">
        <v>58</v>
      </c>
      <c r="C22" s="9" t="str">
        <f aca="false">HYPERLINK("cd000018.jpg","cd000018.jpg")</f>
        <v>cd000018.jpg</v>
      </c>
      <c r="D22" s="8"/>
      <c r="E22" s="10"/>
      <c r="F22" s="8"/>
      <c r="G22" s="11"/>
      <c r="H22" s="8"/>
      <c r="I22" s="11"/>
      <c r="J22" s="8"/>
      <c r="K22" s="8"/>
      <c r="L22" s="8"/>
      <c r="M22" s="12"/>
      <c r="N22" s="8"/>
      <c r="O22" s="8"/>
      <c r="P22" s="8"/>
      <c r="Q22" s="10"/>
      <c r="R22" s="10"/>
      <c r="S22" s="13" t="str">
        <f aca="false">IF(E22="","",IF(R22&lt;&gt;"",R22,$S$2)-E22)</f>
        <v/>
      </c>
      <c r="T22" s="11"/>
    </row>
    <row r="23" customFormat="false" ht="15" hidden="false" customHeight="false" outlineLevel="0" collapsed="false">
      <c r="A23" s="7" t="n">
        <v>19</v>
      </c>
      <c r="B23" s="8" t="s">
        <v>59</v>
      </c>
      <c r="C23" s="9" t="str">
        <f aca="false">HYPERLINK("cd000019.jpg","cd000019.jpg")</f>
        <v>cd000019.jpg</v>
      </c>
      <c r="D23" s="8"/>
      <c r="E23" s="10"/>
      <c r="F23" s="8"/>
      <c r="G23" s="11"/>
      <c r="H23" s="8"/>
      <c r="I23" s="11"/>
      <c r="J23" s="8"/>
      <c r="K23" s="8"/>
      <c r="L23" s="8"/>
      <c r="M23" s="12"/>
      <c r="N23" s="8"/>
      <c r="O23" s="8"/>
      <c r="P23" s="8"/>
      <c r="Q23" s="10"/>
      <c r="R23" s="10"/>
      <c r="S23" s="13" t="str">
        <f aca="false">IF(E23="","",IF(R23&lt;&gt;"",R23,$S$2)-E23)</f>
        <v/>
      </c>
      <c r="T23" s="11"/>
    </row>
    <row r="24" customFormat="false" ht="15" hidden="false" customHeight="false" outlineLevel="0" collapsed="false">
      <c r="A24" s="7" t="n">
        <v>20</v>
      </c>
      <c r="B24" s="8" t="s">
        <v>60</v>
      </c>
      <c r="C24" s="9" t="str">
        <f aca="false">HYPERLINK("cd000020.jpg","cd000020.jpg")</f>
        <v>cd000020.jpg</v>
      </c>
      <c r="D24" s="8"/>
      <c r="E24" s="10"/>
      <c r="F24" s="8"/>
      <c r="G24" s="11"/>
      <c r="H24" s="8"/>
      <c r="I24" s="11"/>
      <c r="J24" s="8"/>
      <c r="K24" s="8"/>
      <c r="L24" s="8"/>
      <c r="M24" s="12"/>
      <c r="N24" s="8"/>
      <c r="O24" s="8"/>
      <c r="P24" s="8"/>
      <c r="Q24" s="10"/>
      <c r="R24" s="10"/>
      <c r="S24" s="13" t="str">
        <f aca="false">IF(E24="","",IF(R24&lt;&gt;"",R24,$S$2)-E24)</f>
        <v/>
      </c>
      <c r="T24" s="11"/>
    </row>
    <row r="25" customFormat="false" ht="15" hidden="false" customHeight="false" outlineLevel="0" collapsed="false">
      <c r="A25" s="7" t="n">
        <v>21</v>
      </c>
      <c r="B25" s="8" t="s">
        <v>61</v>
      </c>
      <c r="C25" s="9" t="str">
        <f aca="false">HYPERLINK("cd000021.jpg","cd000021.jpg")</f>
        <v>cd000021.jpg</v>
      </c>
      <c r="D25" s="8"/>
      <c r="E25" s="10"/>
      <c r="F25" s="8"/>
      <c r="G25" s="11"/>
      <c r="H25" s="8"/>
      <c r="I25" s="11"/>
      <c r="J25" s="8"/>
      <c r="K25" s="8"/>
      <c r="L25" s="8"/>
      <c r="M25" s="12"/>
      <c r="N25" s="8"/>
      <c r="O25" s="8"/>
      <c r="P25" s="8"/>
      <c r="Q25" s="10"/>
      <c r="R25" s="10"/>
      <c r="S25" s="13" t="str">
        <f aca="false">IF(E25="","",IF(R25&lt;&gt;"",R25,$S$2)-E25)</f>
        <v/>
      </c>
      <c r="T25" s="11"/>
    </row>
    <row r="26" customFormat="false" ht="15" hidden="false" customHeight="false" outlineLevel="0" collapsed="false">
      <c r="A26" s="7" t="n">
        <v>22</v>
      </c>
      <c r="B26" s="8" t="s">
        <v>62</v>
      </c>
      <c r="C26" s="9" t="str">
        <f aca="false">HYPERLINK("cd000022.jpg","cd000022.jpg")</f>
        <v>cd000022.jpg</v>
      </c>
      <c r="D26" s="8"/>
      <c r="E26" s="10"/>
      <c r="F26" s="8"/>
      <c r="G26" s="11"/>
      <c r="H26" s="8"/>
      <c r="I26" s="11"/>
      <c r="J26" s="8"/>
      <c r="K26" s="8"/>
      <c r="L26" s="8"/>
      <c r="M26" s="12"/>
      <c r="N26" s="8"/>
      <c r="O26" s="8"/>
      <c r="P26" s="8"/>
      <c r="Q26" s="10"/>
      <c r="R26" s="10"/>
      <c r="S26" s="13" t="str">
        <f aca="false">IF(E26="","",IF(R26&lt;&gt;"",R26,$S$2)-E26)</f>
        <v/>
      </c>
      <c r="T26" s="11"/>
    </row>
    <row r="27" customFormat="false" ht="15" hidden="false" customHeight="false" outlineLevel="0" collapsed="false">
      <c r="A27" s="7" t="n">
        <v>23</v>
      </c>
      <c r="B27" s="8" t="s">
        <v>63</v>
      </c>
      <c r="C27" s="9" t="str">
        <f aca="false">HYPERLINK("cd000023.jpg","cd000023.jpg")</f>
        <v>cd000023.jpg</v>
      </c>
      <c r="D27" s="8"/>
      <c r="E27" s="10"/>
      <c r="F27" s="8"/>
      <c r="G27" s="11"/>
      <c r="H27" s="8"/>
      <c r="I27" s="11"/>
      <c r="J27" s="8"/>
      <c r="K27" s="8"/>
      <c r="L27" s="8"/>
      <c r="M27" s="12"/>
      <c r="N27" s="8"/>
      <c r="O27" s="8"/>
      <c r="P27" s="8"/>
      <c r="Q27" s="10"/>
      <c r="R27" s="10"/>
      <c r="S27" s="13" t="str">
        <f aca="false">IF(E27="","",IF(R27&lt;&gt;"",R27,$S$2)-E27)</f>
        <v/>
      </c>
      <c r="T27" s="11"/>
    </row>
    <row r="28" customFormat="false" ht="15" hidden="false" customHeight="false" outlineLevel="0" collapsed="false">
      <c r="A28" s="7" t="n">
        <v>24</v>
      </c>
      <c r="B28" s="8" t="s">
        <v>64</v>
      </c>
      <c r="C28" s="9" t="str">
        <f aca="false">HYPERLINK("cd000024.jpg","cd000024.jpg")</f>
        <v>cd000024.jpg</v>
      </c>
      <c r="D28" s="8"/>
      <c r="E28" s="10"/>
      <c r="F28" s="8"/>
      <c r="G28" s="11"/>
      <c r="H28" s="8"/>
      <c r="I28" s="11"/>
      <c r="J28" s="8"/>
      <c r="K28" s="8"/>
      <c r="L28" s="8"/>
      <c r="M28" s="12"/>
      <c r="N28" s="8"/>
      <c r="O28" s="8"/>
      <c r="P28" s="8"/>
      <c r="Q28" s="10"/>
      <c r="R28" s="10"/>
      <c r="S28" s="13" t="str">
        <f aca="false">IF(E28="","",IF(R28&lt;&gt;"",R28,$S$2)-E28)</f>
        <v/>
      </c>
      <c r="T28" s="11"/>
    </row>
    <row r="29" customFormat="false" ht="15" hidden="false" customHeight="false" outlineLevel="0" collapsed="false">
      <c r="A29" s="7" t="n">
        <v>25</v>
      </c>
      <c r="B29" s="8" t="s">
        <v>65</v>
      </c>
      <c r="C29" s="9" t="str">
        <f aca="false">HYPERLINK("cd000025.jpg","cd000025.jpg")</f>
        <v>cd000025.jpg</v>
      </c>
      <c r="D29" s="8"/>
      <c r="E29" s="10"/>
      <c r="F29" s="8"/>
      <c r="G29" s="11"/>
      <c r="H29" s="8"/>
      <c r="I29" s="11"/>
      <c r="J29" s="8"/>
      <c r="K29" s="8"/>
      <c r="L29" s="8"/>
      <c r="M29" s="12"/>
      <c r="N29" s="8"/>
      <c r="O29" s="8"/>
      <c r="P29" s="8"/>
      <c r="Q29" s="10"/>
      <c r="R29" s="10"/>
      <c r="S29" s="13" t="str">
        <f aca="false">IF(E29="","",IF(R29&lt;&gt;"",R29,$S$2)-E29)</f>
        <v/>
      </c>
      <c r="T29" s="11"/>
    </row>
    <row r="30" customFormat="false" ht="15" hidden="false" customHeight="false" outlineLevel="0" collapsed="false">
      <c r="A30" s="7" t="n">
        <v>26</v>
      </c>
      <c r="B30" s="8" t="s">
        <v>66</v>
      </c>
      <c r="C30" s="9" t="str">
        <f aca="false">HYPERLINK("cd000026.jpg","cd000026.jpg")</f>
        <v>cd000026.jpg</v>
      </c>
      <c r="D30" s="8"/>
      <c r="E30" s="10"/>
      <c r="F30" s="8"/>
      <c r="G30" s="11"/>
      <c r="H30" s="8"/>
      <c r="I30" s="11"/>
      <c r="J30" s="8"/>
      <c r="K30" s="8"/>
      <c r="L30" s="8"/>
      <c r="M30" s="12"/>
      <c r="N30" s="8"/>
      <c r="O30" s="8"/>
      <c r="P30" s="8"/>
      <c r="Q30" s="10"/>
      <c r="R30" s="10"/>
      <c r="S30" s="13" t="str">
        <f aca="false">IF(E30="","",IF(R30&lt;&gt;"",R30,$S$2)-E30)</f>
        <v/>
      </c>
      <c r="T30" s="11"/>
    </row>
    <row r="31" customFormat="false" ht="15" hidden="false" customHeight="false" outlineLevel="0" collapsed="false">
      <c r="A31" s="7" t="n">
        <v>27</v>
      </c>
      <c r="B31" s="8" t="s">
        <v>67</v>
      </c>
      <c r="C31" s="9" t="str">
        <f aca="false">HYPERLINK("cd000027.jpg","cd000027.jpg")</f>
        <v>cd000027.jpg</v>
      </c>
      <c r="D31" s="8"/>
      <c r="E31" s="10"/>
      <c r="F31" s="8"/>
      <c r="G31" s="11"/>
      <c r="H31" s="8"/>
      <c r="I31" s="11"/>
      <c r="J31" s="8"/>
      <c r="K31" s="8"/>
      <c r="L31" s="8"/>
      <c r="M31" s="12"/>
      <c r="N31" s="8"/>
      <c r="O31" s="8"/>
      <c r="P31" s="8"/>
      <c r="Q31" s="10"/>
      <c r="R31" s="10"/>
      <c r="S31" s="13" t="str">
        <f aca="false">IF(E31="","",IF(R31&lt;&gt;"",R31,$S$2)-E31)</f>
        <v/>
      </c>
      <c r="T31" s="11"/>
    </row>
    <row r="32" customFormat="false" ht="15" hidden="false" customHeight="false" outlineLevel="0" collapsed="false">
      <c r="A32" s="7" t="n">
        <v>28</v>
      </c>
      <c r="B32" s="8" t="s">
        <v>68</v>
      </c>
      <c r="C32" s="9" t="str">
        <f aca="false">HYPERLINK("cd000028.jpg","cd000028.jpg")</f>
        <v>cd000028.jpg</v>
      </c>
      <c r="D32" s="8"/>
      <c r="E32" s="10"/>
      <c r="F32" s="8"/>
      <c r="G32" s="11"/>
      <c r="H32" s="8"/>
      <c r="I32" s="11"/>
      <c r="J32" s="8"/>
      <c r="K32" s="8"/>
      <c r="L32" s="8"/>
      <c r="M32" s="12"/>
      <c r="N32" s="8"/>
      <c r="O32" s="8"/>
      <c r="P32" s="8"/>
      <c r="Q32" s="10"/>
      <c r="R32" s="10"/>
      <c r="S32" s="13" t="str">
        <f aca="false">IF(E32="","",IF(R32&lt;&gt;"",R32,$S$2)-E32)</f>
        <v/>
      </c>
      <c r="T32" s="11"/>
    </row>
    <row r="33" customFormat="false" ht="15" hidden="false" customHeight="false" outlineLevel="0" collapsed="false">
      <c r="A33" s="7" t="n">
        <v>29</v>
      </c>
      <c r="B33" s="8" t="s">
        <v>69</v>
      </c>
      <c r="C33" s="9" t="str">
        <f aca="false">HYPERLINK("cd000029.jpg","cd000029.jpg")</f>
        <v>cd000029.jpg</v>
      </c>
      <c r="D33" s="8"/>
      <c r="E33" s="10"/>
      <c r="F33" s="8"/>
      <c r="G33" s="11"/>
      <c r="H33" s="8"/>
      <c r="I33" s="11"/>
      <c r="J33" s="8"/>
      <c r="K33" s="8"/>
      <c r="L33" s="8"/>
      <c r="M33" s="12"/>
      <c r="N33" s="8"/>
      <c r="O33" s="8"/>
      <c r="P33" s="8"/>
      <c r="Q33" s="10"/>
      <c r="R33" s="10"/>
      <c r="S33" s="13" t="str">
        <f aca="false">IF(E33="","",IF(R33&lt;&gt;"",R33,$S$2)-E33)</f>
        <v/>
      </c>
      <c r="T33" s="11"/>
    </row>
    <row r="34" customFormat="false" ht="15" hidden="false" customHeight="false" outlineLevel="0" collapsed="false">
      <c r="A34" s="7" t="n">
        <v>30</v>
      </c>
      <c r="B34" s="8" t="s">
        <v>70</v>
      </c>
      <c r="C34" s="9" t="str">
        <f aca="false">HYPERLINK("cd000030.jpg","cd000030.jpg")</f>
        <v>cd000030.jpg</v>
      </c>
      <c r="D34" s="8"/>
      <c r="E34" s="10"/>
      <c r="F34" s="8"/>
      <c r="G34" s="11"/>
      <c r="H34" s="8"/>
      <c r="I34" s="11"/>
      <c r="J34" s="8"/>
      <c r="K34" s="8"/>
      <c r="L34" s="8"/>
      <c r="M34" s="12"/>
      <c r="N34" s="8"/>
      <c r="O34" s="8"/>
      <c r="P34" s="8"/>
      <c r="Q34" s="10"/>
      <c r="R34" s="10"/>
      <c r="S34" s="13" t="str">
        <f aca="false">IF(E34="","",IF(R34&lt;&gt;"",R34,$S$2)-E34)</f>
        <v/>
      </c>
      <c r="T34" s="11"/>
    </row>
    <row r="35" customFormat="false" ht="15" hidden="false" customHeight="false" outlineLevel="0" collapsed="false">
      <c r="A35" s="7" t="n">
        <v>31</v>
      </c>
      <c r="B35" s="8" t="s">
        <v>71</v>
      </c>
      <c r="C35" s="9" t="str">
        <f aca="false">HYPERLINK("cd000031.jpg","cd000031.jpg")</f>
        <v>cd000031.jpg</v>
      </c>
      <c r="D35" s="8"/>
      <c r="E35" s="10"/>
      <c r="F35" s="8"/>
      <c r="G35" s="11"/>
      <c r="H35" s="8"/>
      <c r="I35" s="11"/>
      <c r="J35" s="8"/>
      <c r="K35" s="8"/>
      <c r="L35" s="8"/>
      <c r="M35" s="12"/>
      <c r="N35" s="8"/>
      <c r="O35" s="8"/>
      <c r="P35" s="8"/>
      <c r="Q35" s="10"/>
      <c r="R35" s="10"/>
      <c r="S35" s="13" t="str">
        <f aca="false">IF(E35="","",IF(R35&lt;&gt;"",R35,$S$2)-E35)</f>
        <v/>
      </c>
      <c r="T35" s="11"/>
    </row>
    <row r="36" customFormat="false" ht="15" hidden="false" customHeight="false" outlineLevel="0" collapsed="false">
      <c r="A36" s="7" t="n">
        <v>32</v>
      </c>
      <c r="B36" s="8" t="s">
        <v>72</v>
      </c>
      <c r="C36" s="9" t="str">
        <f aca="false">HYPERLINK("cd000032.jpg","cd000032.jpg")</f>
        <v>cd000032.jpg</v>
      </c>
      <c r="D36" s="8"/>
      <c r="E36" s="10"/>
      <c r="F36" s="8"/>
      <c r="G36" s="11"/>
      <c r="H36" s="8"/>
      <c r="I36" s="11"/>
      <c r="J36" s="8"/>
      <c r="K36" s="8"/>
      <c r="L36" s="8"/>
      <c r="M36" s="12"/>
      <c r="N36" s="8"/>
      <c r="O36" s="8"/>
      <c r="P36" s="8"/>
      <c r="Q36" s="10"/>
      <c r="R36" s="10"/>
      <c r="S36" s="13" t="str">
        <f aca="false">IF(E36="","",IF(R36&lt;&gt;"",R36,$S$2)-E36)</f>
        <v/>
      </c>
      <c r="T36" s="11"/>
    </row>
    <row r="37" customFormat="false" ht="15" hidden="false" customHeight="false" outlineLevel="0" collapsed="false">
      <c r="A37" s="7" t="n">
        <v>33</v>
      </c>
      <c r="B37" s="8" t="s">
        <v>73</v>
      </c>
      <c r="C37" s="9" t="str">
        <f aca="false">HYPERLINK("cd000033.jpg","cd000033.jpg")</f>
        <v>cd000033.jpg</v>
      </c>
      <c r="D37" s="8"/>
      <c r="E37" s="10"/>
      <c r="F37" s="8"/>
      <c r="G37" s="11"/>
      <c r="H37" s="8"/>
      <c r="I37" s="11"/>
      <c r="J37" s="8"/>
      <c r="K37" s="8"/>
      <c r="L37" s="8"/>
      <c r="M37" s="12"/>
      <c r="N37" s="8"/>
      <c r="O37" s="8"/>
      <c r="P37" s="8"/>
      <c r="Q37" s="10"/>
      <c r="R37" s="10"/>
      <c r="S37" s="13" t="str">
        <f aca="false">IF(E37="","",IF(R37&lt;&gt;"",R37,$S$2)-E37)</f>
        <v/>
      </c>
      <c r="T37" s="11"/>
    </row>
    <row r="38" customFormat="false" ht="15" hidden="false" customHeight="false" outlineLevel="0" collapsed="false">
      <c r="A38" s="7" t="n">
        <v>34</v>
      </c>
      <c r="B38" s="8" t="s">
        <v>74</v>
      </c>
      <c r="C38" s="9" t="str">
        <f aca="false">HYPERLINK("cd000034.jpg","cd000034.jpg")</f>
        <v>cd000034.jpg</v>
      </c>
      <c r="D38" s="8"/>
      <c r="E38" s="10"/>
      <c r="F38" s="8"/>
      <c r="G38" s="11"/>
      <c r="H38" s="8"/>
      <c r="I38" s="11"/>
      <c r="J38" s="8"/>
      <c r="K38" s="8"/>
      <c r="L38" s="8"/>
      <c r="M38" s="12"/>
      <c r="N38" s="8"/>
      <c r="O38" s="8"/>
      <c r="P38" s="8"/>
      <c r="Q38" s="10"/>
      <c r="R38" s="10"/>
      <c r="S38" s="13" t="str">
        <f aca="false">IF(E38="","",IF(R38&lt;&gt;"",R38,$S$2)-E38)</f>
        <v/>
      </c>
      <c r="T38" s="11"/>
    </row>
    <row r="39" customFormat="false" ht="15" hidden="false" customHeight="false" outlineLevel="0" collapsed="false">
      <c r="A39" s="7" t="n">
        <v>35</v>
      </c>
      <c r="B39" s="8" t="s">
        <v>75</v>
      </c>
      <c r="C39" s="9" t="str">
        <f aca="false">HYPERLINK("cd000035.jpg","cd000035.jpg")</f>
        <v>cd000035.jpg</v>
      </c>
      <c r="D39" s="8"/>
      <c r="E39" s="10"/>
      <c r="F39" s="8"/>
      <c r="G39" s="11"/>
      <c r="H39" s="8"/>
      <c r="I39" s="11"/>
      <c r="J39" s="8"/>
      <c r="K39" s="8"/>
      <c r="L39" s="8"/>
      <c r="M39" s="12"/>
      <c r="N39" s="8"/>
      <c r="O39" s="8"/>
      <c r="P39" s="8"/>
      <c r="Q39" s="10"/>
      <c r="R39" s="10"/>
      <c r="S39" s="13" t="str">
        <f aca="false">IF(E39="","",IF(R39&lt;&gt;"",R39,$S$2)-E39)</f>
        <v/>
      </c>
      <c r="T39" s="11"/>
    </row>
    <row r="40" customFormat="false" ht="15" hidden="false" customHeight="false" outlineLevel="0" collapsed="false">
      <c r="A40" s="7" t="n">
        <v>36</v>
      </c>
      <c r="B40" s="8" t="s">
        <v>76</v>
      </c>
      <c r="C40" s="9" t="str">
        <f aca="false">HYPERLINK("cd000036.jpg","cd000036.jpg")</f>
        <v>cd000036.jpg</v>
      </c>
      <c r="D40" s="8"/>
      <c r="E40" s="10"/>
      <c r="F40" s="8"/>
      <c r="G40" s="11"/>
      <c r="H40" s="8"/>
      <c r="I40" s="11"/>
      <c r="J40" s="8"/>
      <c r="K40" s="8"/>
      <c r="L40" s="8"/>
      <c r="M40" s="12"/>
      <c r="N40" s="8"/>
      <c r="O40" s="8"/>
      <c r="P40" s="8"/>
      <c r="Q40" s="10"/>
      <c r="R40" s="10"/>
      <c r="S40" s="13" t="str">
        <f aca="false">IF(E40="","",IF(R40&lt;&gt;"",R40,$S$2)-E40)</f>
        <v/>
      </c>
      <c r="T40" s="11"/>
    </row>
    <row r="41" customFormat="false" ht="15" hidden="false" customHeight="false" outlineLevel="0" collapsed="false">
      <c r="A41" s="7" t="n">
        <v>37</v>
      </c>
      <c r="B41" s="8" t="s">
        <v>77</v>
      </c>
      <c r="C41" s="9" t="str">
        <f aca="false">HYPERLINK("cd000037.jpg","cd000037.jpg")</f>
        <v>cd000037.jpg</v>
      </c>
      <c r="D41" s="8"/>
      <c r="E41" s="10"/>
      <c r="F41" s="8"/>
      <c r="G41" s="11"/>
      <c r="H41" s="8"/>
      <c r="I41" s="11"/>
      <c r="J41" s="8"/>
      <c r="K41" s="8"/>
      <c r="L41" s="8"/>
      <c r="M41" s="12"/>
      <c r="N41" s="8"/>
      <c r="O41" s="8"/>
      <c r="P41" s="8"/>
      <c r="Q41" s="10"/>
      <c r="R41" s="10"/>
      <c r="S41" s="13" t="str">
        <f aca="false">IF(E41="","",IF(R41&lt;&gt;"",R41,$S$2)-E41)</f>
        <v/>
      </c>
      <c r="T41" s="11"/>
    </row>
    <row r="42" customFormat="false" ht="15" hidden="false" customHeight="false" outlineLevel="0" collapsed="false">
      <c r="A42" s="7" t="n">
        <v>38</v>
      </c>
      <c r="B42" s="8" t="s">
        <v>78</v>
      </c>
      <c r="C42" s="9" t="str">
        <f aca="false">HYPERLINK("cd000038.jpg","cd000038.jpg")</f>
        <v>cd000038.jpg</v>
      </c>
      <c r="D42" s="8"/>
      <c r="E42" s="10"/>
      <c r="F42" s="8"/>
      <c r="G42" s="11"/>
      <c r="H42" s="8"/>
      <c r="I42" s="11"/>
      <c r="J42" s="8"/>
      <c r="K42" s="8"/>
      <c r="L42" s="8"/>
      <c r="M42" s="12"/>
      <c r="N42" s="8"/>
      <c r="O42" s="8"/>
      <c r="P42" s="8"/>
      <c r="Q42" s="10"/>
      <c r="R42" s="10"/>
      <c r="S42" s="13" t="str">
        <f aca="false">IF(E42="","",IF(R42&lt;&gt;"",R42,$S$2)-E42)</f>
        <v/>
      </c>
      <c r="T42" s="11"/>
    </row>
    <row r="43" customFormat="false" ht="15" hidden="false" customHeight="false" outlineLevel="0" collapsed="false">
      <c r="A43" s="7" t="n">
        <v>39</v>
      </c>
      <c r="B43" s="8" t="s">
        <v>79</v>
      </c>
      <c r="C43" s="9" t="str">
        <f aca="false">HYPERLINK("cd000039.jpg","cd000039.jpg")</f>
        <v>cd000039.jpg</v>
      </c>
      <c r="D43" s="8"/>
      <c r="E43" s="10"/>
      <c r="F43" s="8"/>
      <c r="G43" s="11"/>
      <c r="H43" s="8"/>
      <c r="I43" s="11"/>
      <c r="J43" s="8"/>
      <c r="K43" s="8"/>
      <c r="L43" s="8"/>
      <c r="M43" s="12"/>
      <c r="N43" s="8"/>
      <c r="O43" s="8"/>
      <c r="P43" s="8"/>
      <c r="Q43" s="10"/>
      <c r="R43" s="10"/>
      <c r="S43" s="13" t="str">
        <f aca="false">IF(E43="","",IF(R43&lt;&gt;"",R43,$S$2)-E43)</f>
        <v/>
      </c>
      <c r="T43" s="11"/>
    </row>
    <row r="44" customFormat="false" ht="15" hidden="false" customHeight="false" outlineLevel="0" collapsed="false">
      <c r="A44" s="7" t="n">
        <v>40</v>
      </c>
      <c r="B44" s="8" t="s">
        <v>80</v>
      </c>
      <c r="C44" s="9" t="str">
        <f aca="false">HYPERLINK("cd000040.jpg","cd000040.jpg")</f>
        <v>cd000040.jpg</v>
      </c>
      <c r="D44" s="8"/>
      <c r="E44" s="10"/>
      <c r="F44" s="8"/>
      <c r="G44" s="11"/>
      <c r="H44" s="8"/>
      <c r="I44" s="11"/>
      <c r="J44" s="8"/>
      <c r="K44" s="8"/>
      <c r="L44" s="8"/>
      <c r="M44" s="12"/>
      <c r="N44" s="8"/>
      <c r="O44" s="8"/>
      <c r="P44" s="8"/>
      <c r="Q44" s="10"/>
      <c r="R44" s="10"/>
      <c r="S44" s="13" t="str">
        <f aca="false">IF(E44="","",IF(R44&lt;&gt;"",R44,$S$2)-E44)</f>
        <v/>
      </c>
      <c r="T44" s="11"/>
    </row>
    <row r="45" customFormat="false" ht="15" hidden="false" customHeight="false" outlineLevel="0" collapsed="false">
      <c r="A45" s="7" t="n">
        <v>41</v>
      </c>
      <c r="B45" s="8" t="s">
        <v>81</v>
      </c>
      <c r="C45" s="9" t="str">
        <f aca="false">HYPERLINK("cd000041.jpg","cd000041.jpg")</f>
        <v>cd000041.jpg</v>
      </c>
      <c r="D45" s="8"/>
      <c r="E45" s="10"/>
      <c r="F45" s="8"/>
      <c r="G45" s="11"/>
      <c r="H45" s="8"/>
      <c r="I45" s="11"/>
      <c r="J45" s="8"/>
      <c r="K45" s="8"/>
      <c r="L45" s="8"/>
      <c r="M45" s="12"/>
      <c r="N45" s="8"/>
      <c r="O45" s="8"/>
      <c r="P45" s="8"/>
      <c r="Q45" s="10"/>
      <c r="R45" s="10"/>
      <c r="S45" s="13" t="str">
        <f aca="false">IF(E45="","",IF(R45&lt;&gt;"",R45,$S$2)-E45)</f>
        <v/>
      </c>
      <c r="T45" s="11"/>
    </row>
    <row r="46" customFormat="false" ht="15" hidden="false" customHeight="false" outlineLevel="0" collapsed="false">
      <c r="A46" s="7" t="n">
        <v>42</v>
      </c>
      <c r="B46" s="8" t="s">
        <v>82</v>
      </c>
      <c r="C46" s="9" t="str">
        <f aca="false">HYPERLINK("cd000042.jpg","cd000042.jpg")</f>
        <v>cd000042.jpg</v>
      </c>
      <c r="D46" s="8"/>
      <c r="E46" s="10"/>
      <c r="F46" s="8"/>
      <c r="G46" s="11"/>
      <c r="H46" s="8"/>
      <c r="I46" s="11"/>
      <c r="J46" s="8"/>
      <c r="K46" s="8"/>
      <c r="L46" s="8"/>
      <c r="M46" s="12"/>
      <c r="N46" s="8"/>
      <c r="O46" s="8"/>
      <c r="P46" s="8"/>
      <c r="Q46" s="10"/>
      <c r="R46" s="10"/>
      <c r="S46" s="13" t="str">
        <f aca="false">IF(E46="","",IF(R46&lt;&gt;"",R46,$S$2)-E46)</f>
        <v/>
      </c>
      <c r="T46" s="11"/>
    </row>
    <row r="47" customFormat="false" ht="15" hidden="false" customHeight="false" outlineLevel="0" collapsed="false">
      <c r="A47" s="7" t="n">
        <v>43</v>
      </c>
      <c r="B47" s="8" t="s">
        <v>83</v>
      </c>
      <c r="C47" s="9" t="str">
        <f aca="false">HYPERLINK("cd000043.jpg","cd000043.jpg")</f>
        <v>cd000043.jpg</v>
      </c>
      <c r="D47" s="8"/>
      <c r="E47" s="10"/>
      <c r="F47" s="8"/>
      <c r="G47" s="11"/>
      <c r="H47" s="8"/>
      <c r="I47" s="11"/>
      <c r="J47" s="8"/>
      <c r="K47" s="8"/>
      <c r="L47" s="8"/>
      <c r="M47" s="12"/>
      <c r="N47" s="8"/>
      <c r="O47" s="8"/>
      <c r="P47" s="8"/>
      <c r="Q47" s="10"/>
      <c r="R47" s="10"/>
      <c r="S47" s="13" t="str">
        <f aca="false">IF(E47="","",IF(R47&lt;&gt;"",R47,$S$2)-E47)</f>
        <v/>
      </c>
      <c r="T47" s="11"/>
    </row>
    <row r="48" customFormat="false" ht="15" hidden="false" customHeight="false" outlineLevel="0" collapsed="false">
      <c r="A48" s="7" t="n">
        <v>44</v>
      </c>
      <c r="B48" s="8" t="s">
        <v>84</v>
      </c>
      <c r="C48" s="9" t="str">
        <f aca="false">HYPERLINK("cd000044.jpg","cd000044.jpg")</f>
        <v>cd000044.jpg</v>
      </c>
      <c r="D48" s="8"/>
      <c r="E48" s="10"/>
      <c r="F48" s="8"/>
      <c r="G48" s="11"/>
      <c r="H48" s="8"/>
      <c r="I48" s="11"/>
      <c r="J48" s="8"/>
      <c r="K48" s="8"/>
      <c r="L48" s="8"/>
      <c r="M48" s="12"/>
      <c r="N48" s="8"/>
      <c r="O48" s="8"/>
      <c r="P48" s="8"/>
      <c r="Q48" s="10"/>
      <c r="R48" s="10"/>
      <c r="S48" s="13" t="str">
        <f aca="false">IF(E48="","",IF(R48&lt;&gt;"",R48,$S$2)-E48)</f>
        <v/>
      </c>
      <c r="T48" s="11"/>
    </row>
    <row r="49" customFormat="false" ht="15" hidden="false" customHeight="false" outlineLevel="0" collapsed="false">
      <c r="A49" s="7" t="n">
        <v>45</v>
      </c>
      <c r="B49" s="8" t="s">
        <v>85</v>
      </c>
      <c r="C49" s="9" t="str">
        <f aca="false">HYPERLINK("cd000045.jpg","cd000045.jpg")</f>
        <v>cd000045.jpg</v>
      </c>
      <c r="D49" s="8"/>
      <c r="E49" s="10"/>
      <c r="F49" s="8"/>
      <c r="G49" s="11"/>
      <c r="H49" s="8"/>
      <c r="I49" s="11"/>
      <c r="J49" s="8"/>
      <c r="K49" s="8"/>
      <c r="L49" s="8"/>
      <c r="M49" s="12"/>
      <c r="N49" s="8"/>
      <c r="O49" s="8"/>
      <c r="P49" s="8"/>
      <c r="Q49" s="10"/>
      <c r="R49" s="10"/>
      <c r="S49" s="13" t="str">
        <f aca="false">IF(E49="","",IF(R49&lt;&gt;"",R49,$S$2)-E49)</f>
        <v/>
      </c>
      <c r="T49" s="11"/>
    </row>
    <row r="50" customFormat="false" ht="15" hidden="false" customHeight="false" outlineLevel="0" collapsed="false">
      <c r="A50" s="7" t="n">
        <v>46</v>
      </c>
      <c r="B50" s="8" t="s">
        <v>86</v>
      </c>
      <c r="C50" s="9" t="str">
        <f aca="false">HYPERLINK("cd000046.jpg","cd000046.jpg")</f>
        <v>cd000046.jpg</v>
      </c>
      <c r="D50" s="8"/>
      <c r="E50" s="10"/>
      <c r="F50" s="8"/>
      <c r="G50" s="11"/>
      <c r="H50" s="8"/>
      <c r="I50" s="11"/>
      <c r="J50" s="8"/>
      <c r="K50" s="8"/>
      <c r="L50" s="8"/>
      <c r="M50" s="12"/>
      <c r="N50" s="8"/>
      <c r="O50" s="8"/>
      <c r="P50" s="8"/>
      <c r="Q50" s="10"/>
      <c r="R50" s="10"/>
      <c r="S50" s="13" t="str">
        <f aca="false">IF(E50="","",IF(R50&lt;&gt;"",R50,$S$2)-E50)</f>
        <v/>
      </c>
      <c r="T50" s="11"/>
    </row>
    <row r="51" customFormat="false" ht="15" hidden="false" customHeight="false" outlineLevel="0" collapsed="false">
      <c r="A51" s="7" t="n">
        <v>47</v>
      </c>
      <c r="B51" s="8" t="s">
        <v>87</v>
      </c>
      <c r="C51" s="9" t="str">
        <f aca="false">HYPERLINK("cd000047.jpg","cd000047.jpg")</f>
        <v>cd000047.jpg</v>
      </c>
      <c r="D51" s="8"/>
      <c r="E51" s="10"/>
      <c r="F51" s="8"/>
      <c r="G51" s="11"/>
      <c r="H51" s="8"/>
      <c r="I51" s="11"/>
      <c r="J51" s="8"/>
      <c r="K51" s="8"/>
      <c r="L51" s="8"/>
      <c r="M51" s="12"/>
      <c r="N51" s="8"/>
      <c r="O51" s="8"/>
      <c r="P51" s="8"/>
      <c r="Q51" s="10"/>
      <c r="R51" s="10"/>
      <c r="S51" s="13" t="str">
        <f aca="false">IF(E51="","",IF(R51&lt;&gt;"",R51,$S$2)-E51)</f>
        <v/>
      </c>
      <c r="T51" s="11"/>
    </row>
    <row r="52" customFormat="false" ht="15" hidden="false" customHeight="false" outlineLevel="0" collapsed="false">
      <c r="A52" s="7" t="n">
        <v>48</v>
      </c>
      <c r="B52" s="8" t="s">
        <v>88</v>
      </c>
      <c r="C52" s="9" t="str">
        <f aca="false">HYPERLINK("cd000048.jpg","cd000048.jpg")</f>
        <v>cd000048.jpg</v>
      </c>
      <c r="D52" s="8"/>
      <c r="E52" s="10"/>
      <c r="F52" s="8"/>
      <c r="G52" s="11"/>
      <c r="H52" s="8"/>
      <c r="I52" s="11"/>
      <c r="J52" s="8"/>
      <c r="K52" s="8"/>
      <c r="L52" s="8"/>
      <c r="M52" s="12"/>
      <c r="N52" s="8"/>
      <c r="O52" s="8"/>
      <c r="P52" s="8"/>
      <c r="Q52" s="10"/>
      <c r="R52" s="10"/>
      <c r="S52" s="13" t="str">
        <f aca="false">IF(E52="","",IF(R52&lt;&gt;"",R52,$S$2)-E52)</f>
        <v/>
      </c>
      <c r="T52" s="11"/>
    </row>
    <row r="53" customFormat="false" ht="15" hidden="false" customHeight="false" outlineLevel="0" collapsed="false">
      <c r="A53" s="7" t="n">
        <v>49</v>
      </c>
      <c r="B53" s="8" t="s">
        <v>89</v>
      </c>
      <c r="C53" s="9" t="str">
        <f aca="false">HYPERLINK("cd000049.jpg","cd000049.jpg")</f>
        <v>cd000049.jpg</v>
      </c>
      <c r="D53" s="8"/>
      <c r="E53" s="10"/>
      <c r="F53" s="8"/>
      <c r="G53" s="11"/>
      <c r="H53" s="8"/>
      <c r="I53" s="11"/>
      <c r="J53" s="8"/>
      <c r="K53" s="8"/>
      <c r="L53" s="8"/>
      <c r="M53" s="12"/>
      <c r="N53" s="8"/>
      <c r="O53" s="8"/>
      <c r="P53" s="8"/>
      <c r="Q53" s="10"/>
      <c r="R53" s="10"/>
      <c r="S53" s="13" t="str">
        <f aca="false">IF(E53="","",IF(R53&lt;&gt;"",R53,$S$2)-E53)</f>
        <v/>
      </c>
      <c r="T53" s="11"/>
    </row>
    <row r="54" customFormat="false" ht="15" hidden="false" customHeight="false" outlineLevel="0" collapsed="false">
      <c r="A54" s="7" t="n">
        <v>50</v>
      </c>
      <c r="B54" s="8" t="s">
        <v>90</v>
      </c>
      <c r="C54" s="9" t="str">
        <f aca="false">HYPERLINK("cd000050.jpg","cd000050.jpg")</f>
        <v>cd000050.jpg</v>
      </c>
      <c r="D54" s="8"/>
      <c r="E54" s="10"/>
      <c r="F54" s="8"/>
      <c r="G54" s="11"/>
      <c r="H54" s="8"/>
      <c r="I54" s="11"/>
      <c r="J54" s="8"/>
      <c r="K54" s="8"/>
      <c r="L54" s="8"/>
      <c r="M54" s="12"/>
      <c r="N54" s="8"/>
      <c r="O54" s="8"/>
      <c r="P54" s="8"/>
      <c r="Q54" s="10"/>
      <c r="R54" s="10"/>
      <c r="S54" s="13" t="str">
        <f aca="false">IF(E54="","",IF(R54&lt;&gt;"",R54,$S$2)-E54)</f>
        <v/>
      </c>
      <c r="T54" s="11"/>
    </row>
    <row r="55" customFormat="false" ht="15" hidden="false" customHeight="false" outlineLevel="0" collapsed="false">
      <c r="A55" s="7" t="n">
        <v>51</v>
      </c>
      <c r="B55" s="8" t="s">
        <v>91</v>
      </c>
      <c r="C55" s="9" t="str">
        <f aca="false">HYPERLINK("cd000051.jpg","cd000051.jpg")</f>
        <v>cd000051.jpg</v>
      </c>
      <c r="D55" s="8"/>
      <c r="E55" s="10"/>
      <c r="F55" s="8"/>
      <c r="G55" s="11"/>
      <c r="H55" s="8"/>
      <c r="I55" s="11"/>
      <c r="J55" s="8"/>
      <c r="K55" s="8"/>
      <c r="L55" s="8"/>
      <c r="M55" s="12"/>
      <c r="N55" s="8"/>
      <c r="O55" s="8"/>
      <c r="P55" s="8"/>
      <c r="Q55" s="10"/>
      <c r="R55" s="10"/>
      <c r="S55" s="13" t="str">
        <f aca="false">IF(E55="","",IF(R55&lt;&gt;"",R55,$S$2)-E55)</f>
        <v/>
      </c>
      <c r="T55" s="11"/>
    </row>
    <row r="56" customFormat="false" ht="15" hidden="false" customHeight="false" outlineLevel="0" collapsed="false">
      <c r="A56" s="7" t="n">
        <v>52</v>
      </c>
      <c r="B56" s="8" t="s">
        <v>92</v>
      </c>
      <c r="C56" s="9" t="str">
        <f aca="false">HYPERLINK("cd000052.jpg","cd000052.jpg")</f>
        <v>cd000052.jpg</v>
      </c>
      <c r="D56" s="8"/>
      <c r="E56" s="10"/>
      <c r="F56" s="8"/>
      <c r="G56" s="11"/>
      <c r="H56" s="8"/>
      <c r="I56" s="11"/>
      <c r="J56" s="8"/>
      <c r="K56" s="8"/>
      <c r="L56" s="8"/>
      <c r="M56" s="12"/>
      <c r="N56" s="8"/>
      <c r="O56" s="8"/>
      <c r="P56" s="8"/>
      <c r="Q56" s="10"/>
      <c r="R56" s="10"/>
      <c r="S56" s="13" t="str">
        <f aca="false">IF(E56="","",IF(R56&lt;&gt;"",R56,$S$2)-E56)</f>
        <v/>
      </c>
      <c r="T56" s="11"/>
    </row>
    <row r="57" customFormat="false" ht="15" hidden="false" customHeight="false" outlineLevel="0" collapsed="false">
      <c r="A57" s="7" t="n">
        <v>53</v>
      </c>
      <c r="B57" s="8" t="s">
        <v>93</v>
      </c>
      <c r="C57" s="9" t="str">
        <f aca="false">HYPERLINK("cd000053.jpg","cd000053.jpg")</f>
        <v>cd000053.jpg</v>
      </c>
      <c r="D57" s="8"/>
      <c r="E57" s="10"/>
      <c r="F57" s="8"/>
      <c r="G57" s="11"/>
      <c r="H57" s="8"/>
      <c r="I57" s="11"/>
      <c r="J57" s="8"/>
      <c r="K57" s="8"/>
      <c r="L57" s="8"/>
      <c r="M57" s="12"/>
      <c r="N57" s="8"/>
      <c r="O57" s="8"/>
      <c r="P57" s="8"/>
      <c r="Q57" s="10"/>
      <c r="R57" s="10"/>
      <c r="S57" s="13" t="str">
        <f aca="false">IF(E57="","",IF(R57&lt;&gt;"",R57,$S$2)-E57)</f>
        <v/>
      </c>
      <c r="T57" s="11"/>
    </row>
    <row r="58" customFormat="false" ht="15" hidden="false" customHeight="false" outlineLevel="0" collapsed="false">
      <c r="A58" s="7" t="n">
        <v>54</v>
      </c>
      <c r="B58" s="8" t="s">
        <v>94</v>
      </c>
      <c r="C58" s="9" t="str">
        <f aca="false">HYPERLINK("cd000054.jpg","cd000054.jpg")</f>
        <v>cd000054.jpg</v>
      </c>
      <c r="D58" s="8"/>
      <c r="E58" s="10"/>
      <c r="F58" s="8"/>
      <c r="G58" s="11"/>
      <c r="H58" s="8"/>
      <c r="I58" s="11"/>
      <c r="J58" s="8"/>
      <c r="K58" s="8"/>
      <c r="L58" s="8"/>
      <c r="M58" s="12"/>
      <c r="N58" s="8"/>
      <c r="O58" s="8"/>
      <c r="P58" s="8"/>
      <c r="Q58" s="10"/>
      <c r="R58" s="10"/>
      <c r="S58" s="13" t="str">
        <f aca="false">IF(E58="","",IF(R58&lt;&gt;"",R58,$S$2)-E58)</f>
        <v/>
      </c>
      <c r="T58" s="11"/>
    </row>
    <row r="59" customFormat="false" ht="15" hidden="false" customHeight="false" outlineLevel="0" collapsed="false">
      <c r="A59" s="7" t="n">
        <v>55</v>
      </c>
      <c r="B59" s="8" t="s">
        <v>95</v>
      </c>
      <c r="C59" s="9" t="str">
        <f aca="false">HYPERLINK("cd000055.jpg","cd000055.jpg")</f>
        <v>cd000055.jpg</v>
      </c>
      <c r="D59" s="8"/>
      <c r="E59" s="10"/>
      <c r="F59" s="8"/>
      <c r="G59" s="11"/>
      <c r="H59" s="8"/>
      <c r="I59" s="11"/>
      <c r="J59" s="8"/>
      <c r="K59" s="8"/>
      <c r="L59" s="8"/>
      <c r="M59" s="12"/>
      <c r="N59" s="8"/>
      <c r="O59" s="8"/>
      <c r="P59" s="8"/>
      <c r="Q59" s="10"/>
      <c r="R59" s="10"/>
      <c r="S59" s="13" t="str">
        <f aca="false">IF(E59="","",IF(R59&lt;&gt;"",R59,$S$2)-E59)</f>
        <v/>
      </c>
      <c r="T59" s="11"/>
    </row>
    <row r="60" customFormat="false" ht="15" hidden="false" customHeight="false" outlineLevel="0" collapsed="false">
      <c r="A60" s="7" t="n">
        <v>56</v>
      </c>
      <c r="B60" s="8" t="s">
        <v>96</v>
      </c>
      <c r="C60" s="9" t="str">
        <f aca="false">HYPERLINK("cd000056.jpg","cd000056.jpg")</f>
        <v>cd000056.jpg</v>
      </c>
      <c r="D60" s="8"/>
      <c r="E60" s="10"/>
      <c r="F60" s="8"/>
      <c r="G60" s="11"/>
      <c r="H60" s="8"/>
      <c r="I60" s="11"/>
      <c r="J60" s="8"/>
      <c r="K60" s="8"/>
      <c r="L60" s="8"/>
      <c r="M60" s="12"/>
      <c r="N60" s="8"/>
      <c r="O60" s="8"/>
      <c r="P60" s="8"/>
      <c r="Q60" s="10"/>
      <c r="R60" s="10"/>
      <c r="S60" s="13" t="str">
        <f aca="false">IF(E60="","",IF(R60&lt;&gt;"",R60,$S$2)-E60)</f>
        <v/>
      </c>
      <c r="T60" s="11"/>
    </row>
    <row r="61" customFormat="false" ht="15" hidden="false" customHeight="false" outlineLevel="0" collapsed="false">
      <c r="A61" s="7" t="n">
        <v>57</v>
      </c>
      <c r="B61" s="8" t="s">
        <v>97</v>
      </c>
      <c r="C61" s="9" t="str">
        <f aca="false">HYPERLINK("cd000057.jpg","cd000057.jpg")</f>
        <v>cd000057.jpg</v>
      </c>
      <c r="D61" s="8"/>
      <c r="E61" s="10"/>
      <c r="F61" s="8"/>
      <c r="G61" s="11"/>
      <c r="H61" s="8"/>
      <c r="I61" s="11"/>
      <c r="J61" s="8"/>
      <c r="K61" s="8"/>
      <c r="L61" s="8"/>
      <c r="M61" s="12"/>
      <c r="N61" s="8"/>
      <c r="O61" s="8"/>
      <c r="P61" s="8"/>
      <c r="Q61" s="10"/>
      <c r="R61" s="10"/>
      <c r="S61" s="13" t="str">
        <f aca="false">IF(E61="","",IF(R61&lt;&gt;"",R61,$S$2)-E61)</f>
        <v/>
      </c>
      <c r="T61" s="11"/>
    </row>
    <row r="62" customFormat="false" ht="15" hidden="false" customHeight="false" outlineLevel="0" collapsed="false">
      <c r="A62" s="7" t="n">
        <v>58</v>
      </c>
      <c r="B62" s="8" t="s">
        <v>98</v>
      </c>
      <c r="C62" s="9" t="str">
        <f aca="false">HYPERLINK("cd000058.jpg","cd000058.jpg")</f>
        <v>cd000058.jpg</v>
      </c>
      <c r="D62" s="8"/>
      <c r="E62" s="10"/>
      <c r="F62" s="8"/>
      <c r="G62" s="11"/>
      <c r="H62" s="8"/>
      <c r="I62" s="11"/>
      <c r="J62" s="8"/>
      <c r="K62" s="8"/>
      <c r="L62" s="8"/>
      <c r="M62" s="12"/>
      <c r="N62" s="8"/>
      <c r="O62" s="8"/>
      <c r="P62" s="8"/>
      <c r="Q62" s="10"/>
      <c r="R62" s="10"/>
      <c r="S62" s="13" t="str">
        <f aca="false">IF(E62="","",IF(R62&lt;&gt;"",R62,$S$2)-E62)</f>
        <v/>
      </c>
      <c r="T62" s="11"/>
    </row>
    <row r="63" customFormat="false" ht="15" hidden="false" customHeight="false" outlineLevel="0" collapsed="false">
      <c r="A63" s="7" t="n">
        <v>59</v>
      </c>
      <c r="B63" s="8" t="s">
        <v>99</v>
      </c>
      <c r="C63" s="9" t="str">
        <f aca="false">HYPERLINK("cd000059.jpg","cd000059.jpg")</f>
        <v>cd000059.jpg</v>
      </c>
      <c r="D63" s="8"/>
      <c r="E63" s="10"/>
      <c r="F63" s="8"/>
      <c r="G63" s="11"/>
      <c r="H63" s="8"/>
      <c r="I63" s="11"/>
      <c r="J63" s="8"/>
      <c r="K63" s="8"/>
      <c r="L63" s="8"/>
      <c r="M63" s="12"/>
      <c r="N63" s="8"/>
      <c r="O63" s="8"/>
      <c r="P63" s="8"/>
      <c r="Q63" s="10"/>
      <c r="R63" s="10"/>
      <c r="S63" s="13" t="str">
        <f aca="false">IF(E63="","",IF(R63&lt;&gt;"",R63,$S$2)-E63)</f>
        <v/>
      </c>
      <c r="T63" s="11"/>
    </row>
    <row r="64" customFormat="false" ht="15" hidden="false" customHeight="false" outlineLevel="0" collapsed="false">
      <c r="A64" s="7" t="n">
        <v>60</v>
      </c>
      <c r="B64" s="8" t="s">
        <v>100</v>
      </c>
      <c r="C64" s="9" t="str">
        <f aca="false">HYPERLINK("cd000060.jpg","cd000060.jpg")</f>
        <v>cd000060.jpg</v>
      </c>
      <c r="D64" s="8"/>
      <c r="E64" s="10"/>
      <c r="F64" s="8"/>
      <c r="G64" s="11"/>
      <c r="H64" s="8"/>
      <c r="I64" s="11"/>
      <c r="J64" s="8"/>
      <c r="K64" s="8"/>
      <c r="L64" s="8"/>
      <c r="M64" s="12"/>
      <c r="N64" s="8"/>
      <c r="O64" s="8"/>
      <c r="P64" s="8"/>
      <c r="Q64" s="10"/>
      <c r="R64" s="10"/>
      <c r="S64" s="13" t="str">
        <f aca="false">IF(E64="","",IF(R64&lt;&gt;"",R64,$S$2)-E64)</f>
        <v/>
      </c>
      <c r="T64" s="11"/>
    </row>
    <row r="65" customFormat="false" ht="15" hidden="false" customHeight="false" outlineLevel="0" collapsed="false">
      <c r="A65" s="7" t="n">
        <v>61</v>
      </c>
      <c r="B65" s="8" t="s">
        <v>101</v>
      </c>
      <c r="C65" s="9" t="str">
        <f aca="false">HYPERLINK("cd000061.jpg","cd000061.jpg")</f>
        <v>cd000061.jpg</v>
      </c>
      <c r="D65" s="8"/>
      <c r="E65" s="10"/>
      <c r="F65" s="8"/>
      <c r="G65" s="11"/>
      <c r="H65" s="8"/>
      <c r="I65" s="11"/>
      <c r="J65" s="8"/>
      <c r="K65" s="8"/>
      <c r="L65" s="8"/>
      <c r="M65" s="12"/>
      <c r="N65" s="8"/>
      <c r="O65" s="8"/>
      <c r="P65" s="8"/>
      <c r="Q65" s="10"/>
      <c r="R65" s="10"/>
      <c r="S65" s="13" t="str">
        <f aca="false">IF(E65="","",IF(R65&lt;&gt;"",R65,$S$2)-E65)</f>
        <v/>
      </c>
      <c r="T65" s="11"/>
    </row>
    <row r="66" customFormat="false" ht="15" hidden="false" customHeight="false" outlineLevel="0" collapsed="false">
      <c r="A66" s="7" t="n">
        <v>62</v>
      </c>
      <c r="B66" s="8" t="s">
        <v>102</v>
      </c>
      <c r="C66" s="9" t="str">
        <f aca="false">HYPERLINK("cd000062.jpg","cd000062.jpg")</f>
        <v>cd000062.jpg</v>
      </c>
      <c r="D66" s="8"/>
      <c r="E66" s="10"/>
      <c r="F66" s="8"/>
      <c r="G66" s="11"/>
      <c r="H66" s="8"/>
      <c r="I66" s="11"/>
      <c r="J66" s="8"/>
      <c r="K66" s="8"/>
      <c r="L66" s="8"/>
      <c r="M66" s="12"/>
      <c r="N66" s="8"/>
      <c r="O66" s="8"/>
      <c r="P66" s="8"/>
      <c r="Q66" s="10"/>
      <c r="R66" s="10"/>
      <c r="S66" s="13" t="str">
        <f aca="false">IF(E66="","",IF(R66&lt;&gt;"",R66,$S$2)-E66)</f>
        <v/>
      </c>
      <c r="T66" s="11"/>
    </row>
  </sheetData>
  <conditionalFormatting sqref="N5:N66">
    <cfRule type="cellIs" priority="2" operator="equal" aboveAverage="0" equalAverage="0" bottom="0" percent="0" rank="0" text="" dxfId="7">
      <formula>"Nuevo"</formula>
    </cfRule>
    <cfRule type="cellIs" priority="3" operator="equal" aboveAverage="0" equalAverage="0" bottom="0" percent="0" rank="0" text="" dxfId="8">
      <formula>"Activo"</formula>
    </cfRule>
    <cfRule type="cellIs" priority="4" operator="equal" aboveAverage="0" equalAverage="0" bottom="0" percent="0" rank="0" text="" dxfId="9">
      <formula>"Revisado"</formula>
    </cfRule>
    <cfRule type="cellIs" priority="5" operator="equal" aboveAverage="0" equalAverage="0" bottom="0" percent="0" rank="0" text="" dxfId="10">
      <formula>"Aprobado"</formula>
    </cfRule>
    <cfRule type="cellIs" priority="6" operator="equal" aboveAverage="0" equalAverage="0" bottom="0" percent="0" rank="0" text="" dxfId="11">
      <formula>"Resuelto"</formula>
    </cfRule>
  </conditionalFormatting>
  <conditionalFormatting sqref="O5:O66">
    <cfRule type="cellIs" priority="7" operator="equal" aboveAverage="0" equalAverage="0" bottom="0" percent="0" rank="0" text="" dxfId="12">
      <formula>"Alta"</formula>
    </cfRule>
    <cfRule type="cellIs" priority="8" operator="equal" aboveAverage="0" equalAverage="0" bottom="0" percent="0" rank="0" text="" dxfId="8">
      <formula>"Media"</formula>
    </cfRule>
    <cfRule type="cellIs" priority="9" operator="equal" aboveAverage="0" equalAverage="0" bottom="0" percent="0" rank="0" text="" dxfId="11">
      <formula>"Baja"</formula>
    </cfRule>
  </conditionalFormatting>
  <conditionalFormatting sqref="Q5:Q66">
    <cfRule type="expression" priority="10" aboveAverage="0" equalAverage="0" bottom="0" percent="0" rank="0" text="" dxfId="13">
      <formula>AND(Q5&lt;&gt;"",Q5&lt;$S$2,N5&lt;&gt;"Resuelto")</formula>
    </cfRule>
  </conditionalFormatting>
  <dataValidations count="8">
    <dataValidation allowBlank="true" error="Seleccione un valor de la lista (hoja Listas)." errorStyle="stop" operator="between" showDropDown="false" showErrorMessage="true" showInputMessage="false" sqref="F5:F66" type="list">
      <formula1>Listas!$A$2:$A$30</formula1>
      <formula2>0</formula2>
    </dataValidation>
    <dataValidation allowBlank="true" error="Seleccione un valor de la lista (hoja Listas)." errorStyle="stop" operator="between" showDropDown="false" showErrorMessage="true" showInputMessage="false" sqref="H5:H66" type="list">
      <formula1>Listas!$A$2:$A$30</formula1>
      <formula2>0</formula2>
    </dataValidation>
    <dataValidation allowBlank="true" error="Seleccione un valor de la lista (hoja Listas)." errorStyle="stop" operator="between" showDropDown="false" showErrorMessage="true" showInputMessage="false" sqref="J5:J66" type="list">
      <formula1>Listas!$E$2:$E$30</formula1>
      <formula2>0</formula2>
    </dataValidation>
    <dataValidation allowBlank="true" error="Seleccione un valor de la lista (hoja Listas)." errorStyle="stop" operator="between" showDropDown="false" showErrorMessage="true" showInputMessage="false" sqref="L5:L66" type="list">
      <formula1>Listas!$B$2:$B$30</formula1>
      <formula2>0</formula2>
    </dataValidation>
    <dataValidation allowBlank="true" error="Seleccione un valor de la lista (hoja Listas)." errorStyle="stop" operator="between" showDropDown="false" showErrorMessage="true" showInputMessage="false" sqref="N5:N66" type="list">
      <formula1>Listas!$C$2:$C$30</formula1>
      <formula2>0</formula2>
    </dataValidation>
    <dataValidation allowBlank="true" error="Seleccione un valor de la lista (hoja Listas)." errorStyle="stop" operator="between" showDropDown="false" showErrorMessage="true" showInputMessage="false" sqref="O5:O66" type="list">
      <formula1>Listas!$D$2:$D$30</formula1>
      <formula2>0</formula2>
    </dataValidation>
    <dataValidation allowBlank="true" error="Seleccione un valor de la lista (hoja Listas)." errorStyle="stop" operator="between" showDropDown="false" showErrorMessage="true" showInputMessage="false" sqref="P5:P66" type="list">
      <formula1>Listas!$F$2:$F$30</formula1>
      <formula2>0</formula2>
    </dataValidation>
    <dataValidation allowBlank="true" errorStyle="stop" operator="greaterThan" showDropDown="false" showErrorMessage="false" showInputMessage="false" sqref="E5:E66 Q5:R66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1" t="s">
        <v>103</v>
      </c>
      <c r="B1" s="14"/>
      <c r="C1" s="14"/>
      <c r="D1" s="14"/>
      <c r="E1" s="14"/>
      <c r="F1" s="14"/>
      <c r="G1" s="14"/>
      <c r="H1" s="14"/>
      <c r="I1" s="14"/>
    </row>
    <row r="2" customFormat="false" ht="15" hidden="false" customHeight="false" outlineLevel="0" collapsed="false">
      <c r="A2" s="14"/>
      <c r="B2" s="14"/>
      <c r="C2" s="14"/>
      <c r="D2" s="14"/>
      <c r="E2" s="14"/>
      <c r="F2" s="14"/>
      <c r="G2" s="14"/>
      <c r="H2" s="14"/>
      <c r="I2" s="14"/>
    </row>
    <row r="3" customFormat="false" ht="15" hidden="false" customHeight="false" outlineLevel="0" collapsed="false">
      <c r="A3" s="2" t="s">
        <v>104</v>
      </c>
      <c r="B3" s="15" t="n">
        <f aca="false">COUNTA(Registro!$B$5:$B$66)</f>
        <v>62</v>
      </c>
      <c r="C3" s="16" t="s">
        <v>105</v>
      </c>
      <c r="D3" s="14"/>
      <c r="E3" s="14"/>
      <c r="F3" s="14"/>
      <c r="G3" s="14"/>
      <c r="H3" s="14"/>
      <c r="I3" s="14"/>
    </row>
    <row r="4" customFormat="false" ht="15" hidden="false" customHeight="false" outlineLevel="0" collapsed="false">
      <c r="A4" s="2" t="s">
        <v>106</v>
      </c>
      <c r="B4" s="15" t="n">
        <f aca="false">COUNTA(Registro!$N$5:$N$66)</f>
        <v>1</v>
      </c>
      <c r="C4" s="14"/>
      <c r="D4" s="14"/>
      <c r="E4" s="14"/>
      <c r="F4" s="14"/>
      <c r="G4" s="14"/>
      <c r="H4" s="14"/>
      <c r="I4" s="14"/>
    </row>
    <row r="5" customFormat="false" ht="15" hidden="false" customHeight="false" outlineLevel="0" collapsed="false">
      <c r="A5" s="2" t="s">
        <v>107</v>
      </c>
      <c r="B5" s="15" t="n">
        <f aca="false">COUNTIF(Registro!$N$5:$N$66,"Resuelto")</f>
        <v>0</v>
      </c>
      <c r="C5" s="14"/>
      <c r="D5" s="14"/>
      <c r="E5" s="14"/>
      <c r="F5" s="14"/>
      <c r="G5" s="14"/>
      <c r="H5" s="14"/>
      <c r="I5" s="14"/>
    </row>
    <row r="6" customFormat="false" ht="15" hidden="false" customHeight="false" outlineLevel="0" collapsed="false">
      <c r="A6" s="2" t="s">
        <v>108</v>
      </c>
      <c r="B6" s="15" t="n">
        <f aca="false">B4-B5</f>
        <v>1</v>
      </c>
      <c r="C6" s="14"/>
      <c r="D6" s="14"/>
      <c r="E6" s="14"/>
      <c r="F6" s="14"/>
      <c r="G6" s="14"/>
      <c r="H6" s="14"/>
      <c r="I6" s="14"/>
    </row>
    <row r="7" customFormat="false" ht="15" hidden="false" customHeight="false" outlineLevel="0" collapsed="false">
      <c r="A7" s="2" t="s">
        <v>109</v>
      </c>
      <c r="B7" s="17" t="n">
        <f aca="false">IF(B4=0,0,B5/B4)</f>
        <v>0</v>
      </c>
      <c r="C7" s="14"/>
      <c r="D7" s="14"/>
      <c r="E7" s="14"/>
      <c r="F7" s="14"/>
      <c r="G7" s="14"/>
      <c r="H7" s="14"/>
      <c r="I7" s="14"/>
    </row>
    <row r="8" customFormat="false" ht="15" hidden="false" customHeight="false" outlineLevel="0" collapsed="false">
      <c r="A8" s="2" t="s">
        <v>110</v>
      </c>
      <c r="B8" s="15" t="n">
        <f aca="false">SUMPRODUCT((Registro!$Q$5:$Q$66&lt;&gt;"")*(Registro!$Q$5:$Q$66&lt;Registro!$S$2)*(Registro!$N$5:$N$66&lt;&gt;"Resuelto"))</f>
        <v>0</v>
      </c>
      <c r="C8" s="14"/>
      <c r="D8" s="14"/>
      <c r="E8" s="14"/>
      <c r="F8" s="14"/>
      <c r="G8" s="14"/>
      <c r="H8" s="14"/>
      <c r="I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</row>
    <row r="11" customFormat="false" ht="15" hidden="false" customHeight="false" outlineLevel="0" collapsed="false">
      <c r="A11" s="18" t="s">
        <v>111</v>
      </c>
      <c r="B11" s="18" t="s">
        <v>112</v>
      </c>
      <c r="C11" s="14"/>
      <c r="D11" s="14"/>
      <c r="E11" s="14"/>
      <c r="F11" s="14"/>
      <c r="G11" s="14"/>
      <c r="H11" s="14"/>
      <c r="I11" s="14"/>
    </row>
    <row r="12" customFormat="false" ht="15" hidden="false" customHeight="false" outlineLevel="0" collapsed="false">
      <c r="A12" s="14" t="str">
        <f aca="false">Listas!$C$2</f>
        <v>Nuevo</v>
      </c>
      <c r="B12" s="14" t="n">
        <f aca="false">COUNTIF(Registro!$N$5:$N$66,A12)</f>
        <v>0</v>
      </c>
      <c r="C12" s="14"/>
      <c r="D12" s="14"/>
      <c r="E12" s="14"/>
      <c r="F12" s="14"/>
      <c r="G12" s="14"/>
      <c r="H12" s="14"/>
      <c r="I12" s="14"/>
    </row>
    <row r="13" customFormat="false" ht="15" hidden="false" customHeight="false" outlineLevel="0" collapsed="false">
      <c r="A13" s="14" t="str">
        <f aca="false">Listas!$C$3</f>
        <v>Activo</v>
      </c>
      <c r="B13" s="14" t="n">
        <f aca="false">COUNTIF(Registro!$N$5:$N$66,A13)</f>
        <v>1</v>
      </c>
      <c r="C13" s="14"/>
      <c r="D13" s="14"/>
      <c r="E13" s="14"/>
      <c r="F13" s="14"/>
      <c r="G13" s="14"/>
      <c r="H13" s="14"/>
      <c r="I13" s="14"/>
    </row>
    <row r="14" customFormat="false" ht="15" hidden="false" customHeight="false" outlineLevel="0" collapsed="false">
      <c r="A14" s="14" t="str">
        <f aca="false">Listas!$C$4</f>
        <v>Revisado</v>
      </c>
      <c r="B14" s="14" t="n">
        <f aca="false">COUNTIF(Registro!$N$5:$N$66,A14)</f>
        <v>0</v>
      </c>
      <c r="C14" s="14"/>
      <c r="D14" s="14"/>
      <c r="E14" s="14"/>
      <c r="F14" s="14"/>
      <c r="G14" s="14"/>
      <c r="H14" s="14"/>
      <c r="I14" s="14"/>
    </row>
    <row r="15" customFormat="false" ht="15" hidden="false" customHeight="false" outlineLevel="0" collapsed="false">
      <c r="A15" s="14" t="str">
        <f aca="false">Listas!$C$5</f>
        <v>Aprobado</v>
      </c>
      <c r="B15" s="14" t="n">
        <f aca="false">COUNTIF(Registro!$N$5:$N$66,A15)</f>
        <v>0</v>
      </c>
      <c r="C15" s="14"/>
      <c r="D15" s="14"/>
      <c r="E15" s="14"/>
      <c r="F15" s="14"/>
      <c r="G15" s="14"/>
      <c r="H15" s="14"/>
      <c r="I15" s="14"/>
    </row>
    <row r="16" customFormat="false" ht="15" hidden="false" customHeight="false" outlineLevel="0" collapsed="false">
      <c r="A16" s="14" t="str">
        <f aca="false">Listas!$C$6</f>
        <v>Resuelto</v>
      </c>
      <c r="B16" s="14" t="n">
        <f aca="false">COUNTIF(Registro!$N$5:$N$66,A16)</f>
        <v>0</v>
      </c>
      <c r="C16" s="14"/>
      <c r="D16" s="14"/>
      <c r="E16" s="14"/>
      <c r="F16" s="14"/>
      <c r="G16" s="14"/>
      <c r="H16" s="14"/>
      <c r="I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</row>
    <row r="18" customFormat="false" ht="15" hidden="false" customHeight="false" outlineLevel="0" collapsed="false">
      <c r="A18" s="18" t="s">
        <v>113</v>
      </c>
      <c r="B18" s="18" t="s">
        <v>112</v>
      </c>
      <c r="C18" s="14"/>
      <c r="D18" s="14"/>
      <c r="E18" s="14"/>
      <c r="F18" s="14"/>
      <c r="G18" s="14"/>
      <c r="H18" s="14"/>
      <c r="I18" s="14"/>
    </row>
    <row r="19" customFormat="false" ht="15" hidden="false" customHeight="false" outlineLevel="0" collapsed="false">
      <c r="A19" s="14" t="str">
        <f aca="false">Listas!$D$2</f>
        <v>Alta</v>
      </c>
      <c r="B19" s="14" t="n">
        <f aca="false">COUNTIF(Registro!$O$5:$O$66,A19)</f>
        <v>1</v>
      </c>
      <c r="C19" s="14"/>
      <c r="D19" s="14"/>
      <c r="E19" s="14"/>
      <c r="F19" s="14"/>
      <c r="G19" s="14"/>
      <c r="H19" s="14"/>
      <c r="I19" s="14"/>
    </row>
    <row r="20" customFormat="false" ht="15" hidden="false" customHeight="false" outlineLevel="0" collapsed="false">
      <c r="A20" s="14" t="str">
        <f aca="false">Listas!$D$3</f>
        <v>Media</v>
      </c>
      <c r="B20" s="14" t="n">
        <f aca="false">COUNTIF(Registro!$O$5:$O$66,A20)</f>
        <v>0</v>
      </c>
      <c r="C20" s="14"/>
      <c r="D20" s="14"/>
      <c r="E20" s="14"/>
      <c r="F20" s="14"/>
      <c r="G20" s="14"/>
      <c r="H20" s="14"/>
      <c r="I20" s="14"/>
    </row>
    <row r="21" customFormat="false" ht="15" hidden="false" customHeight="false" outlineLevel="0" collapsed="false">
      <c r="A21" s="14" t="str">
        <f aca="false">Listas!$D$4</f>
        <v>Baja</v>
      </c>
      <c r="B21" s="14" t="n">
        <f aca="false">COUNTIF(Registro!$O$5:$O$66,A21)</f>
        <v>0</v>
      </c>
      <c r="C21" s="14"/>
      <c r="D21" s="14"/>
      <c r="E21" s="14"/>
      <c r="F21" s="14"/>
      <c r="G21" s="14"/>
      <c r="H21" s="14"/>
      <c r="I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</row>
    <row r="23" customFormat="false" ht="30" hidden="false" customHeight="true" outlineLevel="0" collapsed="false">
      <c r="A23" s="18" t="s">
        <v>114</v>
      </c>
      <c r="B23" s="19" t="str">
        <f aca="false">Listas!$A$2</f>
        <v>Arquitectura</v>
      </c>
      <c r="C23" s="19" t="str">
        <f aca="false">Listas!$A$3</f>
        <v>Estructura</v>
      </c>
      <c r="D23" s="19" t="str">
        <f aca="false">Listas!$A$4</f>
        <v>Sanitaria</v>
      </c>
      <c r="E23" s="19" t="str">
        <f aca="false">Listas!$A$5</f>
        <v>Eléctrica</v>
      </c>
      <c r="F23" s="19" t="str">
        <f aca="false">Listas!$A$6</f>
        <v>HVAC</v>
      </c>
      <c r="G23" s="19" t="str">
        <f aca="false">Listas!$A$7</f>
        <v>Contra Incendio</v>
      </c>
      <c r="H23" s="19" t="str">
        <f aca="false">Listas!$A$8</f>
        <v>Gas</v>
      </c>
      <c r="I23" s="19" t="str">
        <f aca="false">Listas!$A$9</f>
        <v>Corrientes Débiles</v>
      </c>
    </row>
    <row r="24" customFormat="false" ht="15" hidden="false" customHeight="false" outlineLevel="0" collapsed="false">
      <c r="A24" s="2" t="str">
        <f aca="false">Listas!$A$2</f>
        <v>Arquitectura</v>
      </c>
      <c r="B24" s="20" t="n">
        <f aca="false">COUNTIFS(Registro!$F$5:$F$66,$A24,Registro!$H$5:$H$66,B$23)</f>
        <v>0</v>
      </c>
      <c r="C24" s="20" t="n">
        <f aca="false">COUNTIFS(Registro!$F$5:$F$66,$A24,Registro!$H$5:$H$66,C$23)</f>
        <v>0</v>
      </c>
      <c r="D24" s="20" t="n">
        <f aca="false">COUNTIFS(Registro!$F$5:$F$66,$A24,Registro!$H$5:$H$66,D$23)</f>
        <v>0</v>
      </c>
      <c r="E24" s="20" t="n">
        <f aca="false">COUNTIFS(Registro!$F$5:$F$66,$A24,Registro!$H$5:$H$66,E$23)</f>
        <v>0</v>
      </c>
      <c r="F24" s="20" t="n">
        <f aca="false">COUNTIFS(Registro!$F$5:$F$66,$A24,Registro!$H$5:$H$66,F$23)</f>
        <v>0</v>
      </c>
      <c r="G24" s="20" t="n">
        <f aca="false">COUNTIFS(Registro!$F$5:$F$66,$A24,Registro!$H$5:$H$66,G$23)</f>
        <v>0</v>
      </c>
      <c r="H24" s="20" t="n">
        <f aca="false">COUNTIFS(Registro!$F$5:$F$66,$A24,Registro!$H$5:$H$66,H$23)</f>
        <v>0</v>
      </c>
      <c r="I24" s="20" t="n">
        <f aca="false">COUNTIFS(Registro!$F$5:$F$66,$A24,Registro!$H$5:$H$66,I$23)</f>
        <v>0</v>
      </c>
    </row>
    <row r="25" customFormat="false" ht="15" hidden="false" customHeight="false" outlineLevel="0" collapsed="false">
      <c r="A25" s="2" t="str">
        <f aca="false">Listas!$A$3</f>
        <v>Estructura</v>
      </c>
      <c r="B25" s="20" t="n">
        <f aca="false">COUNTIFS(Registro!$F$5:$F$66,$A25,Registro!$H$5:$H$66,B$23)</f>
        <v>0</v>
      </c>
      <c r="C25" s="20" t="n">
        <f aca="false">COUNTIFS(Registro!$F$5:$F$66,$A25,Registro!$H$5:$H$66,C$23)</f>
        <v>0</v>
      </c>
      <c r="D25" s="20" t="n">
        <f aca="false">COUNTIFS(Registro!$F$5:$F$66,$A25,Registro!$H$5:$H$66,D$23)</f>
        <v>1</v>
      </c>
      <c r="E25" s="20" t="n">
        <f aca="false">COUNTIFS(Registro!$F$5:$F$66,$A25,Registro!$H$5:$H$66,E$23)</f>
        <v>0</v>
      </c>
      <c r="F25" s="20" t="n">
        <f aca="false">COUNTIFS(Registro!$F$5:$F$66,$A25,Registro!$H$5:$H$66,F$23)</f>
        <v>0</v>
      </c>
      <c r="G25" s="20" t="n">
        <f aca="false">COUNTIFS(Registro!$F$5:$F$66,$A25,Registro!$H$5:$H$66,G$23)</f>
        <v>0</v>
      </c>
      <c r="H25" s="20" t="n">
        <f aca="false">COUNTIFS(Registro!$F$5:$F$66,$A25,Registro!$H$5:$H$66,H$23)</f>
        <v>0</v>
      </c>
      <c r="I25" s="20" t="n">
        <f aca="false">COUNTIFS(Registro!$F$5:$F$66,$A25,Registro!$H$5:$H$66,I$23)</f>
        <v>0</v>
      </c>
    </row>
    <row r="26" customFormat="false" ht="15" hidden="false" customHeight="false" outlineLevel="0" collapsed="false">
      <c r="A26" s="2" t="str">
        <f aca="false">Listas!$A$4</f>
        <v>Sanitaria</v>
      </c>
      <c r="B26" s="20" t="n">
        <f aca="false">COUNTIFS(Registro!$F$5:$F$66,$A26,Registro!$H$5:$H$66,B$23)</f>
        <v>0</v>
      </c>
      <c r="C26" s="20" t="n">
        <f aca="false">COUNTIFS(Registro!$F$5:$F$66,$A26,Registro!$H$5:$H$66,C$23)</f>
        <v>0</v>
      </c>
      <c r="D26" s="20" t="n">
        <f aca="false">COUNTIFS(Registro!$F$5:$F$66,$A26,Registro!$H$5:$H$66,D$23)</f>
        <v>0</v>
      </c>
      <c r="E26" s="20" t="n">
        <f aca="false">COUNTIFS(Registro!$F$5:$F$66,$A26,Registro!$H$5:$H$66,E$23)</f>
        <v>0</v>
      </c>
      <c r="F26" s="20" t="n">
        <f aca="false">COUNTIFS(Registro!$F$5:$F$66,$A26,Registro!$H$5:$H$66,F$23)</f>
        <v>0</v>
      </c>
      <c r="G26" s="20" t="n">
        <f aca="false">COUNTIFS(Registro!$F$5:$F$66,$A26,Registro!$H$5:$H$66,G$23)</f>
        <v>0</v>
      </c>
      <c r="H26" s="20" t="n">
        <f aca="false">COUNTIFS(Registro!$F$5:$F$66,$A26,Registro!$H$5:$H$66,H$23)</f>
        <v>0</v>
      </c>
      <c r="I26" s="20" t="n">
        <f aca="false">COUNTIFS(Registro!$F$5:$F$66,$A26,Registro!$H$5:$H$66,I$23)</f>
        <v>0</v>
      </c>
    </row>
    <row r="27" customFormat="false" ht="15" hidden="false" customHeight="false" outlineLevel="0" collapsed="false">
      <c r="A27" s="2" t="str">
        <f aca="false">Listas!$A$5</f>
        <v>Eléctrica</v>
      </c>
      <c r="B27" s="20" t="n">
        <f aca="false">COUNTIFS(Registro!$F$5:$F$66,$A27,Registro!$H$5:$H$66,B$23)</f>
        <v>0</v>
      </c>
      <c r="C27" s="20" t="n">
        <f aca="false">COUNTIFS(Registro!$F$5:$F$66,$A27,Registro!$H$5:$H$66,C$23)</f>
        <v>0</v>
      </c>
      <c r="D27" s="20" t="n">
        <f aca="false">COUNTIFS(Registro!$F$5:$F$66,$A27,Registro!$H$5:$H$66,D$23)</f>
        <v>0</v>
      </c>
      <c r="E27" s="20" t="n">
        <f aca="false">COUNTIFS(Registro!$F$5:$F$66,$A27,Registro!$H$5:$H$66,E$23)</f>
        <v>0</v>
      </c>
      <c r="F27" s="20" t="n">
        <f aca="false">COUNTIFS(Registro!$F$5:$F$66,$A27,Registro!$H$5:$H$66,F$23)</f>
        <v>0</v>
      </c>
      <c r="G27" s="20" t="n">
        <f aca="false">COUNTIFS(Registro!$F$5:$F$66,$A27,Registro!$H$5:$H$66,G$23)</f>
        <v>0</v>
      </c>
      <c r="H27" s="20" t="n">
        <f aca="false">COUNTIFS(Registro!$F$5:$F$66,$A27,Registro!$H$5:$H$66,H$23)</f>
        <v>0</v>
      </c>
      <c r="I27" s="20" t="n">
        <f aca="false">COUNTIFS(Registro!$F$5:$F$66,$A27,Registro!$H$5:$H$66,I$23)</f>
        <v>0</v>
      </c>
    </row>
    <row r="28" customFormat="false" ht="15" hidden="false" customHeight="false" outlineLevel="0" collapsed="false">
      <c r="A28" s="2" t="str">
        <f aca="false">Listas!$A$6</f>
        <v>HVAC</v>
      </c>
      <c r="B28" s="20" t="n">
        <f aca="false">COUNTIFS(Registro!$F$5:$F$66,$A28,Registro!$H$5:$H$66,B$23)</f>
        <v>0</v>
      </c>
      <c r="C28" s="20" t="n">
        <f aca="false">COUNTIFS(Registro!$F$5:$F$66,$A28,Registro!$H$5:$H$66,C$23)</f>
        <v>0</v>
      </c>
      <c r="D28" s="20" t="n">
        <f aca="false">COUNTIFS(Registro!$F$5:$F$66,$A28,Registro!$H$5:$H$66,D$23)</f>
        <v>0</v>
      </c>
      <c r="E28" s="20" t="n">
        <f aca="false">COUNTIFS(Registro!$F$5:$F$66,$A28,Registro!$H$5:$H$66,E$23)</f>
        <v>0</v>
      </c>
      <c r="F28" s="20" t="n">
        <f aca="false">COUNTIFS(Registro!$F$5:$F$66,$A28,Registro!$H$5:$H$66,F$23)</f>
        <v>0</v>
      </c>
      <c r="G28" s="20" t="n">
        <f aca="false">COUNTIFS(Registro!$F$5:$F$66,$A28,Registro!$H$5:$H$66,G$23)</f>
        <v>0</v>
      </c>
      <c r="H28" s="20" t="n">
        <f aca="false">COUNTIFS(Registro!$F$5:$F$66,$A28,Registro!$H$5:$H$66,H$23)</f>
        <v>0</v>
      </c>
      <c r="I28" s="20" t="n">
        <f aca="false">COUNTIFS(Registro!$F$5:$F$66,$A28,Registro!$H$5:$H$66,I$23)</f>
        <v>0</v>
      </c>
    </row>
    <row r="29" customFormat="false" ht="15" hidden="false" customHeight="false" outlineLevel="0" collapsed="false">
      <c r="A29" s="2" t="str">
        <f aca="false">Listas!$A$7</f>
        <v>Contra Incendio</v>
      </c>
      <c r="B29" s="20" t="n">
        <f aca="false">COUNTIFS(Registro!$F$5:$F$66,$A29,Registro!$H$5:$H$66,B$23)</f>
        <v>0</v>
      </c>
      <c r="C29" s="20" t="n">
        <f aca="false">COUNTIFS(Registro!$F$5:$F$66,$A29,Registro!$H$5:$H$66,C$23)</f>
        <v>0</v>
      </c>
      <c r="D29" s="20" t="n">
        <f aca="false">COUNTIFS(Registro!$F$5:$F$66,$A29,Registro!$H$5:$H$66,D$23)</f>
        <v>0</v>
      </c>
      <c r="E29" s="20" t="n">
        <f aca="false">COUNTIFS(Registro!$F$5:$F$66,$A29,Registro!$H$5:$H$66,E$23)</f>
        <v>0</v>
      </c>
      <c r="F29" s="20" t="n">
        <f aca="false">COUNTIFS(Registro!$F$5:$F$66,$A29,Registro!$H$5:$H$66,F$23)</f>
        <v>0</v>
      </c>
      <c r="G29" s="20" t="n">
        <f aca="false">COUNTIFS(Registro!$F$5:$F$66,$A29,Registro!$H$5:$H$66,G$23)</f>
        <v>0</v>
      </c>
      <c r="H29" s="20" t="n">
        <f aca="false">COUNTIFS(Registro!$F$5:$F$66,$A29,Registro!$H$5:$H$66,H$23)</f>
        <v>0</v>
      </c>
      <c r="I29" s="20" t="n">
        <f aca="false">COUNTIFS(Registro!$F$5:$F$66,$A29,Registro!$H$5:$H$66,I$23)</f>
        <v>0</v>
      </c>
    </row>
    <row r="30" customFormat="false" ht="15" hidden="false" customHeight="false" outlineLevel="0" collapsed="false">
      <c r="A30" s="2" t="str">
        <f aca="false">Listas!$A$8</f>
        <v>Gas</v>
      </c>
      <c r="B30" s="20" t="n">
        <f aca="false">COUNTIFS(Registro!$F$5:$F$66,$A30,Registro!$H$5:$H$66,B$23)</f>
        <v>0</v>
      </c>
      <c r="C30" s="20" t="n">
        <f aca="false">COUNTIFS(Registro!$F$5:$F$66,$A30,Registro!$H$5:$H$66,C$23)</f>
        <v>0</v>
      </c>
      <c r="D30" s="20" t="n">
        <f aca="false">COUNTIFS(Registro!$F$5:$F$66,$A30,Registro!$H$5:$H$66,D$23)</f>
        <v>0</v>
      </c>
      <c r="E30" s="20" t="n">
        <f aca="false">COUNTIFS(Registro!$F$5:$F$66,$A30,Registro!$H$5:$H$66,E$23)</f>
        <v>0</v>
      </c>
      <c r="F30" s="20" t="n">
        <f aca="false">COUNTIFS(Registro!$F$5:$F$66,$A30,Registro!$H$5:$H$66,F$23)</f>
        <v>0</v>
      </c>
      <c r="G30" s="20" t="n">
        <f aca="false">COUNTIFS(Registro!$F$5:$F$66,$A30,Registro!$H$5:$H$66,G$23)</f>
        <v>0</v>
      </c>
      <c r="H30" s="20" t="n">
        <f aca="false">COUNTIFS(Registro!$F$5:$F$66,$A30,Registro!$H$5:$H$66,H$23)</f>
        <v>0</v>
      </c>
      <c r="I30" s="20" t="n">
        <f aca="false">COUNTIFS(Registro!$F$5:$F$66,$A30,Registro!$H$5:$H$66,I$23)</f>
        <v>0</v>
      </c>
    </row>
    <row r="31" customFormat="false" ht="15" hidden="false" customHeight="false" outlineLevel="0" collapsed="false">
      <c r="A31" s="2" t="str">
        <f aca="false">Listas!$A$9</f>
        <v>Corrientes Débiles</v>
      </c>
      <c r="B31" s="20" t="n">
        <f aca="false">COUNTIFS(Registro!$F$5:$F$66,$A31,Registro!$H$5:$H$66,B$23)</f>
        <v>0</v>
      </c>
      <c r="C31" s="20" t="n">
        <f aca="false">COUNTIFS(Registro!$F$5:$F$66,$A31,Registro!$H$5:$H$66,C$23)</f>
        <v>0</v>
      </c>
      <c r="D31" s="20" t="n">
        <f aca="false">COUNTIFS(Registro!$F$5:$F$66,$A31,Registro!$H$5:$H$66,D$23)</f>
        <v>0</v>
      </c>
      <c r="E31" s="20" t="n">
        <f aca="false">COUNTIFS(Registro!$F$5:$F$66,$A31,Registro!$H$5:$H$66,E$23)</f>
        <v>0</v>
      </c>
      <c r="F31" s="20" t="n">
        <f aca="false">COUNTIFS(Registro!$F$5:$F$66,$A31,Registro!$H$5:$H$66,F$23)</f>
        <v>0</v>
      </c>
      <c r="G31" s="20" t="n">
        <f aca="false">COUNTIFS(Registro!$F$5:$F$66,$A31,Registro!$H$5:$H$66,G$23)</f>
        <v>0</v>
      </c>
      <c r="H31" s="20" t="n">
        <f aca="false">COUNTIFS(Registro!$F$5:$F$66,$A31,Registro!$H$5:$H$66,H$23)</f>
        <v>0</v>
      </c>
      <c r="I31" s="20" t="n">
        <f aca="false">COUNTIFS(Registro!$F$5:$F$66,$A31,Registro!$H$5:$H$66,I$23)</f>
        <v>0</v>
      </c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</row>
    <row r="33" customFormat="false" ht="15" hidden="false" customHeight="false" outlineLevel="0" collapsed="false">
      <c r="A33" s="18" t="s">
        <v>115</v>
      </c>
      <c r="B33" s="18" t="s">
        <v>116</v>
      </c>
      <c r="C33" s="18" t="s">
        <v>108</v>
      </c>
      <c r="D33" s="14"/>
      <c r="E33" s="14"/>
      <c r="F33" s="14"/>
      <c r="G33" s="14"/>
      <c r="H33" s="14"/>
      <c r="I33" s="14"/>
    </row>
    <row r="34" customFormat="false" ht="15" hidden="false" customHeight="false" outlineLevel="0" collapsed="false">
      <c r="A34" s="14" t="str">
        <f aca="false">Listas!$E$2</f>
        <v>Subterráneo 2</v>
      </c>
      <c r="B34" s="14" t="n">
        <f aca="false">COUNTIF(Registro!$J$5:$J$66,A34)</f>
        <v>0</v>
      </c>
      <c r="C34" s="14" t="n">
        <f aca="false">COUNTIFS(Registro!$J$5:$J$66,A34,Registro!$N$5:$N$66,"&lt;&gt;Resuelto",Registro!$N$5:$N$66,"&lt;&gt;")</f>
        <v>0</v>
      </c>
      <c r="D34" s="14"/>
      <c r="E34" s="14"/>
      <c r="F34" s="14"/>
      <c r="G34" s="14"/>
      <c r="H34" s="14"/>
      <c r="I34" s="14"/>
    </row>
    <row r="35" customFormat="false" ht="15" hidden="false" customHeight="false" outlineLevel="0" collapsed="false">
      <c r="A35" s="14" t="str">
        <f aca="false">Listas!$E$3</f>
        <v>Subterráneo 1</v>
      </c>
      <c r="B35" s="14" t="n">
        <f aca="false">COUNTIF(Registro!$J$5:$J$66,A35)</f>
        <v>0</v>
      </c>
      <c r="C35" s="14" t="n">
        <f aca="false">COUNTIFS(Registro!$J$5:$J$66,A35,Registro!$N$5:$N$66,"&lt;&gt;Resuelto",Registro!$N$5:$N$66,"&lt;&gt;")</f>
        <v>0</v>
      </c>
      <c r="D35" s="14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14" t="str">
        <f aca="false">Listas!$E$4</f>
        <v>Piso 1</v>
      </c>
      <c r="B36" s="14" t="n">
        <f aca="false">COUNTIF(Registro!$J$5:$J$66,A36)</f>
        <v>0</v>
      </c>
      <c r="C36" s="14" t="n">
        <f aca="false">COUNTIFS(Registro!$J$5:$J$66,A36,Registro!$N$5:$N$66,"&lt;&gt;Resuelto",Registro!$N$5:$N$66,"&lt;&gt;")</f>
        <v>0</v>
      </c>
      <c r="D36" s="14"/>
      <c r="E36" s="14"/>
      <c r="F36" s="14"/>
      <c r="G36" s="14"/>
      <c r="H36" s="14"/>
      <c r="I36" s="14"/>
    </row>
    <row r="37" customFormat="false" ht="15" hidden="false" customHeight="false" outlineLevel="0" collapsed="false">
      <c r="A37" s="14" t="str">
        <f aca="false">Listas!$E$5</f>
        <v>Piso 2</v>
      </c>
      <c r="B37" s="14" t="n">
        <f aca="false">COUNTIF(Registro!$J$5:$J$66,A37)</f>
        <v>1</v>
      </c>
      <c r="C37" s="14" t="n">
        <f aca="false">COUNTIFS(Registro!$J$5:$J$66,A37,Registro!$N$5:$N$66,"&lt;&gt;Resuelto",Registro!$N$5:$N$66,"&lt;&gt;")</f>
        <v>1</v>
      </c>
      <c r="D37" s="14"/>
      <c r="E37" s="14"/>
      <c r="F37" s="14"/>
      <c r="G37" s="14"/>
      <c r="H37" s="14"/>
      <c r="I37" s="14"/>
    </row>
    <row r="38" customFormat="false" ht="15" hidden="false" customHeight="false" outlineLevel="0" collapsed="false">
      <c r="A38" s="14" t="str">
        <f aca="false">Listas!$E$6</f>
        <v>Piso 3</v>
      </c>
      <c r="B38" s="14" t="n">
        <f aca="false">COUNTIF(Registro!$J$5:$J$66,A38)</f>
        <v>0</v>
      </c>
      <c r="C38" s="14" t="n">
        <f aca="false">COUNTIFS(Registro!$J$5:$J$66,A38,Registro!$N$5:$N$66,"&lt;&gt;Resuelto",Registro!$N$5:$N$66,"&lt;&gt;")</f>
        <v>0</v>
      </c>
      <c r="D38" s="14"/>
      <c r="E38" s="14"/>
      <c r="F38" s="14"/>
      <c r="G38" s="14"/>
      <c r="H38" s="14"/>
      <c r="I38" s="14"/>
    </row>
    <row r="39" customFormat="false" ht="15" hidden="false" customHeight="false" outlineLevel="0" collapsed="false">
      <c r="A39" s="14" t="str">
        <f aca="false">Listas!$E$7</f>
        <v>Piso 4</v>
      </c>
      <c r="B39" s="14" t="n">
        <f aca="false">COUNTIF(Registro!$J$5:$J$66,A39)</f>
        <v>0</v>
      </c>
      <c r="C39" s="14" t="n">
        <f aca="false">COUNTIFS(Registro!$J$5:$J$66,A39,Registro!$N$5:$N$66,"&lt;&gt;Resuelto",Registro!$N$5:$N$66,"&lt;&gt;")</f>
        <v>0</v>
      </c>
      <c r="D39" s="14"/>
      <c r="E39" s="14"/>
      <c r="F39" s="14"/>
      <c r="G39" s="14"/>
      <c r="H39" s="14"/>
      <c r="I39" s="14"/>
    </row>
    <row r="40" customFormat="false" ht="15" hidden="false" customHeight="false" outlineLevel="0" collapsed="false">
      <c r="A40" s="14" t="str">
        <f aca="false">Listas!$E$8</f>
        <v>Cubierta</v>
      </c>
      <c r="B40" s="14" t="n">
        <f aca="false">COUNTIF(Registro!$J$5:$J$66,A40)</f>
        <v>0</v>
      </c>
      <c r="C40" s="14" t="n">
        <f aca="false">COUNTIFS(Registro!$J$5:$J$66,A40,Registro!$N$5:$N$66,"&lt;&gt;Resuelto",Registro!$N$5:$N$66,"&lt;&gt;")</f>
        <v>0</v>
      </c>
      <c r="D40" s="14"/>
      <c r="E40" s="14"/>
      <c r="F40" s="14"/>
      <c r="G40" s="14"/>
      <c r="H40" s="14"/>
      <c r="I40" s="14"/>
    </row>
  </sheetData>
  <conditionalFormatting sqref="B24:I31">
    <cfRule type="colorScale" priority="2">
      <colorScale>
        <cfvo type="num" val="0"/>
        <cfvo type="max" val="0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A1" s="18" t="s">
        <v>117</v>
      </c>
      <c r="B1" s="18" t="s">
        <v>20</v>
      </c>
      <c r="C1" s="18" t="s">
        <v>22</v>
      </c>
      <c r="D1" s="18" t="s">
        <v>23</v>
      </c>
      <c r="E1" s="18" t="s">
        <v>18</v>
      </c>
      <c r="F1" s="18" t="s">
        <v>24</v>
      </c>
      <c r="G1" s="14"/>
      <c r="H1" s="16" t="s">
        <v>118</v>
      </c>
    </row>
    <row r="2" customFormat="false" ht="15" hidden="false" customHeight="false" outlineLevel="0" collapsed="false">
      <c r="A2" s="21" t="s">
        <v>119</v>
      </c>
      <c r="B2" s="21" t="s">
        <v>37</v>
      </c>
      <c r="C2" s="21" t="s">
        <v>120</v>
      </c>
      <c r="D2" s="21" t="s">
        <v>39</v>
      </c>
      <c r="E2" s="21" t="s">
        <v>121</v>
      </c>
      <c r="F2" s="21" t="s">
        <v>122</v>
      </c>
      <c r="G2" s="14"/>
      <c r="H2" s="14"/>
    </row>
    <row r="3" customFormat="false" ht="15" hidden="false" customHeight="false" outlineLevel="0" collapsed="false">
      <c r="A3" s="21" t="s">
        <v>31</v>
      </c>
      <c r="B3" s="21" t="s">
        <v>123</v>
      </c>
      <c r="C3" s="21" t="s">
        <v>38</v>
      </c>
      <c r="D3" s="21" t="s">
        <v>124</v>
      </c>
      <c r="E3" s="21" t="s">
        <v>125</v>
      </c>
      <c r="F3" s="21" t="s">
        <v>119</v>
      </c>
      <c r="G3" s="14"/>
      <c r="H3" s="14"/>
    </row>
    <row r="4" customFormat="false" ht="15" hidden="false" customHeight="false" outlineLevel="0" collapsed="false">
      <c r="A4" s="21" t="s">
        <v>33</v>
      </c>
      <c r="B4" s="21" t="s">
        <v>126</v>
      </c>
      <c r="C4" s="21" t="s">
        <v>127</v>
      </c>
      <c r="D4" s="21" t="s">
        <v>128</v>
      </c>
      <c r="E4" s="21" t="s">
        <v>129</v>
      </c>
      <c r="F4" s="21" t="s">
        <v>31</v>
      </c>
      <c r="G4" s="14"/>
      <c r="H4" s="14"/>
    </row>
    <row r="5" customFormat="false" ht="15" hidden="false" customHeight="false" outlineLevel="0" collapsed="false">
      <c r="A5" s="21" t="s">
        <v>130</v>
      </c>
      <c r="B5" s="14"/>
      <c r="C5" s="21" t="s">
        <v>131</v>
      </c>
      <c r="D5" s="14"/>
      <c r="E5" s="21" t="s">
        <v>35</v>
      </c>
      <c r="F5" s="21" t="s">
        <v>40</v>
      </c>
      <c r="G5" s="14"/>
      <c r="H5" s="14"/>
    </row>
    <row r="6" customFormat="false" ht="15" hidden="false" customHeight="false" outlineLevel="0" collapsed="false">
      <c r="A6" s="21" t="s">
        <v>132</v>
      </c>
      <c r="B6" s="14"/>
      <c r="C6" s="21" t="s">
        <v>133</v>
      </c>
      <c r="D6" s="14"/>
      <c r="E6" s="21" t="s">
        <v>134</v>
      </c>
      <c r="F6" s="14"/>
      <c r="G6" s="14"/>
      <c r="H6" s="14"/>
    </row>
    <row r="7" customFormat="false" ht="15" hidden="false" customHeight="false" outlineLevel="0" collapsed="false">
      <c r="A7" s="21" t="s">
        <v>135</v>
      </c>
      <c r="B7" s="14"/>
      <c r="C7" s="14"/>
      <c r="D7" s="14"/>
      <c r="E7" s="21" t="s">
        <v>136</v>
      </c>
      <c r="F7" s="14"/>
      <c r="G7" s="14"/>
      <c r="H7" s="14"/>
    </row>
    <row r="8" customFormat="false" ht="15" hidden="false" customHeight="false" outlineLevel="0" collapsed="false">
      <c r="A8" s="21" t="s">
        <v>137</v>
      </c>
      <c r="B8" s="14"/>
      <c r="C8" s="14"/>
      <c r="D8" s="14"/>
      <c r="E8" s="21" t="s">
        <v>138</v>
      </c>
      <c r="F8" s="14"/>
      <c r="G8" s="14"/>
      <c r="H8" s="14"/>
    </row>
    <row r="9" customFormat="false" ht="15" hidden="false" customHeight="false" outlineLevel="0" collapsed="false">
      <c r="A9" s="21" t="s">
        <v>139</v>
      </c>
      <c r="B9" s="14"/>
      <c r="C9" s="14"/>
      <c r="D9" s="14"/>
      <c r="E9" s="14"/>
      <c r="F9" s="14"/>
      <c r="G9" s="14"/>
      <c r="H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2" t="s">
        <v>141</v>
      </c>
    </row>
    <row r="3" customFormat="false" ht="15" hidden="false" customHeight="false" outlineLevel="0" collapsed="false">
      <c r="A3" s="22" t="s">
        <v>142</v>
      </c>
    </row>
    <row r="4" customFormat="false" ht="15" hidden="false" customHeight="false" outlineLevel="0" collapsed="false">
      <c r="A4" s="22" t="s">
        <v>143</v>
      </c>
    </row>
    <row r="5" customFormat="false" ht="15" hidden="false" customHeight="false" outlineLevel="0" collapsed="false">
      <c r="A5" s="22" t="s">
        <v>144</v>
      </c>
    </row>
    <row r="6" customFormat="false" ht="15" hidden="false" customHeight="false" outlineLevel="0" collapsed="false">
      <c r="A6" s="22" t="s">
        <v>145</v>
      </c>
    </row>
    <row r="7" customFormat="false" ht="15" hidden="false" customHeight="false" outlineLevel="0" collapsed="false">
      <c r="A7" s="22" t="s">
        <v>146</v>
      </c>
    </row>
    <row r="8" customFormat="false" ht="15" hidden="false" customHeight="false" outlineLevel="0" collapsed="false">
      <c r="A8" s="22" t="s">
        <v>147</v>
      </c>
    </row>
    <row r="9" customFormat="false" ht="15" hidden="false" customHeight="false" outlineLevel="0" collapsed="false">
      <c r="A9" s="22" t="s">
        <v>148</v>
      </c>
    </row>
    <row r="10" customFormat="false" ht="15" hidden="false" customHeight="false" outlineLevel="0" collapsed="false">
      <c r="A10" s="22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2026-10-09T22:09:38Z</dcterms:created>
  <dc:creator>openpyxl</dc:creator>
  <dc:description/>
  <dc:language>en-US</dc:language>
  <cp:lastModifiedBy/>
  <dcterms:modified xsi:type="dcterms:W3CDTF">2026-10-09T22:09:42Z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