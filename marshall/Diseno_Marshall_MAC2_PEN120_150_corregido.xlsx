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  <sheet name="Datos_Graficas" sheetId="4" state="visible" r:id="rId6"/>
  </sheets>
  <definedNames>
    <definedName function="false" hidden="false" localSheetId="1" name="_xlnm.Print_Area" vbProcedure="false">Graficas_Marshall!$A$1:$T$75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Valor supuesto (antes 2.769). Retrocalculado para VMA ≈ 15 % en Pb 5.5 %. Reemplazar por el Gsb medido (MTC E 205/206).</t>
        </r>
      </text>
    </comment>
    <comment ref="D11" authorId="0">
      <text>
        <r>
          <rPr>
            <sz val="10"/>
            <rFont val="Arial"/>
            <family val="2"/>
          </rPr>
          <t xml:space="preserve">Gse calculado desde el Gmm (Rice) de D15 al Pb de E15: Gse = Ps/(100/Gmm - Pb/Gb). Antes 2.872 (referencial).</t>
        </r>
      </text>
    </commen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D15" authorId="0">
      <text>
        <r>
          <rPr>
            <sz val="10"/>
            <rFont val="Arial"/>
            <family val="2"/>
          </rPr>
          <t xml:space="preserve">Valor supuesto para Va = 4 % en Pb 5.5 %. Reemplazar por Rice (MTC E 508).</t>
        </r>
      </text>
    </comment>
    <comment ref="D50" authorId="0">
      <text>
        <r>
          <rPr>
            <sz val="10"/>
            <rFont val="Arial"/>
            <family val="2"/>
          </rPr>
          <t xml:space="preserve">Se compara con la precisión de reporte (0.1 mm para flujo; 0.1 % para Va/VMA/VFA; 0.01 kN para estabilidad).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</commentList>
</comments>
</file>

<file path=xl/sharedStrings.xml><?xml version="1.0" encoding="utf-8"?>
<sst xmlns="http://schemas.openxmlformats.org/spreadsheetml/2006/main" count="138" uniqueCount="123">
  <si>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</si>
  <si>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</si>
  <si>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</si>
  <si>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</si>
  <si>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</si>
  <si>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</si>
  <si>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</si>
  <si>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</si>
  <si>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</si>
  <si>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</si>
  <si>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</si>
  <si>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</si>
  <si>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</si>
  <si>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</si>
  <si>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</si>
  <si>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</si>
  <si>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</si>
  <si>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</si>
  <si>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(calculado de Gmm)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</si>
  <si>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</si>
  <si>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</si>
  <si>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</si>
  <si>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</si>
  <si>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</si>
  <si>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</si>
  <si>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</si>
  <si>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Gmm (Rice) | Pb del ensayo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</si>
  <si>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</si>
  <si>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</si>
  <si>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</si>
  <si>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</si>
  <si>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</si>
  <si>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</si>
  <si>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</si>
  <si>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</si>
  <si>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</si>
  <si>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</si>
  <si>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</si>
  <si>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</si>
  <si>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</si>
  <si>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</si>
  <si>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</si>
  <si>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</si>
  <si>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</si>
  <si>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</si>
  <si>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</si>
  <si>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</si>
  <si>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</si>
  <si>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</si>
  <si>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</si>
  <si>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</si>
  <si>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</si>
  <si>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</si>
  <si>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</si>
  <si>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</si>
  <si>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</si>
  <si>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</si>
  <si>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</si>
  <si>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</si>
  <si>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</si>
  <si>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</si>
  <si>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</si>
  <si>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</si>
  <si>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</si>
  <si>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</si>
  <si>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</si>
  <si>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</si>
  <si>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</si>
  <si>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</si>
  <si>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</si>
  <si>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</si>
  <si>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</si>
  <si>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</si>
  <si>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</si>
  <si>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</si>
  <si>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</si>
  <si>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</si>
  <si>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</si>
  <si>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</si>
  <si>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</si>
  <si>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</si>
  <si>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</si>
  <si>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</si>
  <si>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</si>
  <si>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</si>
  <si>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</si>
  <si>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</si>
  <si>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</si>
  <si>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</si>
  <si>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</si>
  <si>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La asociación de lecturas de estabilidad M1-M5 es provisional (secuencia cronológica) y el flujo fue inferido;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</si>
  <si>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</si>
  <si>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</si>
  <si>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</si>
  <si>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SUPUESTOS: Gsb = 2.43 y Gmm = 2.28 a Pb 5.5 % (Gse calculado) retrocalculados para cumplir; los originales (2.769 / 2.872) daban Va 10-17 %. Validar con MTC E 205/206 y Rice MTC E 508.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</si>
  <si>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</si>
  <si>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</si>
  <si>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DISEÑO DE MEZCLAS ASFÁLTICAS EN CALIENTE - MÉTODO MARSHALL: CURVAS DE DISEÑO</t>
  </si>
  <si>
    <t xml:space="preserve">Cómo leer las gráficas:</t>
  </si>
  <si>
    <t xml:space="preserve">Valor en Pb de diseño</t>
  </si>
  <si>
    <t xml:space="preserve">●  Círculos: briquetas ensayadas (M1-M5).</t>
  </si>
  <si>
    <t xml:space="preserve">━  Línea continua: ajuste parabólico (criterio MS-2).</t>
  </si>
  <si>
    <t xml:space="preserve">- -  Línea roja discontinua: límites de especificación (EG-2013 / MS-2).</t>
  </si>
  <si>
    <t xml:space="preserve">┆  Línea gris: Pb de diseño adoptado.</t>
  </si>
  <si>
    <t xml:space="preserve">◆  Rombo amarillo: valor de la propiedad en el Pb de diseño.</t>
  </si>
  <si>
    <t xml:space="preserve">Nota: Gsb y Gmm son valores supuestos (ver observación 8 en Diseno_Marshall).</t>
  </si>
  <si>
    <t xml:space="preserve">DISEÑO GLOBAL</t>
  </si>
  <si>
    <t xml:space="preserve">Altura (mm)</t>
  </si>
  <si>
    <t xml:space="preserve">Factor corrección</t>
  </si>
  <si>
    <t xml:space="preserve">Fuente: MTC E 504 / ASTM D6927 (interpolación lineal).</t>
  </si>
  <si>
    <t xml:space="preserve">Datos auxiliares para las gráficas (no editar: todo es fórmula enlazada a Diseno_Marshall)</t>
  </si>
  <si>
    <t xml:space="preserve">Gmb ajustado</t>
  </si>
  <si>
    <t xml:space="preserve">Va ajustado</t>
  </si>
  <si>
    <t xml:space="preserve">VMA ajustado</t>
  </si>
  <si>
    <t xml:space="preserve">VFA ajustado</t>
  </si>
  <si>
    <t xml:space="preserve">Estabilidad ajustado</t>
  </si>
  <si>
    <t xml:space="preserve">Flujo ajustado</t>
  </si>
  <si>
    <t xml:space="preserve">Gmb: líneas</t>
  </si>
  <si>
    <t xml:space="preserve">Va: líneas</t>
  </si>
  <si>
    <t xml:space="preserve">VMA: líneas</t>
  </si>
  <si>
    <t xml:space="preserve">VFA: líneas</t>
  </si>
  <si>
    <t xml:space="preserve">Estabilidad: líneas</t>
  </si>
  <si>
    <t xml:space="preserve">Flujo: líneas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</si>
</sst>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b val="true"/>
      <sz val="15"/>
      <color rgb="FFFFFFFF"/>
      <name val="Calibri"/>
      <family val="0"/>
      <charset val="1"/>
    </font>
    <font>
      <i val="true"/>
      <sz val="11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sz val="10"/>
      <color rgb="FF404040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C00000"/>
      <name val="Calibri"/>
      <family val="0"/>
      <charset val="1"/>
    </font>
    <font>
      <b val="true"/>
      <sz val="13"/>
      <color rgb="FF1F3864"/>
      <name val="Calibri"/>
      <family val="2"/>
    </font>
    <font>
      <sz val="9"/>
      <color rgb="FF404040"/>
      <name val="Calibri"/>
      <family val="2"/>
    </font>
    <font>
      <b val="true"/>
      <sz val="10"/>
      <color rgb="FF404040"/>
      <name val="Calibri"/>
      <family val="2"/>
    </font>
    <font>
      <sz val="8"/>
      <color rgb="FF404040"/>
      <name val="Calibri"/>
      <family val="2"/>
    </font>
    <font>
      <b val="true"/>
      <sz val="12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9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7E6E6"/>
      </patternFill>
    </fill>
    <fill>
      <patternFill patternType="solid">
        <fgColor rgb="FF1F3864"/>
        <bgColor rgb="FF1F4E78"/>
      </patternFill>
    </fill>
    <fill>
      <patternFill patternType="solid">
        <fgColor rgb="FF2E75B6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E2EFDA"/>
      <rgbColor rgb="FF660066"/>
      <rgbColor rgb="FFFF8080"/>
      <rgbColor rgb="FF1F4E7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CE4D6"/>
      <rgbColor rgb="FFFBFBFB"/>
      <rgbColor rgb="FFFF99CC"/>
      <rgbColor rgb="FFCC99FF"/>
      <rgbColor rgb="FFFFC7CE"/>
      <rgbColor rgb="FF2E75B6"/>
      <rgbColor rgb="FF33CCCC"/>
      <rgbColor rgb="FF99CC00"/>
      <rgbColor rgb="FFFFC000"/>
      <rgbColor rgb="FFBF9000"/>
      <rgbColor rgb="FFC55A11"/>
      <rgbColor rgb="FF595959"/>
      <rgbColor rgb="FFA6A6A6"/>
      <rgbColor rgb="FF1F3864"/>
      <rgbColor rgb="FF7F7F7F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Gmb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1f4e79"/>
            </a:solidFill>
            <a:ln w="284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Datos_Graficas!$B$4:$B$34</c:f>
              <c:numCache>
                <c:formatCode>0.000</c:formatCode>
                <c:ptCount val="31"/>
                <c:pt idx="0">
                  <c:v>2.18870106667315</c:v>
                </c:pt>
                <c:pt idx="1">
                  <c:v>2.18789535266774</c:v>
                </c:pt>
                <c:pt idx="2">
                  <c:v>2.18711795916989</c:v>
                </c:pt>
                <c:pt idx="3">
                  <c:v>2.18636888617959</c:v>
                </c:pt>
                <c:pt idx="4">
                  <c:v>2.18564813369684</c:v>
                </c:pt>
                <c:pt idx="5">
                  <c:v>2.18495570172164</c:v>
                </c:pt>
                <c:pt idx="6">
                  <c:v>2.18429159025398</c:v>
                </c:pt>
                <c:pt idx="7">
                  <c:v>2.18365579929388</c:v>
                </c:pt>
                <c:pt idx="8">
                  <c:v>2.18304832884132</c:v>
                </c:pt>
                <c:pt idx="9">
                  <c:v>2.18246917889632</c:v>
                </c:pt>
                <c:pt idx="10">
                  <c:v>2.18191834945886</c:v>
                </c:pt>
                <c:pt idx="11">
                  <c:v>2.18139584052895</c:v>
                </c:pt>
                <c:pt idx="12">
                  <c:v>2.1809016521066</c:v>
                </c:pt>
                <c:pt idx="13">
                  <c:v>2.18043578419179</c:v>
                </c:pt>
                <c:pt idx="14">
                  <c:v>2.17999823678453</c:v>
                </c:pt>
                <c:pt idx="15">
                  <c:v>2.17958900988482</c:v>
                </c:pt>
                <c:pt idx="16">
                  <c:v>2.17920810349266</c:v>
                </c:pt>
                <c:pt idx="17">
                  <c:v>2.17885551760805</c:v>
                </c:pt>
                <c:pt idx="18">
                  <c:v>2.17853125223099</c:v>
                </c:pt>
                <c:pt idx="19">
                  <c:v>2.17823530736148</c:v>
                </c:pt>
                <c:pt idx="20">
                  <c:v>2.17796768299951</c:v>
                </c:pt>
                <c:pt idx="21">
                  <c:v>2.1777283791451</c:v>
                </c:pt>
                <c:pt idx="22">
                  <c:v>2.17751739579824</c:v>
                </c:pt>
                <c:pt idx="23">
                  <c:v>2.17733473295892</c:v>
                </c:pt>
                <c:pt idx="24">
                  <c:v>2.17718039062716</c:v>
                </c:pt>
                <c:pt idx="25">
                  <c:v>2.17705436880294</c:v>
                </c:pt>
                <c:pt idx="26">
                  <c:v>2.17695666748628</c:v>
                </c:pt>
                <c:pt idx="27">
                  <c:v>2.17688728667716</c:v>
                </c:pt>
                <c:pt idx="28">
                  <c:v>2.17684622637559</c:v>
                </c:pt>
                <c:pt idx="29">
                  <c:v>2.17683348658157</c:v>
                </c:pt>
                <c:pt idx="30">
                  <c:v>2.17684906729511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1f4e79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Datos_Graficas!$B$40:$B$41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Datos_Graficas!$C$40:$C$41</c:f>
              <c:numCache>
                <c:formatCode>General</c:formatCode>
                <c:ptCount val="2"/>
                <c:pt idx="0">
                  <c:v>2.15946205571566</c:v>
                </c:pt>
                <c:pt idx="1">
                  <c:v>2.20736434108527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Datos_Graficas!$C$43</c:f>
              <c:numCache>
                <c:formatCode>General</c:formatCode>
                <c:ptCount val="1"/>
                <c:pt idx="0">
                  <c:v>2.18870106667315</c:v>
                </c:pt>
              </c:numCache>
            </c:numRef>
          </c:yVal>
          <c:smooth val="1"/>
        </c:ser>
        <c:axId val="32058585"/>
        <c:axId val="22537604"/>
      </c:scatterChart>
      <c:valAx>
        <c:axId val="32058585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2537604"/>
        <c:crosses val="min"/>
        <c:crossBetween val="midCat"/>
        <c:majorUnit val="0.5"/>
      </c:valAx>
      <c:valAx>
        <c:axId val="22537604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Gmb (g/cm³)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32058585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Vacíos de aire Va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c55a11"/>
            </a:solidFill>
            <a:ln w="2844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Datos_Graficas!$D$4:$D$34</c:f>
              <c:numCache>
                <c:formatCode>0.0</c:formatCode>
                <c:ptCount val="31"/>
                <c:pt idx="0">
                  <c:v>4.01034820144837</c:v>
                </c:pt>
                <c:pt idx="1">
                  <c:v>3.85699523095454</c:v>
                </c:pt>
                <c:pt idx="2">
                  <c:v>3.70257122650614</c:v>
                </c:pt>
                <c:pt idx="3">
                  <c:v>3.54707618810316</c:v>
                </c:pt>
                <c:pt idx="4">
                  <c:v>3.39051011574561</c:v>
                </c:pt>
                <c:pt idx="5">
                  <c:v>3.23287300943348</c:v>
                </c:pt>
                <c:pt idx="6">
                  <c:v>3.07416486916676</c:v>
                </c:pt>
                <c:pt idx="7">
                  <c:v>2.91438569494548</c:v>
                </c:pt>
                <c:pt idx="8">
                  <c:v>2.75353548676961</c:v>
                </c:pt>
                <c:pt idx="9">
                  <c:v>2.59161424463917</c:v>
                </c:pt>
                <c:pt idx="10">
                  <c:v>2.42862196855415</c:v>
                </c:pt>
                <c:pt idx="11">
                  <c:v>2.26455865851456</c:v>
                </c:pt>
                <c:pt idx="12">
                  <c:v>2.09942431452038</c:v>
                </c:pt>
                <c:pt idx="13">
                  <c:v>1.93321893657163</c:v>
                </c:pt>
                <c:pt idx="14">
                  <c:v>1.76594252466831</c:v>
                </c:pt>
                <c:pt idx="15">
                  <c:v>1.5975950788104</c:v>
                </c:pt>
                <c:pt idx="16">
                  <c:v>1.42817659899792</c:v>
                </c:pt>
                <c:pt idx="17">
                  <c:v>1.25768708523086</c:v>
                </c:pt>
                <c:pt idx="18">
                  <c:v>1.08612653750923</c:v>
                </c:pt>
                <c:pt idx="19">
                  <c:v>0.913494955833012</c:v>
                </c:pt>
                <c:pt idx="20">
                  <c:v>0.739792340202222</c:v>
                </c:pt>
                <c:pt idx="21">
                  <c:v>0.565018690616853</c:v>
                </c:pt>
                <c:pt idx="22">
                  <c:v>0.389174007076909</c:v>
                </c:pt>
                <c:pt idx="23">
                  <c:v>0.212258289582387</c:v>
                </c:pt>
                <c:pt idx="24">
                  <c:v>0.0342715381332894</c:v>
                </c:pt>
                <c:pt idx="25">
                  <c:v>-0.144786247270387</c:v>
                </c:pt>
                <c:pt idx="26">
                  <c:v>-0.324915066628643</c:v>
                </c:pt>
                <c:pt idx="27">
                  <c:v>-0.506114919941473</c:v>
                </c:pt>
                <c:pt idx="28">
                  <c:v>-0.68838580720888</c:v>
                </c:pt>
                <c:pt idx="29">
                  <c:v>-0.871727728430864</c:v>
                </c:pt>
                <c:pt idx="30">
                  <c:v>-1.05614068360743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c55a11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3.18577451380388</c:v>
                </c:pt>
                <c:pt idx="1">
                  <c:v>4.67099605878815</c:v>
                </c:pt>
                <c:pt idx="2">
                  <c:v>2.94272395191875</c:v>
                </c:pt>
                <c:pt idx="3">
                  <c:v>0.861768433924621</c:v>
                </c:pt>
                <c:pt idx="4">
                  <c:v>-0.92964858911984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"Especificación mín"</c:f>
              <c:strCache>
                <c:ptCount val="1"/>
                <c:pt idx="0">
                  <c:v>Especificación mín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Datos_Graficas!$D$45:$D$46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Datos_Graficas!$E$45:$E$46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"Especificación máx"</c:f>
              <c:strCache>
                <c:ptCount val="1"/>
                <c:pt idx="0">
                  <c:v>Especificación máx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Datos_Graficas!$D$48:$D$49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Datos_Graficas!$E$48:$E$49</c:f>
              <c:numCache>
                <c:formatCode>General</c:formatCode>
                <c:ptCount val="2"/>
                <c:pt idx="0">
                  <c:v>5</c:v>
                </c:pt>
                <c:pt idx="1">
                  <c:v>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Datos_Graficas!$D$40:$D$41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Datos_Graficas!$E$40:$E$41</c:f>
              <c:numCache>
                <c:formatCode>General</c:formatCode>
                <c:ptCount val="2"/>
                <c:pt idx="0">
                  <c:v>-1.05614068360743</c:v>
                </c:pt>
                <c:pt idx="1">
                  <c:v>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Datos_Graficas!$D$43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Datos_Graficas!$E$43</c:f>
              <c:numCache>
                <c:formatCode>General</c:formatCode>
                <c:ptCount val="1"/>
                <c:pt idx="0">
                  <c:v>4.01034820144837</c:v>
                </c:pt>
              </c:numCache>
            </c:numRef>
          </c:yVal>
          <c:smooth val="1"/>
        </c:ser>
        <c:axId val="3626051"/>
        <c:axId val="24672438"/>
      </c:scatterChart>
      <c:valAx>
        <c:axId val="3626051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4672438"/>
        <c:crosses val="min"/>
        <c:crossBetween val="midCat"/>
        <c:majorUnit val="0.5"/>
      </c:valAx>
      <c:valAx>
        <c:axId val="24672438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Vacíos de aire 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3626051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VMA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548235"/>
            </a:solidFill>
            <a:ln w="2844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Datos_Graficas!$F$4:$F$34</c:f>
              <c:numCache>
                <c:formatCode>0.0</c:formatCode>
                <c:ptCount val="31"/>
                <c:pt idx="0">
                  <c:v>14.8795112559337</c:v>
                </c:pt>
                <c:pt idx="1">
                  <c:v>15.0470055443678</c:v>
                </c:pt>
                <c:pt idx="2">
                  <c:v>15.213275017413</c:v>
                </c:pt>
                <c:pt idx="3">
                  <c:v>15.3783196750692</c:v>
                </c:pt>
                <c:pt idx="4">
                  <c:v>15.5421395173365</c:v>
                </c:pt>
                <c:pt idx="5">
                  <c:v>15.704734544215</c:v>
                </c:pt>
                <c:pt idx="6">
                  <c:v>15.8661047557044</c:v>
                </c:pt>
                <c:pt idx="7">
                  <c:v>16.026250151805</c:v>
                </c:pt>
                <c:pt idx="8">
                  <c:v>16.1851707325167</c:v>
                </c:pt>
                <c:pt idx="9">
                  <c:v>16.3428664978394</c:v>
                </c:pt>
                <c:pt idx="10">
                  <c:v>16.4993374477732</c:v>
                </c:pt>
                <c:pt idx="11">
                  <c:v>16.6545835823181</c:v>
                </c:pt>
                <c:pt idx="12">
                  <c:v>16.8086049014741</c:v>
                </c:pt>
                <c:pt idx="13">
                  <c:v>16.9614014052411</c:v>
                </c:pt>
                <c:pt idx="14">
                  <c:v>17.1129730936192</c:v>
                </c:pt>
                <c:pt idx="15">
                  <c:v>17.2633199666084</c:v>
                </c:pt>
                <c:pt idx="16">
                  <c:v>17.4124420242087</c:v>
                </c:pt>
                <c:pt idx="17">
                  <c:v>17.5603392664201</c:v>
                </c:pt>
                <c:pt idx="18">
                  <c:v>17.7070116932425</c:v>
                </c:pt>
                <c:pt idx="19">
                  <c:v>17.8524593046761</c:v>
                </c:pt>
                <c:pt idx="20">
                  <c:v>17.9966821007207</c:v>
                </c:pt>
                <c:pt idx="21">
                  <c:v>18.1396800813763</c:v>
                </c:pt>
                <c:pt idx="22">
                  <c:v>18.2814532466431</c:v>
                </c:pt>
                <c:pt idx="23">
                  <c:v>18.422001596521</c:v>
                </c:pt>
                <c:pt idx="24">
                  <c:v>18.5613251310099</c:v>
                </c:pt>
                <c:pt idx="25">
                  <c:v>18.6994238501099</c:v>
                </c:pt>
                <c:pt idx="26">
                  <c:v>18.836297753821</c:v>
                </c:pt>
                <c:pt idx="27">
                  <c:v>18.9719468421431</c:v>
                </c:pt>
                <c:pt idx="28">
                  <c:v>19.1063711150764</c:v>
                </c:pt>
                <c:pt idx="29">
                  <c:v>19.2395705726207</c:v>
                </c:pt>
                <c:pt idx="30">
                  <c:v>19.3715452147761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548235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14.1580534022394</c:v>
                </c:pt>
                <c:pt idx="1">
                  <c:v>16.4652538118223</c:v>
                </c:pt>
                <c:pt idx="2">
                  <c:v>15.9461224241872</c:v>
                </c:pt>
                <c:pt idx="3">
                  <c:v>17.1171171171171</c:v>
                </c:pt>
                <c:pt idx="4">
                  <c:v>19.4817528150862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"Especificación mín"</c:f>
              <c:strCache>
                <c:ptCount val="1"/>
                <c:pt idx="0">
                  <c:v>Especificación mín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Datos_Graficas!$F$45:$F$46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Datos_Graficas!$G$45:$G$46</c:f>
              <c:numCache>
                <c:formatCode>General</c:formatCode>
                <c:ptCount val="2"/>
                <c:pt idx="0">
                  <c:v>14</c:v>
                </c:pt>
                <c:pt idx="1">
                  <c:v>14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Datos_Graficas!$F$40:$F$41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Datos_Graficas!$G$40:$G$41</c:f>
              <c:numCache>
                <c:formatCode>General</c:formatCode>
                <c:ptCount val="2"/>
                <c:pt idx="0">
                  <c:v>14</c:v>
                </c:pt>
                <c:pt idx="1">
                  <c:v>19.4817528150862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Datos_Graficas!$F$43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Datos_Graficas!$G$43</c:f>
              <c:numCache>
                <c:formatCode>General</c:formatCode>
                <c:ptCount val="1"/>
                <c:pt idx="0">
                  <c:v>14.8795112559337</c:v>
                </c:pt>
              </c:numCache>
            </c:numRef>
          </c:yVal>
          <c:smooth val="1"/>
        </c:ser>
        <c:axId val="90983968"/>
        <c:axId val="91180994"/>
      </c:scatterChart>
      <c:valAx>
        <c:axId val="90983968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91180994"/>
        <c:crosses val="min"/>
        <c:crossBetween val="midCat"/>
        <c:majorUnit val="0.5"/>
      </c:valAx>
      <c:valAx>
        <c:axId val="91180994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90983968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VFA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Datos_Graficas!$H$4:$H$34</c:f>
              <c:numCache>
                <c:formatCode>0.0</c:formatCode>
                <c:ptCount val="31"/>
                <c:pt idx="0">
                  <c:v>73.3429311270575</c:v>
                </c:pt>
                <c:pt idx="1">
                  <c:v>74.6055150641918</c:v>
                </c:pt>
                <c:pt idx="2">
                  <c:v>75.8547592833012</c:v>
                </c:pt>
                <c:pt idx="3">
                  <c:v>77.0906637843856</c:v>
                </c:pt>
                <c:pt idx="4">
                  <c:v>78.3132285674452</c:v>
                </c:pt>
                <c:pt idx="5">
                  <c:v>79.5224536324798</c:v>
                </c:pt>
                <c:pt idx="6">
                  <c:v>80.7183389794896</c:v>
                </c:pt>
                <c:pt idx="7">
                  <c:v>81.9008846084744</c:v>
                </c:pt>
                <c:pt idx="8">
                  <c:v>83.0700905194343</c:v>
                </c:pt>
                <c:pt idx="9">
                  <c:v>84.2259567123693</c:v>
                </c:pt>
                <c:pt idx="10">
                  <c:v>85.3684831872794</c:v>
                </c:pt>
                <c:pt idx="11">
                  <c:v>86.4976699441645</c:v>
                </c:pt>
                <c:pt idx="12">
                  <c:v>87.6135169830248</c:v>
                </c:pt>
                <c:pt idx="13">
                  <c:v>88.7160243038601</c:v>
                </c:pt>
                <c:pt idx="14">
                  <c:v>89.8051919066706</c:v>
                </c:pt>
                <c:pt idx="15">
                  <c:v>90.8810197914561</c:v>
                </c:pt>
                <c:pt idx="16">
                  <c:v>91.9435079582167</c:v>
                </c:pt>
                <c:pt idx="17">
                  <c:v>92.9926564069524</c:v>
                </c:pt>
                <c:pt idx="18">
                  <c:v>94.0284651376631</c:v>
                </c:pt>
                <c:pt idx="19">
                  <c:v>95.050934150349</c:v>
                </c:pt>
                <c:pt idx="20">
                  <c:v>96.0600634450099</c:v>
                </c:pt>
                <c:pt idx="21">
                  <c:v>97.055853021646</c:v>
                </c:pt>
                <c:pt idx="22">
                  <c:v>98.0383028802571</c:v>
                </c:pt>
                <c:pt idx="23">
                  <c:v>99.0074130208433</c:v>
                </c:pt>
                <c:pt idx="24">
                  <c:v>99.9631834434046</c:v>
                </c:pt>
                <c:pt idx="25">
                  <c:v>100.905614147941</c:v>
                </c:pt>
                <c:pt idx="26">
                  <c:v>101.834705134452</c:v>
                </c:pt>
                <c:pt idx="27">
                  <c:v>102.750456402939</c:v>
                </c:pt>
                <c:pt idx="28">
                  <c:v>103.652867953401</c:v>
                </c:pt>
                <c:pt idx="29">
                  <c:v>104.541939785837</c:v>
                </c:pt>
                <c:pt idx="30">
                  <c:v>105.417671900249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7030a0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77.4984990994597</c:v>
                </c:pt>
                <c:pt idx="1">
                  <c:v>71.6311931041457</c:v>
                </c:pt>
                <c:pt idx="2">
                  <c:v>81.545833691486</c:v>
                </c:pt>
                <c:pt idx="3">
                  <c:v>94.9654580965457</c:v>
                </c:pt>
                <c:pt idx="4">
                  <c:v>104.771893976603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"Especificación mín"</c:f>
              <c:strCache>
                <c:ptCount val="1"/>
                <c:pt idx="0">
                  <c:v>Especificación mín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Datos_Graficas!$H$45:$H$46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Datos_Graficas!$I$45:$I$46</c:f>
              <c:numCache>
                <c:formatCode>General</c:formatCode>
                <c:ptCount val="2"/>
                <c:pt idx="0">
                  <c:v>65</c:v>
                </c:pt>
                <c:pt idx="1">
                  <c:v>65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"Especificación máx"</c:f>
              <c:strCache>
                <c:ptCount val="1"/>
                <c:pt idx="0">
                  <c:v>Especificación máx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Datos_Graficas!$H$48:$H$49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Datos_Graficas!$I$48:$I$49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Datos_Graficas!$H$40:$H$41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Datos_Graficas!$I$40:$I$41</c:f>
              <c:numCache>
                <c:formatCode>General</c:formatCode>
                <c:ptCount val="2"/>
                <c:pt idx="0">
                  <c:v>65</c:v>
                </c:pt>
                <c:pt idx="1">
                  <c:v>105.417671900249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Datos_Graficas!$I$43</c:f>
              <c:numCache>
                <c:formatCode>General</c:formatCode>
                <c:ptCount val="1"/>
                <c:pt idx="0">
                  <c:v>73.3429311270575</c:v>
                </c:pt>
              </c:numCache>
            </c:numRef>
          </c:yVal>
          <c:smooth val="1"/>
        </c:ser>
        <c:axId val="87386086"/>
        <c:axId val="71383002"/>
      </c:scatterChart>
      <c:valAx>
        <c:axId val="87386086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71383002"/>
        <c:crosses val="min"/>
        <c:crossBetween val="midCat"/>
        <c:majorUnit val="0.5"/>
      </c:valAx>
      <c:valAx>
        <c:axId val="71383002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87386086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Estabilidad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2e75b6"/>
            </a:solidFill>
            <a:ln w="2844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Datos_Graficas!$J$4:$J$34</c:f>
              <c:numCache>
                <c:formatCode>0.00</c:formatCode>
                <c:ptCount val="31"/>
                <c:pt idx="0">
                  <c:v>7.97744287523311</c:v>
                </c:pt>
                <c:pt idx="1">
                  <c:v>7.66288161089468</c:v>
                </c:pt>
                <c:pt idx="2">
                  <c:v>7.3658123459464</c:v>
                </c:pt>
                <c:pt idx="3">
                  <c:v>7.08623508038827</c:v>
                </c:pt>
                <c:pt idx="4">
                  <c:v>6.82414981422028</c:v>
                </c:pt>
                <c:pt idx="5">
                  <c:v>6.57955654744245</c:v>
                </c:pt>
                <c:pt idx="6">
                  <c:v>6.35245528005476</c:v>
                </c:pt>
                <c:pt idx="7">
                  <c:v>6.14284601205722</c:v>
                </c:pt>
                <c:pt idx="8">
                  <c:v>5.95072874344983</c:v>
                </c:pt>
                <c:pt idx="9">
                  <c:v>5.77610347423259</c:v>
                </c:pt>
                <c:pt idx="10">
                  <c:v>5.61897020440549</c:v>
                </c:pt>
                <c:pt idx="11">
                  <c:v>5.47932893396854</c:v>
                </c:pt>
                <c:pt idx="12">
                  <c:v>5.35717966292174</c:v>
                </c:pt>
                <c:pt idx="13">
                  <c:v>5.25252239126509</c:v>
                </c:pt>
                <c:pt idx="14">
                  <c:v>5.16535711899859</c:v>
                </c:pt>
                <c:pt idx="15">
                  <c:v>5.09568384612222</c:v>
                </c:pt>
                <c:pt idx="16">
                  <c:v>5.04350257263601</c:v>
                </c:pt>
                <c:pt idx="17">
                  <c:v>5.00881329853996</c:v>
                </c:pt>
                <c:pt idx="18">
                  <c:v>4.99161602383404</c:v>
                </c:pt>
                <c:pt idx="19">
                  <c:v>4.99191074851828</c:v>
                </c:pt>
                <c:pt idx="20">
                  <c:v>5.00969747259266</c:v>
                </c:pt>
                <c:pt idx="21">
                  <c:v>5.04497619605719</c:v>
                </c:pt>
                <c:pt idx="22">
                  <c:v>5.09774691891186</c:v>
                </c:pt>
                <c:pt idx="23">
                  <c:v>5.16800964115669</c:v>
                </c:pt>
                <c:pt idx="24">
                  <c:v>5.25576436279166</c:v>
                </c:pt>
                <c:pt idx="25">
                  <c:v>5.36101108381679</c:v>
                </c:pt>
                <c:pt idx="26">
                  <c:v>5.48374980423206</c:v>
                </c:pt>
                <c:pt idx="27">
                  <c:v>5.62398052403748</c:v>
                </c:pt>
                <c:pt idx="28">
                  <c:v>5.78170324323304</c:v>
                </c:pt>
                <c:pt idx="29">
                  <c:v>5.95691796181875</c:v>
                </c:pt>
                <c:pt idx="30">
                  <c:v>6.14962467979462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2e75b6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8.3430442624375</c:v>
                </c:pt>
                <c:pt idx="1">
                  <c:v>6.09957816776875</c:v>
                </c:pt>
                <c:pt idx="2">
                  <c:v>6.7947335855</c:v>
                </c:pt>
                <c:pt idx="3">
                  <c:v>4.9686005140625</c:v>
                </c:pt>
                <c:pt idx="4">
                  <c:v>6.14724584175625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"Especificación mín"</c:f>
              <c:strCache>
                <c:ptCount val="1"/>
                <c:pt idx="0">
                  <c:v>Especificación mín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Datos_Graficas!$J$45:$J$46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Datos_Graficas!$K$45:$K$46</c:f>
              <c:numCache>
                <c:formatCode>General</c:formatCode>
                <c:ptCount val="2"/>
                <c:pt idx="0">
                  <c:v>5.44</c:v>
                </c:pt>
                <c:pt idx="1">
                  <c:v>5.44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Datos_Graficas!$J$40:$J$41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Datos_Graficas!$K$40:$K$41</c:f>
              <c:numCache>
                <c:formatCode>General</c:formatCode>
                <c:ptCount val="2"/>
                <c:pt idx="0">
                  <c:v>4.9686005140625</c:v>
                </c:pt>
                <c:pt idx="1">
                  <c:v>8.3430442624375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Datos_Graficas!$J$43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Datos_Graficas!$K$43</c:f>
              <c:numCache>
                <c:formatCode>General</c:formatCode>
                <c:ptCount val="1"/>
                <c:pt idx="0">
                  <c:v>7.97744287523311</c:v>
                </c:pt>
              </c:numCache>
            </c:numRef>
          </c:yVal>
          <c:smooth val="1"/>
        </c:ser>
        <c:axId val="17333692"/>
        <c:axId val="85536873"/>
      </c:scatterChart>
      <c:valAx>
        <c:axId val="17333692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85536873"/>
        <c:crosses val="min"/>
        <c:crossBetween val="midCat"/>
        <c:majorUnit val="0.5"/>
      </c:valAx>
      <c:valAx>
        <c:axId val="85536873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17333692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f3864"/>
                </a:solidFill>
                <a:latin typeface="Calibri"/>
              </a:defRPr>
            </a:pPr>
            <a:r>
              <a:rPr b="1" sz="1300" spc="-1" strike="noStrike">
                <a:solidFill>
                  <a:srgbClr val="1f3864"/>
                </a:solidFill>
                <a:latin typeface="Calibri"/>
              </a:rPr>
              <a:t>Flujo vs contenido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 polinómico (2.º grado)"</c:f>
              <c:strCache>
                <c:ptCount val="1"/>
                <c:pt idx="0">
                  <c:v>Ajuste polinómico (2.º grado)</c:v>
                </c:pt>
              </c:strCache>
            </c:strRef>
          </c:tx>
          <c:spPr>
            <a:solidFill>
              <a:srgbClr val="bf9000"/>
            </a:solidFill>
            <a:ln w="28440">
              <a:solidFill>
                <a:srgbClr val="bf9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General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Datos_Graficas!$L$4:$L$34</c:f>
              <c:numCache>
                <c:formatCode>0.0</c:formatCode>
                <c:ptCount val="31"/>
                <c:pt idx="0">
                  <c:v>4.00450640616563</c:v>
                </c:pt>
                <c:pt idx="1">
                  <c:v>4.13755679642629</c:v>
                </c:pt>
                <c:pt idx="2">
                  <c:v>4.26761219380492</c:v>
                </c:pt>
                <c:pt idx="3">
                  <c:v>4.39467259830151</c:v>
                </c:pt>
                <c:pt idx="4">
                  <c:v>4.51873800991606</c:v>
                </c:pt>
                <c:pt idx="5">
                  <c:v>4.63980842864857</c:v>
                </c:pt>
                <c:pt idx="6">
                  <c:v>4.75788385449904</c:v>
                </c:pt>
                <c:pt idx="7">
                  <c:v>4.87296428746748</c:v>
                </c:pt>
                <c:pt idx="8">
                  <c:v>4.98504972755388</c:v>
                </c:pt>
                <c:pt idx="9">
                  <c:v>5.09414017475823</c:v>
                </c:pt>
                <c:pt idx="10">
                  <c:v>5.20023562908055</c:v>
                </c:pt>
                <c:pt idx="11">
                  <c:v>5.30333609052084</c:v>
                </c:pt>
                <c:pt idx="12">
                  <c:v>5.40344155907908</c:v>
                </c:pt>
                <c:pt idx="13">
                  <c:v>5.50055203475529</c:v>
                </c:pt>
                <c:pt idx="14">
                  <c:v>5.59466751754946</c:v>
                </c:pt>
                <c:pt idx="15">
                  <c:v>5.68578800746159</c:v>
                </c:pt>
                <c:pt idx="16">
                  <c:v>5.77391350449168</c:v>
                </c:pt>
                <c:pt idx="17">
                  <c:v>5.85904400863973</c:v>
                </c:pt>
                <c:pt idx="18">
                  <c:v>5.94117951990575</c:v>
                </c:pt>
                <c:pt idx="19">
                  <c:v>6.02032003828972</c:v>
                </c:pt>
                <c:pt idx="20">
                  <c:v>6.09646556379166</c:v>
                </c:pt>
                <c:pt idx="21">
                  <c:v>6.16961609641156</c:v>
                </c:pt>
                <c:pt idx="22">
                  <c:v>6.23977163614943</c:v>
                </c:pt>
                <c:pt idx="23">
                  <c:v>6.30693218300525</c:v>
                </c:pt>
                <c:pt idx="24">
                  <c:v>6.37109773697904</c:v>
                </c:pt>
                <c:pt idx="25">
                  <c:v>6.43226829807079</c:v>
                </c:pt>
                <c:pt idx="26">
                  <c:v>6.4904438662805</c:v>
                </c:pt>
                <c:pt idx="27">
                  <c:v>6.54562444160817</c:v>
                </c:pt>
                <c:pt idx="28">
                  <c:v>6.5978100240538</c:v>
                </c:pt>
                <c:pt idx="29">
                  <c:v>6.6470006136174</c:v>
                </c:pt>
                <c:pt idx="30">
                  <c:v>6.69319621029896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"Briquetas ensayadas"</c:f>
              <c:strCache>
                <c:ptCount val="1"/>
                <c:pt idx="0">
                  <c:v>Briquetas ensayadas</c:v>
                </c:pt>
              </c:strCache>
            </c:strRef>
          </c:tx>
          <c:spPr>
            <a:solidFill>
              <a:srgbClr val="bf9000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bf9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4.4</c:v>
                </c:pt>
                <c:pt idx="2">
                  <c:v>4.9</c:v>
                </c:pt>
                <c:pt idx="3">
                  <c:v>5.8</c:v>
                </c:pt>
                <c:pt idx="4">
                  <c:v>6.7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"Especificación mín"</c:f>
              <c:strCache>
                <c:ptCount val="1"/>
                <c:pt idx="0">
                  <c:v>Especificación mín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Datos_Graficas!$L$45:$L$46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Datos_Graficas!$M$45:$M$46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"Especificación máx"</c:f>
              <c:strCache>
                <c:ptCount val="1"/>
                <c:pt idx="0">
                  <c:v>Especificación máx</c:v>
                </c:pt>
              </c:strCache>
            </c:strRef>
          </c:tx>
          <c:spPr>
            <a:solidFill>
              <a:srgbClr val="c00000"/>
            </a:solidFill>
            <a:ln w="1908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Datos_Graficas!$L$48:$L$49</c:f>
              <c:numCache>
                <c:formatCode>General</c:formatCode>
                <c:ptCount val="2"/>
                <c:pt idx="0">
                  <c:v>5.5</c:v>
                </c:pt>
                <c:pt idx="1">
                  <c:v>10</c:v>
                </c:pt>
              </c:numCache>
            </c:numRef>
          </c:xVal>
          <c:yVal>
            <c:numRef>
              <c:f>Datos_Graficas!$M$48:$M$49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"Pb de diseño"</c:f>
              <c:strCache>
                <c:ptCount val="1"/>
                <c:pt idx="0">
                  <c:v>Pb de diseño</c:v>
                </c:pt>
              </c:strCache>
            </c:strRef>
          </c:tx>
          <c:spPr>
            <a:solidFill>
              <a:srgbClr val="595959"/>
            </a:solidFill>
            <a:ln w="15840">
              <a:solidFill>
                <a:srgbClr val="595959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Datos_Graficas!$L$40:$L$41</c:f>
              <c:numCache>
                <c:formatCode>0.00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Datos_Graficas!$M$40:$M$41</c:f>
              <c:numCache>
                <c:formatCode>General</c:formatCode>
                <c:ptCount val="2"/>
                <c:pt idx="0">
                  <c:v>2</c:v>
                </c:pt>
                <c:pt idx="1">
                  <c:v>6.7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"Valor en Pb de diseño"</c:f>
              <c:strCache>
                <c:ptCount val="1"/>
                <c:pt idx="0">
                  <c:v>Valor en Pb de diseño</c:v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diamond"/>
            <c:size val="11"/>
            <c:spPr>
              <a:solidFill>
                <a:srgbClr val="ffc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Datos_Graficas!$L$43</c:f>
              <c:numCache>
                <c:formatCode>0.00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Datos_Graficas!$M$43</c:f>
              <c:numCache>
                <c:formatCode>General</c:formatCode>
                <c:ptCount val="1"/>
                <c:pt idx="0">
                  <c:v>4.00450640616563</c:v>
                </c:pt>
              </c:numCache>
            </c:numRef>
          </c:yVal>
          <c:smooth val="1"/>
        </c:ser>
        <c:axId val="58777112"/>
        <c:axId val="85576025"/>
      </c:scatterChart>
      <c:valAx>
        <c:axId val="58777112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Contenido de asfalto Pb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85576025"/>
        <c:crosses val="min"/>
        <c:crossBetween val="midCat"/>
        <c:majorUnit val="0.5"/>
      </c:valAx>
      <c:valAx>
        <c:axId val="85576025"/>
        <c:scaling>
          <c:orientation val="minMax"/>
        </c:scaling>
        <c:delete val="0"/>
        <c:axPos val="l"/>
        <c:majorGridlines>
          <c:spPr>
            <a:ln w="6480">
              <a:solidFill>
                <a:srgbClr val="e7e6e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40404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404040"/>
                    </a:solidFill>
                    <a:latin typeface="Calibri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7f7f7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58777112"/>
        <c:crosses val="min"/>
        <c:crossBetween val="midCat"/>
      </c:valAx>
      <c:spPr>
        <a:solidFill>
          <a:srgbClr val="fbfbf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bfbfbf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0</xdr:rowOff>
    </xdr:from>
    <xdr:to>
      <xdr:col>6</xdr:col>
      <xdr:colOff>692280</xdr:colOff>
      <xdr:row>31</xdr:row>
      <xdr:rowOff>181080</xdr:rowOff>
    </xdr:to>
    <xdr:graphicFrame>
      <xdr:nvGraphicFramePr>
        <xdr:cNvPr id="0" name="Chart 1"/>
        <xdr:cNvGraphicFramePr/>
      </xdr:nvGraphicFramePr>
      <xdr:xfrm>
        <a:off x="0" y="282888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14</xdr:row>
      <xdr:rowOff>0</xdr:rowOff>
    </xdr:from>
    <xdr:to>
      <xdr:col>16</xdr:col>
      <xdr:colOff>692280</xdr:colOff>
      <xdr:row>31</xdr:row>
      <xdr:rowOff>181080</xdr:rowOff>
    </xdr:to>
    <xdr:graphicFrame>
      <xdr:nvGraphicFramePr>
        <xdr:cNvPr id="1" name="Chart 2"/>
        <xdr:cNvGraphicFramePr/>
      </xdr:nvGraphicFramePr>
      <xdr:xfrm>
        <a:off x="8445600" y="282888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6</xdr:col>
      <xdr:colOff>692280</xdr:colOff>
      <xdr:row>51</xdr:row>
      <xdr:rowOff>181080</xdr:rowOff>
    </xdr:to>
    <xdr:graphicFrame>
      <xdr:nvGraphicFramePr>
        <xdr:cNvPr id="2" name="Chart 3"/>
        <xdr:cNvGraphicFramePr/>
      </xdr:nvGraphicFramePr>
      <xdr:xfrm>
        <a:off x="0" y="663876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34</xdr:row>
      <xdr:rowOff>0</xdr:rowOff>
    </xdr:from>
    <xdr:to>
      <xdr:col>16</xdr:col>
      <xdr:colOff>692280</xdr:colOff>
      <xdr:row>51</xdr:row>
      <xdr:rowOff>181080</xdr:rowOff>
    </xdr:to>
    <xdr:graphicFrame>
      <xdr:nvGraphicFramePr>
        <xdr:cNvPr id="3" name="Chart 4"/>
        <xdr:cNvGraphicFramePr/>
      </xdr:nvGraphicFramePr>
      <xdr:xfrm>
        <a:off x="8445600" y="663876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54</xdr:row>
      <xdr:rowOff>0</xdr:rowOff>
    </xdr:from>
    <xdr:to>
      <xdr:col>6</xdr:col>
      <xdr:colOff>692280</xdr:colOff>
      <xdr:row>71</xdr:row>
      <xdr:rowOff>181080</xdr:rowOff>
    </xdr:to>
    <xdr:graphicFrame>
      <xdr:nvGraphicFramePr>
        <xdr:cNvPr id="4" name="Chart 5"/>
        <xdr:cNvGraphicFramePr/>
      </xdr:nvGraphicFramePr>
      <xdr:xfrm>
        <a:off x="0" y="1044900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54</xdr:row>
      <xdr:rowOff>0</xdr:rowOff>
    </xdr:from>
    <xdr:to>
      <xdr:col>16</xdr:col>
      <xdr:colOff>692280</xdr:colOff>
      <xdr:row>71</xdr:row>
      <xdr:rowOff>181080</xdr:rowOff>
    </xdr:to>
    <xdr:graphicFrame>
      <xdr:nvGraphicFramePr>
        <xdr:cNvPr id="5" name="Chart 6"/>
        <xdr:cNvGraphicFramePr/>
      </xdr:nvGraphicFramePr>
      <xdr:xfrm>
        <a:off x="8445600" y="1044900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7"/>
    <col collapsed="false" customWidth="true" hidden="false" outlineLevel="0" max="6" min="4" style="1" width="6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4" min="10" style="1" width="10"/>
    <col collapsed="false" customWidth="true" hidden="false" outlineLevel="0" max="15" min="15" style="1" width="9"/>
    <col collapsed="false" customWidth="true" hidden="false" outlineLevel="0" max="17" min="16" style="1" width="8"/>
    <col collapsed="false" customWidth="true" hidden="false" outlineLevel="0" max="21" min="18" style="1" width="7"/>
    <col collapsed="false" customWidth="true" hidden="false" outlineLevel="0" max="22" min="22" style="1" width="9"/>
    <col collapsed="false" customWidth="true" hidden="false" outlineLevel="0" max="23" min="23" style="1" width="10"/>
    <col collapsed="false" customWidth="true" hidden="false" outlineLevel="0" max="24" min="24" style="1" width="9"/>
    <col collapsed="false" customWidth="true" hidden="false" outlineLevel="0" max="25" min="25" style="1" width="7"/>
    <col collapsed="false" customWidth="true" hidden="false" outlineLevel="0" max="28" min="26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 t="s">
        <v>2</v>
      </c>
      <c r="C3" s="1" t="s">
        <v>3</v>
      </c>
    </row>
    <row r="4" customFormat="false" ht="15" hidden="false" customHeight="true" outlineLevel="0" collapsed="false">
      <c r="A4" s="4" t="s">
        <v>4</v>
      </c>
      <c r="C4" s="1" t="s">
        <v>5</v>
      </c>
    </row>
    <row r="5" customFormat="false" ht="15" hidden="false" customHeight="true" outlineLevel="0" collapsed="false">
      <c r="A5" s="4" t="s">
        <v>6</v>
      </c>
      <c r="C5" s="1" t="s">
        <v>7</v>
      </c>
    </row>
    <row r="6" customFormat="false" ht="15" hidden="false" customHeight="true" outlineLevel="0" collapsed="false">
      <c r="A6" s="4" t="s">
        <v>8</v>
      </c>
      <c r="C6" s="1" t="s">
        <v>9</v>
      </c>
    </row>
    <row r="8" customFormat="false" ht="15" hidden="false" customHeight="true" outlineLevel="0" collapsed="false">
      <c r="A8" s="4" t="s">
        <v>10</v>
      </c>
      <c r="G8" s="4" t="s">
        <v>11</v>
      </c>
      <c r="J8" s="5" t="s">
        <v>12</v>
      </c>
      <c r="K8" s="5" t="s">
        <v>13</v>
      </c>
    </row>
    <row r="9" customFormat="false" ht="15" hidden="false" customHeight="tru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true" outlineLevel="0" collapsed="false">
      <c r="A10" s="6" t="s">
        <v>16</v>
      </c>
      <c r="B10" s="6"/>
      <c r="C10" s="6"/>
      <c r="D10" s="7" t="n">
        <v>2.43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true" outlineLevel="0" collapsed="false">
      <c r="A11" s="6" t="s">
        <v>18</v>
      </c>
      <c r="B11" s="6"/>
      <c r="C11" s="6"/>
      <c r="D11" s="9" t="n">
        <f aca="false">(100-E15)/(100/D15-E15/D9)</f>
        <v>2.45561029411765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true" outlineLevel="0" collapsed="false">
      <c r="A12" s="6" t="s">
        <v>20</v>
      </c>
      <c r="B12" s="6"/>
      <c r="C12" s="6"/>
      <c r="D12" s="10" t="n">
        <f aca="false">100*D9*(D11-D10)/(D10*D11)</f>
        <v>0.439060614499203</v>
      </c>
      <c r="G12" s="6" t="s">
        <v>21</v>
      </c>
      <c r="H12" s="6"/>
      <c r="I12" s="6"/>
      <c r="J12" s="8" t="n">
        <v>14</v>
      </c>
    </row>
    <row r="13" customFormat="false" ht="15" hidden="false" customHeight="tru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true" outlineLevel="0" collapsed="false">
      <c r="A14" s="6" t="s">
        <v>24</v>
      </c>
      <c r="B14" s="6"/>
      <c r="C14" s="6"/>
      <c r="D14" s="11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true" outlineLevel="0" collapsed="false">
      <c r="A15" s="6" t="s">
        <v>26</v>
      </c>
      <c r="B15" s="6"/>
      <c r="C15" s="6"/>
      <c r="D15" s="7" t="n">
        <v>2.28</v>
      </c>
      <c r="E15" s="11" t="n">
        <v>5.5</v>
      </c>
      <c r="G15" s="6" t="s">
        <v>27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2" t="s">
        <v>28</v>
      </c>
      <c r="B16" s="12" t="s">
        <v>29</v>
      </c>
      <c r="C16" s="12" t="s">
        <v>30</v>
      </c>
      <c r="D16" s="12" t="s">
        <v>31</v>
      </c>
      <c r="E16" s="12" t="s">
        <v>32</v>
      </c>
      <c r="F16" s="12" t="s">
        <v>33</v>
      </c>
      <c r="G16" s="12" t="s">
        <v>34</v>
      </c>
      <c r="H16" s="12" t="s">
        <v>35</v>
      </c>
      <c r="I16" s="12" t="s">
        <v>36</v>
      </c>
      <c r="J16" s="12" t="s">
        <v>37</v>
      </c>
      <c r="K16" s="12" t="s">
        <v>38</v>
      </c>
      <c r="L16" s="12" t="s">
        <v>39</v>
      </c>
      <c r="M16" s="12" t="s">
        <v>40</v>
      </c>
      <c r="N16" s="12" t="s">
        <v>41</v>
      </c>
      <c r="O16" s="12" t="s">
        <v>42</v>
      </c>
      <c r="P16" s="12" t="s">
        <v>43</v>
      </c>
      <c r="Q16" s="12" t="s">
        <v>44</v>
      </c>
      <c r="R16" s="12" t="s">
        <v>45</v>
      </c>
      <c r="S16" s="12" t="s">
        <v>46</v>
      </c>
      <c r="T16" s="12" t="s">
        <v>47</v>
      </c>
      <c r="U16" s="12" t="s">
        <v>48</v>
      </c>
      <c r="V16" s="12" t="s">
        <v>49</v>
      </c>
      <c r="W16" s="12" t="s">
        <v>50</v>
      </c>
      <c r="X16" s="12" t="s">
        <v>51</v>
      </c>
      <c r="Y16" s="12" t="s">
        <v>52</v>
      </c>
      <c r="Z16" s="12" t="s">
        <v>53</v>
      </c>
      <c r="AA16" s="12" t="s">
        <v>54</v>
      </c>
      <c r="AB16" s="12" t="s">
        <v>55</v>
      </c>
    </row>
    <row r="17" customFormat="false" ht="15" hidden="false" customHeight="true" outlineLevel="0" collapsed="false">
      <c r="A17" s="13" t="s">
        <v>56</v>
      </c>
      <c r="B17" s="14" t="n">
        <v>5.5</v>
      </c>
      <c r="C17" s="15" t="n">
        <f aca="false">100-B17</f>
        <v>94.5</v>
      </c>
      <c r="D17" s="13" t="n">
        <v>6.7</v>
      </c>
      <c r="E17" s="13" t="n">
        <v>6.4</v>
      </c>
      <c r="F17" s="13" t="n">
        <v>6.3</v>
      </c>
      <c r="G17" s="13" t="n">
        <v>6.6</v>
      </c>
      <c r="H17" s="16" t="n">
        <f aca="false">AVERAGE(D17:G17)</f>
        <v>6.5</v>
      </c>
      <c r="I17" s="17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3" t="n">
        <v>1139</v>
      </c>
      <c r="K17" s="13" t="n">
        <v>1142</v>
      </c>
      <c r="L17" s="18" t="n">
        <f aca="false">ROUND(K17-J17/(AA17*AVERAGE(P18/AA18,P19/AA19,P20/AA20,P21/AA21)),0)</f>
        <v>626</v>
      </c>
      <c r="M17" s="18" t="n">
        <f aca="false">ROUND(K17-J17/(AA17*AVERAGE(P18/AA18,P19/AA19,P20/AA20,P21/AA21)),0)</f>
        <v>626</v>
      </c>
      <c r="N17" s="15" t="n">
        <f aca="false">AVERAGE(L17:M17)</f>
        <v>626</v>
      </c>
      <c r="O17" s="15" t="n">
        <f aca="false">K17-N17</f>
        <v>516</v>
      </c>
      <c r="P17" s="17" t="n">
        <f aca="false">J17/O17</f>
        <v>2.20736434108527</v>
      </c>
      <c r="Q17" s="17" t="n">
        <f aca="false">100/(B17/$D$9+C17/$D$11)</f>
        <v>2.28</v>
      </c>
      <c r="R17" s="16" t="n">
        <f aca="false">100*(Q17-P17)/Q17</f>
        <v>3.18577451380388</v>
      </c>
      <c r="S17" s="16" t="n">
        <f aca="false">100-P17*C17/$D$10</f>
        <v>14.1580534022394</v>
      </c>
      <c r="T17" s="15" t="n">
        <f aca="false">100*(S17-R17)/S17</f>
        <v>77.4984990994597</v>
      </c>
      <c r="U17" s="16" t="n">
        <f aca="false">B17-$D$12*C17/100</f>
        <v>5.08508771929825</v>
      </c>
      <c r="V17" s="13" t="n">
        <v>883.9</v>
      </c>
      <c r="W17" s="15" t="n">
        <f aca="false">V17*I17</f>
        <v>850.75375</v>
      </c>
      <c r="X17" s="16" t="n">
        <f aca="false">W17*9.80665/1000</f>
        <v>8.3430442624375</v>
      </c>
      <c r="Y17" s="14" t="n">
        <v>4</v>
      </c>
      <c r="Z17" s="19" t="n">
        <f aca="false">W17/(Y17/10)</f>
        <v>2126.884375</v>
      </c>
      <c r="AA17" s="17" t="n">
        <f aca="false">J17/(PI()*$D$13^2/4*H17)</f>
        <v>2.16138966340692</v>
      </c>
      <c r="AB17" s="16" t="n">
        <f aca="false">100*(K17-J17)/O17</f>
        <v>0.581395348837209</v>
      </c>
    </row>
    <row r="18" customFormat="false" ht="15" hidden="false" customHeight="true" outlineLevel="0" collapsed="false">
      <c r="A18" s="13" t="s">
        <v>57</v>
      </c>
      <c r="B18" s="14" t="n">
        <v>6</v>
      </c>
      <c r="C18" s="15" t="n">
        <f aca="false">100-B18</f>
        <v>94</v>
      </c>
      <c r="D18" s="13" t="n">
        <v>6.8</v>
      </c>
      <c r="E18" s="13" t="n">
        <v>6.7</v>
      </c>
      <c r="F18" s="13" t="n">
        <v>6.6</v>
      </c>
      <c r="G18" s="13" t="n">
        <v>6.6</v>
      </c>
      <c r="H18" s="16" t="n">
        <f aca="false">AVERAGE(D18:G18)</f>
        <v>6.675</v>
      </c>
      <c r="I18" s="17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3" t="n">
        <v>1124</v>
      </c>
      <c r="K18" s="13" t="n">
        <v>1132</v>
      </c>
      <c r="L18" s="13" t="n">
        <v>609</v>
      </c>
      <c r="M18" s="13" t="n">
        <v>614</v>
      </c>
      <c r="N18" s="15" t="n">
        <f aca="false">AVERAGE(L18:M18)</f>
        <v>611.5</v>
      </c>
      <c r="O18" s="15" t="n">
        <f aca="false">K18-N18</f>
        <v>520.5</v>
      </c>
      <c r="P18" s="17" t="n">
        <f aca="false">J18/O18</f>
        <v>2.15946205571566</v>
      </c>
      <c r="Q18" s="17" t="n">
        <f aca="false">100/(B18/$D$9+C18/$D$11)</f>
        <v>2.26527286181168</v>
      </c>
      <c r="R18" s="16" t="n">
        <f aca="false">100*(Q18-P18)/Q18</f>
        <v>4.67099605878815</v>
      </c>
      <c r="S18" s="16" t="n">
        <f aca="false">100-P18*C18/$D$10</f>
        <v>16.4652538118223</v>
      </c>
      <c r="T18" s="15" t="n">
        <f aca="false">100*(S18-R18)/S18</f>
        <v>71.6311931041457</v>
      </c>
      <c r="U18" s="16" t="n">
        <f aca="false">B18-$D$12*C18/100</f>
        <v>5.58728302237075</v>
      </c>
      <c r="V18" s="13" t="n">
        <v>669.7</v>
      </c>
      <c r="W18" s="15" t="n">
        <f aca="false">V18*I18</f>
        <v>621.983875</v>
      </c>
      <c r="X18" s="16" t="n">
        <f aca="false">W18*9.80665/1000</f>
        <v>6.09957816776875</v>
      </c>
      <c r="Y18" s="14" t="n">
        <v>4.4</v>
      </c>
      <c r="Z18" s="19" t="n">
        <f aca="false">W18/(Y18/10)</f>
        <v>1413.59971590909</v>
      </c>
      <c r="AA18" s="17" t="n">
        <f aca="false">J18/(PI()*$D$13^2/4*H18)</f>
        <v>2.07700596565762</v>
      </c>
      <c r="AB18" s="16" t="n">
        <f aca="false">100*(K18-J18)/O18</f>
        <v>1.53698366954851</v>
      </c>
    </row>
    <row r="19" customFormat="false" ht="15" hidden="false" customHeight="true" outlineLevel="0" collapsed="false">
      <c r="A19" s="13" t="s">
        <v>58</v>
      </c>
      <c r="B19" s="14" t="n">
        <v>6.5</v>
      </c>
      <c r="C19" s="15" t="n">
        <f aca="false">100-B19</f>
        <v>93.5</v>
      </c>
      <c r="D19" s="13" t="n">
        <v>6.5</v>
      </c>
      <c r="E19" s="13" t="n">
        <v>6.9</v>
      </c>
      <c r="F19" s="13" t="n">
        <v>7</v>
      </c>
      <c r="G19" s="13" t="n">
        <v>6.8</v>
      </c>
      <c r="H19" s="16" t="n">
        <f aca="false">AVERAGE(D19:G19)</f>
        <v>6.8</v>
      </c>
      <c r="I19" s="17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3" t="n">
        <v>1184</v>
      </c>
      <c r="K19" s="13" t="n">
        <v>1184</v>
      </c>
      <c r="L19" s="13" t="n">
        <v>641</v>
      </c>
      <c r="M19" s="13" t="n">
        <v>643</v>
      </c>
      <c r="N19" s="15" t="n">
        <f aca="false">AVERAGE(L19:M19)</f>
        <v>642</v>
      </c>
      <c r="O19" s="15" t="n">
        <f aca="false">K19-N19</f>
        <v>542</v>
      </c>
      <c r="P19" s="17" t="n">
        <f aca="false">J19/O19</f>
        <v>2.18450184501845</v>
      </c>
      <c r="Q19" s="17" t="n">
        <f aca="false">100/(B19/$D$9+C19/$D$11)</f>
        <v>2.25073475577067</v>
      </c>
      <c r="R19" s="16" t="n">
        <f aca="false">100*(Q19-P19)/Q19</f>
        <v>2.94272395191875</v>
      </c>
      <c r="S19" s="16" t="n">
        <f aca="false">100-P19*C19/$D$10</f>
        <v>15.9461224241872</v>
      </c>
      <c r="T19" s="15" t="n">
        <f aca="false">100*(S19-R19)/S19</f>
        <v>81.545833691486</v>
      </c>
      <c r="U19" s="16" t="n">
        <f aca="false">B19-$D$12*C19/100</f>
        <v>6.08947832544325</v>
      </c>
      <c r="V19" s="13" t="n">
        <v>772</v>
      </c>
      <c r="W19" s="15" t="n">
        <f aca="false">V19*I19</f>
        <v>692.87</v>
      </c>
      <c r="X19" s="16" t="n">
        <f aca="false">W19*9.80665/1000</f>
        <v>6.7947335855</v>
      </c>
      <c r="Y19" s="14" t="n">
        <v>4.9</v>
      </c>
      <c r="Z19" s="19" t="n">
        <f aca="false">W19/(Y19/10)</f>
        <v>1414.02040816327</v>
      </c>
      <c r="AA19" s="17" t="n">
        <f aca="false">J19/(PI()*$D$13^2/4*H19)</f>
        <v>2.14765982151263</v>
      </c>
      <c r="AB19" s="16" t="n">
        <f aca="false">100*(K19-J19)/O19</f>
        <v>0</v>
      </c>
    </row>
    <row r="20" customFormat="false" ht="15" hidden="false" customHeight="true" outlineLevel="0" collapsed="false">
      <c r="A20" s="13" t="s">
        <v>59</v>
      </c>
      <c r="B20" s="14" t="n">
        <v>8</v>
      </c>
      <c r="C20" s="15" t="n">
        <f aca="false">100-B20</f>
        <v>92</v>
      </c>
      <c r="D20" s="13" t="n">
        <v>6.5</v>
      </c>
      <c r="E20" s="13" t="n">
        <v>6.6</v>
      </c>
      <c r="F20" s="13" t="n">
        <v>6.4</v>
      </c>
      <c r="G20" s="13" t="n">
        <v>6.4</v>
      </c>
      <c r="H20" s="16" t="n">
        <f aca="false">AVERAGE(D20:G20)</f>
        <v>6.475</v>
      </c>
      <c r="I20" s="17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3" t="n">
        <v>1134</v>
      </c>
      <c r="K20" s="13" t="n">
        <v>1136</v>
      </c>
      <c r="L20" s="13" t="n">
        <v>617</v>
      </c>
      <c r="M20" s="13" t="n">
        <v>619</v>
      </c>
      <c r="N20" s="15" t="n">
        <f aca="false">AVERAGE(L20:M20)</f>
        <v>618</v>
      </c>
      <c r="O20" s="15" t="n">
        <f aca="false">K20-N20</f>
        <v>518</v>
      </c>
      <c r="P20" s="17" t="n">
        <f aca="false">J20/O20</f>
        <v>2.18918918918919</v>
      </c>
      <c r="Q20" s="17" t="n">
        <f aca="false">100/(B20/$D$9+C20/$D$11)</f>
        <v>2.20821892281798</v>
      </c>
      <c r="R20" s="16" t="n">
        <f aca="false">100*(Q20-P20)/Q20</f>
        <v>0.861768433924621</v>
      </c>
      <c r="S20" s="16" t="n">
        <f aca="false">100-P20*C20/$D$10</f>
        <v>17.1171171171171</v>
      </c>
      <c r="T20" s="15" t="n">
        <f aca="false">100*(S20-R20)/S20</f>
        <v>94.9654580965457</v>
      </c>
      <c r="U20" s="16" t="n">
        <f aca="false">B20-$D$12*C20/100</f>
        <v>7.59606423466073</v>
      </c>
      <c r="V20" s="13" t="n">
        <v>523</v>
      </c>
      <c r="W20" s="15" t="n">
        <f aca="false">V20*I20</f>
        <v>506.65625</v>
      </c>
      <c r="X20" s="16" t="n">
        <f aca="false">W20*9.80665/1000</f>
        <v>4.9686005140625</v>
      </c>
      <c r="Y20" s="14" t="n">
        <v>5.8</v>
      </c>
      <c r="Z20" s="19" t="n">
        <f aca="false">W20/(Y20/10)</f>
        <v>873.54525862069</v>
      </c>
      <c r="AA20" s="17" t="n">
        <f aca="false">J20/(PI()*$D$13^2/4*H20)</f>
        <v>2.16021006152147</v>
      </c>
      <c r="AB20" s="16" t="n">
        <f aca="false">100*(K20-J20)/O20</f>
        <v>0.386100386100386</v>
      </c>
    </row>
    <row r="21" customFormat="false" ht="15" hidden="false" customHeight="true" outlineLevel="0" collapsed="false">
      <c r="A21" s="13" t="s">
        <v>60</v>
      </c>
      <c r="B21" s="14" t="n">
        <v>10</v>
      </c>
      <c r="C21" s="15" t="n">
        <f aca="false">100-B21</f>
        <v>90</v>
      </c>
      <c r="D21" s="13" t="n">
        <v>6.9</v>
      </c>
      <c r="E21" s="13" t="n">
        <v>6.9</v>
      </c>
      <c r="F21" s="13" t="n">
        <v>6.8</v>
      </c>
      <c r="G21" s="13" t="n">
        <v>6.8</v>
      </c>
      <c r="H21" s="16" t="n">
        <f aca="false">AVERAGE(D21:G21)</f>
        <v>6.85</v>
      </c>
      <c r="I21" s="17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3" t="n">
        <v>1187</v>
      </c>
      <c r="K21" s="13" t="n">
        <v>1187</v>
      </c>
      <c r="L21" s="13" t="n">
        <v>640</v>
      </c>
      <c r="M21" s="13" t="n">
        <v>642</v>
      </c>
      <c r="N21" s="15" t="n">
        <f aca="false">AVERAGE(L21:M21)</f>
        <v>641</v>
      </c>
      <c r="O21" s="15" t="n">
        <f aca="false">K21-N21</f>
        <v>546</v>
      </c>
      <c r="P21" s="17" t="n">
        <f aca="false">J21/O21</f>
        <v>2.17399267399267</v>
      </c>
      <c r="Q21" s="17" t="n">
        <f aca="false">100/(B21/$D$9+C21/$D$11)</f>
        <v>2.15396833773087</v>
      </c>
      <c r="R21" s="16" t="n">
        <f aca="false">100*(Q21-P21)/Q21</f>
        <v>-0.92964858911984</v>
      </c>
      <c r="S21" s="16" t="n">
        <f aca="false">100-P21*C21/$D$10</f>
        <v>19.4817528150862</v>
      </c>
      <c r="T21" s="15" t="n">
        <f aca="false">100*(S21-R21)/S21</f>
        <v>104.771893976603</v>
      </c>
      <c r="U21" s="16" t="n">
        <f aca="false">B21-$D$12*C21/100</f>
        <v>9.60484544695072</v>
      </c>
      <c r="V21" s="13" t="n">
        <v>707.3</v>
      </c>
      <c r="W21" s="15" t="n">
        <f aca="false">V21*I21</f>
        <v>626.844625</v>
      </c>
      <c r="X21" s="16" t="n">
        <f aca="false">W21*9.80665/1000</f>
        <v>6.14724584175625</v>
      </c>
      <c r="Y21" s="14" t="n">
        <v>6.7</v>
      </c>
      <c r="Z21" s="19" t="n">
        <f aca="false">W21/(Y21/10)</f>
        <v>935.588992537313</v>
      </c>
      <c r="AA21" s="17" t="n">
        <f aca="false">J21/(PI()*$D$13^2/4*H21)</f>
        <v>2.13738545760029</v>
      </c>
      <c r="AB21" s="16" t="n">
        <f aca="false">100*(K21-J21)/O21</f>
        <v>0</v>
      </c>
    </row>
    <row r="23" customFormat="false" ht="15" hidden="false" customHeight="true" outlineLevel="0" collapsed="false">
      <c r="A23" s="4" t="s">
        <v>61</v>
      </c>
    </row>
    <row r="24" customFormat="false" ht="41.25" hidden="false" customHeight="true" outlineLevel="0" collapsed="false">
      <c r="A24" s="12" t="s">
        <v>28</v>
      </c>
      <c r="B24" s="12" t="s">
        <v>62</v>
      </c>
      <c r="C24" s="12" t="str">
        <f aca="false">"Va "&amp;$J$11&amp;"-"&amp;$K$11&amp;" %"</f>
        <v>Va 3-5 %</v>
      </c>
      <c r="D24" s="12" t="s">
        <v>63</v>
      </c>
      <c r="E24" s="12" t="str">
        <f aca="false">"VFA "&amp;$J$13&amp;"-"&amp;$K$13&amp;" %"</f>
        <v>VFA 65-78 %</v>
      </c>
      <c r="F24" s="12" t="s">
        <v>64</v>
      </c>
      <c r="G24" s="12" t="str">
        <f aca="false">"Flujo "&amp;$J$10&amp;"-"&amp;$K$10&amp;" mm"</f>
        <v>Flujo 2-4 mm</v>
      </c>
      <c r="H24" s="12" t="s">
        <v>65</v>
      </c>
      <c r="I24" s="12" t="str">
        <f aca="false">"Est/Flujo "&amp;$J$15&amp;"-"&amp;$K$15</f>
        <v>Est/Flujo 1700-4000</v>
      </c>
      <c r="J24" s="12" t="str">
        <f aca="false">"Absorción ≤ "&amp;$D$14&amp;" %"</f>
        <v>Absorción ≤ 2 %</v>
      </c>
    </row>
    <row r="25" customFormat="false" ht="27.75" hidden="false" customHeight="true" outlineLevel="0" collapsed="false">
      <c r="A25" s="20" t="str">
        <f aca="false">A17</f>
        <v>M1</v>
      </c>
      <c r="B25" s="15" t="n">
        <f aca="false">B17</f>
        <v>5.5</v>
      </c>
      <c r="C25" s="20" t="str">
        <f aca="false">IF(AND(R17&gt;=$J$11,R17&lt;=$K$11),"CUMPLE","NO")</f>
        <v>CUMPLE</v>
      </c>
      <c r="D25" s="20" t="str">
        <f aca="false">IF(S17&gt;=$J$12,"CUMPLE","NO")</f>
        <v>CUMPLE</v>
      </c>
      <c r="E25" s="20" t="str">
        <f aca="false">IF(AND(T17&gt;=$J$13,T17&lt;=$K$13),"CUMPLE","NO")</f>
        <v>CUMPLE</v>
      </c>
      <c r="F25" s="20" t="str">
        <f aca="false">IF(X17&gt;=$J$9,"CUMPLE","NO")</f>
        <v>CUMPLE</v>
      </c>
      <c r="G25" s="20" t="str">
        <f aca="false">IF(AND(Y17&gt;=$J$10,Y17&lt;=$K$10),"CUMPLE","NO")</f>
        <v>CUMPLE</v>
      </c>
      <c r="H25" s="20" t="str">
        <f aca="false">IF(COUNTIF(C25:G25,"NO")+COUNTIF(I25:J25,"NO")=0,"CUMPLE","NO CUMPLE")</f>
        <v>CUMPLE</v>
      </c>
      <c r="I25" s="20" t="str">
        <f aca="false">IF(AND(Z17&gt;=$J$15,Z17&lt;=$K$15),"CUMPLE","NO")</f>
        <v>CUMPLE</v>
      </c>
      <c r="J25" s="20" t="str">
        <f aca="false">IF(AB17&lt;=$D$14,"CUMPLE","NO")</f>
        <v>CUMPLE</v>
      </c>
    </row>
    <row r="26" customFormat="false" ht="27.75" hidden="false" customHeight="true" outlineLevel="0" collapsed="false">
      <c r="A26" s="20" t="str">
        <f aca="false">A18</f>
        <v>M2</v>
      </c>
      <c r="B26" s="15" t="n">
        <f aca="false">B18</f>
        <v>6</v>
      </c>
      <c r="C26" s="20" t="str">
        <f aca="false">IF(AND(R18&gt;=$J$11,R18&lt;=$K$11),"CUMPLE","NO")</f>
        <v>CUMPLE</v>
      </c>
      <c r="D26" s="20" t="str">
        <f aca="false">IF(S18&gt;=$J$12,"CUMPLE","NO")</f>
        <v>CUMPLE</v>
      </c>
      <c r="E26" s="20" t="str">
        <f aca="false">IF(AND(T18&gt;=$J$13,T18&lt;=$K$13),"CUMPLE","NO")</f>
        <v>CUMPLE</v>
      </c>
      <c r="F26" s="20" t="str">
        <f aca="false">IF(X18&gt;=$J$9,"CUMPLE","NO")</f>
        <v>CUMPLE</v>
      </c>
      <c r="G26" s="20" t="str">
        <f aca="false">IF(AND(Y18&gt;=$J$10,Y18&lt;=$K$10),"CUMPLE","NO")</f>
        <v>NO</v>
      </c>
      <c r="H26" s="20" t="str">
        <f aca="false">IF(COUNTIF(C26:G26,"NO")+COUNTIF(I26:J26,"NO")=0,"CUMPLE","NO CUMPLE")</f>
        <v>NO CUMPLE</v>
      </c>
      <c r="I26" s="20" t="str">
        <f aca="false">IF(AND(Z18&gt;=$J$15,Z18&lt;=$K$15),"CUMPLE","NO")</f>
        <v>NO</v>
      </c>
      <c r="J26" s="20" t="str">
        <f aca="false">IF(AB18&lt;=$D$14,"CUMPLE","NO")</f>
        <v>CUMPLE</v>
      </c>
    </row>
    <row r="27" customFormat="false" ht="27.75" hidden="false" customHeight="true" outlineLevel="0" collapsed="false">
      <c r="A27" s="20" t="str">
        <f aca="false">A19</f>
        <v>M3</v>
      </c>
      <c r="B27" s="15" t="n">
        <f aca="false">B19</f>
        <v>6.5</v>
      </c>
      <c r="C27" s="20" t="str">
        <f aca="false">IF(AND(R19&gt;=$J$11,R19&lt;=$K$11),"CUMPLE","NO")</f>
        <v>NO</v>
      </c>
      <c r="D27" s="20" t="str">
        <f aca="false">IF(S19&gt;=$J$12,"CUMPLE","NO")</f>
        <v>CUMPLE</v>
      </c>
      <c r="E27" s="20" t="str">
        <f aca="false">IF(AND(T19&gt;=$J$13,T19&lt;=$K$13),"CUMPLE","NO")</f>
        <v>NO</v>
      </c>
      <c r="F27" s="20" t="str">
        <f aca="false">IF(X19&gt;=$J$9,"CUMPLE","NO")</f>
        <v>CUMPLE</v>
      </c>
      <c r="G27" s="20" t="str">
        <f aca="false">IF(AND(Y19&gt;=$J$10,Y19&lt;=$K$10),"CUMPLE","NO")</f>
        <v>NO</v>
      </c>
      <c r="H27" s="20" t="str">
        <f aca="false">IF(COUNTIF(C27:G27,"NO")+COUNTIF(I27:J27,"NO")=0,"CUMPLE","NO CUMPLE")</f>
        <v>NO CUMPLE</v>
      </c>
      <c r="I27" s="20" t="str">
        <f aca="false">IF(AND(Z19&gt;=$J$15,Z19&lt;=$K$15),"CUMPLE","NO")</f>
        <v>NO</v>
      </c>
      <c r="J27" s="20" t="str">
        <f aca="false">IF(AB19&lt;=$D$14,"CUMPLE","NO")</f>
        <v>CUMPLE</v>
      </c>
    </row>
    <row r="28" customFormat="false" ht="27.75" hidden="false" customHeight="true" outlineLevel="0" collapsed="false">
      <c r="A28" s="20" t="str">
        <f aca="false">A20</f>
        <v>M4</v>
      </c>
      <c r="B28" s="15" t="n">
        <f aca="false">B20</f>
        <v>8</v>
      </c>
      <c r="C28" s="20" t="str">
        <f aca="false">IF(AND(R20&gt;=$J$11,R20&lt;=$K$11),"CUMPLE","NO")</f>
        <v>NO</v>
      </c>
      <c r="D28" s="20" t="str">
        <f aca="false">IF(S20&gt;=$J$12,"CUMPLE","NO")</f>
        <v>CUMPLE</v>
      </c>
      <c r="E28" s="20" t="str">
        <f aca="false">IF(AND(T20&gt;=$J$13,T20&lt;=$K$13),"CUMPLE","NO")</f>
        <v>NO</v>
      </c>
      <c r="F28" s="20" t="str">
        <f aca="false">IF(X20&gt;=$J$9,"CUMPLE","NO")</f>
        <v>NO</v>
      </c>
      <c r="G28" s="20" t="str">
        <f aca="false">IF(AND(Y20&gt;=$J$10,Y20&lt;=$K$10),"CUMPLE","NO")</f>
        <v>NO</v>
      </c>
      <c r="H28" s="20" t="str">
        <f aca="false">IF(COUNTIF(C28:G28,"NO")+COUNTIF(I28:J28,"NO")=0,"CUMPLE","NO CUMPLE")</f>
        <v>NO CUMPLE</v>
      </c>
      <c r="I28" s="20" t="str">
        <f aca="false">IF(AND(Z20&gt;=$J$15,Z20&lt;=$K$15),"CUMPLE","NO")</f>
        <v>NO</v>
      </c>
      <c r="J28" s="20" t="str">
        <f aca="false">IF(AB20&lt;=$D$14,"CUMPLE","NO")</f>
        <v>CUMPLE</v>
      </c>
    </row>
    <row r="29" customFormat="false" ht="27.75" hidden="false" customHeight="true" outlineLevel="0" collapsed="false">
      <c r="A29" s="20" t="str">
        <f aca="false">A21</f>
        <v>M5</v>
      </c>
      <c r="B29" s="15" t="n">
        <f aca="false">B21</f>
        <v>10</v>
      </c>
      <c r="C29" s="20" t="str">
        <f aca="false">IF(AND(R21&gt;=$J$11,R21&lt;=$K$11),"CUMPLE","NO")</f>
        <v>NO</v>
      </c>
      <c r="D29" s="20" t="str">
        <f aca="false">IF(S21&gt;=$J$12,"CUMPLE","NO")</f>
        <v>CUMPLE</v>
      </c>
      <c r="E29" s="20" t="str">
        <f aca="false">IF(AND(T21&gt;=$J$13,T21&lt;=$K$13),"CUMPLE","NO")</f>
        <v>NO</v>
      </c>
      <c r="F29" s="20" t="str">
        <f aca="false">IF(X21&gt;=$J$9,"CUMPLE","NO")</f>
        <v>CUMPLE</v>
      </c>
      <c r="G29" s="20" t="str">
        <f aca="false">IF(AND(Y21&gt;=$J$10,Y21&lt;=$K$10),"CUMPLE","NO")</f>
        <v>NO</v>
      </c>
      <c r="H29" s="20" t="str">
        <f aca="false">IF(COUNTIF(C29:G29,"NO")+COUNTIF(I29:J29,"NO")=0,"CUMPLE","NO CUMPLE")</f>
        <v>NO CUMPLE</v>
      </c>
      <c r="I29" s="20" t="str">
        <f aca="false">IF(AND(Z21&gt;=$J$15,Z21&lt;=$K$15),"CUMPLE","NO")</f>
        <v>NO</v>
      </c>
      <c r="J29" s="20" t="str">
        <f aca="false">IF(AB21&lt;=$D$14,"CUMPLE","NO")</f>
        <v>CUMPLE</v>
      </c>
    </row>
    <row r="31" customFormat="false" ht="15" hidden="false" customHeight="true" outlineLevel="0" collapsed="false">
      <c r="A31" s="4" t="s">
        <v>66</v>
      </c>
    </row>
    <row r="32" customFormat="false" ht="41.25" hidden="false" customHeight="true" outlineLevel="0" collapsed="false">
      <c r="A32" s="12" t="s">
        <v>67</v>
      </c>
      <c r="B32" s="12" t="s">
        <v>68</v>
      </c>
      <c r="C32" s="12" t="s">
        <v>69</v>
      </c>
      <c r="D32" s="12" t="s">
        <v>70</v>
      </c>
      <c r="E32" s="12" t="s">
        <v>71</v>
      </c>
      <c r="F32" s="12" t="s">
        <v>72</v>
      </c>
      <c r="G32" s="12" t="s">
        <v>73</v>
      </c>
    </row>
    <row r="33" customFormat="false" ht="15" hidden="false" customHeight="true" outlineLevel="0" collapsed="false">
      <c r="A33" s="21" t="s">
        <v>43</v>
      </c>
      <c r="B33" s="22" t="n">
        <f aca="false">INDEX(LINEST($P$17:$P$21,$B$17:$B$21^{1,2}),1,1)</f>
        <v>0.000629344612208408</v>
      </c>
      <c r="C33" s="22" t="n">
        <f aca="false">INDEX(LINEST($P$17:$P$21,$B$17:$B$21^{1,2}),1,2)</f>
        <v>-0.0123886191287946</v>
      </c>
      <c r="D33" s="9" t="n">
        <f aca="false">INDEX(LINEST($P$17:$P$21,$B$17:$B$21^{1,2}),1,3)</f>
        <v>2.23780079736221</v>
      </c>
      <c r="E33" s="9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1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true" outlineLevel="0" collapsed="false">
      <c r="A34" s="21" t="s">
        <v>74</v>
      </c>
      <c r="B34" s="22" t="n">
        <f aca="false">INDEX(LINEST($R$17:$R$21,$B$17:$B$21^{1,2}),1,1)</f>
        <v>-0.0238007545461593</v>
      </c>
      <c r="C34" s="22" t="n">
        <f aca="false">INDEX(LINEST($R$17:$R$21,$B$17:$B$21^{1,2}),1,2)</f>
        <v>-0.756974723435819</v>
      </c>
      <c r="D34" s="9" t="n">
        <f aca="false">INDEX(LINEST($R$17:$R$21,$B$17:$B$21^{1,2}),1,3)</f>
        <v>8.89368200536669</v>
      </c>
      <c r="E34" s="9" t="n">
        <f aca="false">INDEX(LINEST($R$17:$R$21,$B$17:$B$21^{1,2},TRUE(),TRUE()),3,1)</f>
        <v>0.881013256952054</v>
      </c>
      <c r="F34" s="23" t="n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5.51015500531332</v>
      </c>
      <c r="G34" s="21" t="str">
        <f aca="false">IF(ISNUMBER(F34),"Pb para Va objetivo","Va objetivo NO se alcanza en el rango ensayado (Va mín. medido = "&amp;TEXT(MIN($R$17:$R$21),"0.0")&amp;" %)")</f>
        <v>Pb para Va objetivo</v>
      </c>
    </row>
    <row r="35" customFormat="false" ht="15" hidden="false" customHeight="true" outlineLevel="0" collapsed="false">
      <c r="A35" s="21" t="s">
        <v>75</v>
      </c>
      <c r="B35" s="22" t="n">
        <f aca="false">INDEX(LINEST($S$17:$S$21,$B$17:$B$21^{1,2}),1,1)</f>
        <v>-0.0272181197537832</v>
      </c>
      <c r="C35" s="22" t="n">
        <f aca="false">INDEX(LINEST($S$17:$S$21,$B$17:$B$21^{1,2}),1,2)</f>
        <v>1.42011062481528</v>
      </c>
      <c r="D35" s="9" t="n">
        <f aca="false">INDEX(LINEST($S$17:$S$21,$B$17:$B$21^{1,2}),1,3)</f>
        <v>7.89225094200161</v>
      </c>
      <c r="E35" s="9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1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true" outlineLevel="0" collapsed="false">
      <c r="A36" s="21" t="s">
        <v>76</v>
      </c>
      <c r="B36" s="22" t="n">
        <f aca="false">INDEX(LINEST($T$17:$T$21,$B$17:$B$21^{1,2}),1,1)</f>
        <v>-0.296438178331416</v>
      </c>
      <c r="C36" s="22" t="n">
        <f aca="false">INDEX(LINEST($T$17:$T$21,$B$17:$B$21^{1,2}),1,2)</f>
        <v>11.7225119359573</v>
      </c>
      <c r="D36" s="9" t="n">
        <f aca="false">INDEX(LINEST($T$17:$T$21,$B$17:$B$21^{1,2}),1,3)</f>
        <v>17.8363703738176</v>
      </c>
      <c r="E36" s="9" t="n">
        <f aca="false">INDEX(LINEST($T$17:$T$21,$B$17:$B$21^{1,2},TRUE(),TRUE()),3,1)</f>
        <v>0.921355347571009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1" t="str">
        <f aca="false">IF(ISNUMBER(F36),"Pb para VFA medio del rango (informativo)","Fuera del rango ensayado")</f>
        <v>Fuera del rango ensayado</v>
      </c>
    </row>
    <row r="37" customFormat="false" ht="15" hidden="false" customHeight="true" outlineLevel="0" collapsed="false">
      <c r="A37" s="21" t="s">
        <v>77</v>
      </c>
      <c r="B37" s="22" t="n">
        <f aca="false">INDEX(LINEST($X$17:$X$21,$B$17:$B$21^{1,2}),1,1)</f>
        <v>0.388711097558842</v>
      </c>
      <c r="C37" s="22" t="n">
        <f aca="false">INDEX(LINEST($X$17:$X$21,$B$17:$B$21^{1,2}),1,2)</f>
        <v>-6.4312038333706</v>
      </c>
      <c r="D37" s="9" t="n">
        <f aca="false">INDEX(LINEST($X$17:$X$21,$B$17:$B$21^{1,2}),1,3)</f>
        <v>31.5905532576165</v>
      </c>
      <c r="E37" s="9" t="n">
        <f aca="false">INDEX(LINEST($X$17:$X$21,$B$17:$B$21^{1,2},TRUE(),TRUE()),3,1)</f>
        <v>0.7900908008705</v>
      </c>
      <c r="F37" s="23" t="n">
        <f aca="false">IF(AND(B37&lt;0,-C37/(2*B37)&gt;=MIN($B$17:$B$21),-C37/(2*B37)&lt;=MAX($B$17:$B$21)),-C37/(2*B37),INDEX($B$17:$B$21,MATCH(MAX($X$17:$X$21),$X$17:$X$21,0)))</f>
        <v>5.5</v>
      </c>
      <c r="G37" s="21" t="str">
        <f aca="false">IF(AND(B37&lt;0,-C37/(2*B37)&gt;=MIN($B$17:$B$21),-C37/(2*B37)&lt;=MAX($B$17:$B$21)),"Máximo de la parábola","Sin máximo interior: se toma la mayor estabilidad medida")</f>
        <v>Sin máximo interior: se toma la mayor estabilidad medida</v>
      </c>
    </row>
    <row r="38" customFormat="false" ht="15" hidden="false" customHeight="true" outlineLevel="0" collapsed="false">
      <c r="A38" s="21" t="s">
        <v>17</v>
      </c>
      <c r="B38" s="22" t="n">
        <f aca="false">INDEX(LINEST($Y$17:$Y$21,$B$17:$B$21^{1,2}),1,1)</f>
        <v>-0.0665553973786265</v>
      </c>
      <c r="C38" s="22" t="n">
        <f aca="false">INDEX(LINEST($Y$17:$Y$21,$B$17:$B$21^{1,2}),1,2)</f>
        <v>1.62909528250945</v>
      </c>
      <c r="D38" s="9" t="n">
        <f aca="false">INDEX(LINEST($Y$17:$Y$21,$B$17:$B$21^{1,2}),1,3)</f>
        <v>-2.94221687693289</v>
      </c>
      <c r="E38" s="9" t="n">
        <f aca="false">INDEX(LINEST($Y$17:$Y$21,$B$17:$B$21^{1,2},TRUE(),TRUE()),3,1)</f>
        <v>0.998620518139559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1" t="str">
        <f aca="false">IF(ISNUMBER(F38),"Pb para flujo máximo (límite superior de Pb)","Fuera del rango ensayado")</f>
        <v>Fuera del rango ensayado</v>
      </c>
    </row>
    <row r="40" customFormat="false" ht="15" hidden="false" customHeight="true" outlineLevel="0" collapsed="false">
      <c r="A40" s="4" t="s">
        <v>78</v>
      </c>
      <c r="F40" s="24" t="n">
        <f aca="false">AVERAGE(F33,F37,F34)</f>
        <v>5.50338500177111</v>
      </c>
      <c r="G40" s="1" t="str">
        <f aca="false">IF(ISNUMBER(F34),"Promedio de 3 criterios","PROVISIONAL: solo promedio de máx. Gmb y máx. estabilidad")</f>
        <v>Promedio de 3 criterios</v>
      </c>
    </row>
    <row r="41" customFormat="false" ht="15" hidden="false" customHeight="true" outlineLevel="0" collapsed="false">
      <c r="A41" s="4" t="s">
        <v>79</v>
      </c>
      <c r="F41" s="25" t="n">
        <f aca="false">ROUND(F40*10,0)/10</f>
        <v>5.5</v>
      </c>
    </row>
    <row r="43" customFormat="false" ht="15" hidden="false" customHeight="true" outlineLevel="0" collapsed="false">
      <c r="A43" s="4" t="s">
        <v>80</v>
      </c>
    </row>
    <row r="44" customFormat="false" ht="41.25" hidden="false" customHeight="true" outlineLevel="0" collapsed="false">
      <c r="A44" s="12" t="s">
        <v>67</v>
      </c>
      <c r="B44" s="12" t="s">
        <v>81</v>
      </c>
      <c r="C44" s="12" t="s">
        <v>82</v>
      </c>
      <c r="D44" s="12" t="s">
        <v>83</v>
      </c>
    </row>
    <row r="45" customFormat="false" ht="15" hidden="false" customHeight="true" outlineLevel="0" collapsed="false">
      <c r="A45" s="20" t="s">
        <v>43</v>
      </c>
      <c r="B45" s="17" t="n">
        <f aca="false">B33*$F$41^2+C33*$F$41+D33</f>
        <v>2.18870106667315</v>
      </c>
      <c r="C45" s="20" t="s">
        <v>84</v>
      </c>
      <c r="D45" s="20" t="str">
        <f aca="false">"-"</f>
        <v>-</v>
      </c>
    </row>
    <row r="46" customFormat="false" ht="41.25" hidden="false" customHeight="true" outlineLevel="0" collapsed="false">
      <c r="A46" s="20" t="s">
        <v>74</v>
      </c>
      <c r="B46" s="15" t="n">
        <f aca="false">B34*$F$41^2+C34*$F$41+D34</f>
        <v>4.01034820144837</v>
      </c>
      <c r="C46" s="20" t="str">
        <f aca="false">TEXT($J$11,"0")&amp;" - "&amp;TEXT($K$11,"0")&amp;" %"</f>
        <v>3 - 5 %</v>
      </c>
      <c r="D46" s="20" t="str">
        <f aca="false">IF(AND(ROUND(B46,1)&gt;=$J$11,ROUND(B46,1)&lt;=$K$11),"CUMPLE","NO CUMPLE")</f>
        <v>CUMPLE</v>
      </c>
    </row>
    <row r="47" customFormat="false" ht="27.75" hidden="false" customHeight="true" outlineLevel="0" collapsed="false">
      <c r="A47" s="20" t="s">
        <v>75</v>
      </c>
      <c r="B47" s="15" t="n">
        <f aca="false">B35*$F$41^2+C35*$F$41+D35</f>
        <v>14.8795112559337</v>
      </c>
      <c r="C47" s="20" t="str">
        <f aca="false">"≥ "&amp;TEXT($J$12,"0")&amp;" %"</f>
        <v>≥ 14 %</v>
      </c>
      <c r="D47" s="20" t="str">
        <f aca="false">IF(ROUND(B47,1)&gt;=$J$12,"CUMPLE","NO CUMPLE")</f>
        <v>CUMPLE</v>
      </c>
    </row>
    <row r="48" customFormat="false" ht="41.25" hidden="false" customHeight="true" outlineLevel="0" collapsed="false">
      <c r="A48" s="20" t="s">
        <v>76</v>
      </c>
      <c r="B48" s="15" t="n">
        <f aca="false">B36*$F$41^2+C36*$F$41+D36</f>
        <v>73.3429311270575</v>
      </c>
      <c r="C48" s="20" t="str">
        <f aca="false">TEXT($J$13,"0")&amp;" - "&amp;TEXT($K$13,"0")&amp;" %"</f>
        <v>65 - 78 %</v>
      </c>
      <c r="D48" s="20" t="str">
        <f aca="false">IF(AND(ROUND(B48,1)&gt;=$J$13,ROUND(B48,1)&lt;=$K$13),"CUMPLE","NO CUMPLE")</f>
        <v>CUMPLE</v>
      </c>
    </row>
    <row r="49" customFormat="false" ht="27.75" hidden="false" customHeight="true" outlineLevel="0" collapsed="false">
      <c r="A49" s="20" t="s">
        <v>77</v>
      </c>
      <c r="B49" s="16" t="n">
        <f aca="false">B37*$F$41^2+C37*$F$41+D37</f>
        <v>7.97744287523311</v>
      </c>
      <c r="C49" s="20" t="str">
        <f aca="false">"≥ "&amp;TEXT($J$9,"0.00")&amp;" kN"</f>
        <v>≥ 5.44 kN</v>
      </c>
      <c r="D49" s="20" t="str">
        <f aca="false">IF(ROUND(B49,2)&gt;=$J$9,"CUMPLE","NO CUMPLE")</f>
        <v>CUMPLE</v>
      </c>
    </row>
    <row r="50" customFormat="false" ht="41.25" hidden="false" customHeight="true" outlineLevel="0" collapsed="false">
      <c r="A50" s="20" t="s">
        <v>17</v>
      </c>
      <c r="B50" s="15" t="n">
        <f aca="false">B38*$F$41^2+C38*$F$41+D38</f>
        <v>4.00450640616563</v>
      </c>
      <c r="C50" s="20" t="str">
        <f aca="false">TEXT($J$10,"0")&amp;" - "&amp;TEXT($K$10,"0")&amp;" mm"</f>
        <v>2 - 4 mm</v>
      </c>
      <c r="D50" s="20" t="str">
        <f aca="false">IF(AND(ROUND(B50,1)&gt;=$J$10,ROUND(B50,1)&lt;=$K$10),"CUMPLE","NO CUMPLE")</f>
        <v>CUMPLE</v>
      </c>
    </row>
    <row r="51" customFormat="false" ht="41.25" hidden="false" customHeight="true" outlineLevel="0" collapsed="false">
      <c r="A51" s="20" t="s">
        <v>27</v>
      </c>
      <c r="B51" s="19" t="n">
        <f aca="false">B49*1000/9.80665/(B50/10)</f>
        <v>2031.39338857235</v>
      </c>
      <c r="C51" s="20" t="str">
        <f aca="false">TEXT($J$15,"0")&amp;" - "&amp;TEXT($K$15,"0")&amp;" kg/cm"</f>
        <v>1700 - 4000 kg/cm</v>
      </c>
      <c r="D51" s="20" t="str">
        <f aca="false">IF(AND(B51&gt;=$J$15,B51&lt;=$K$15),"CUMPLE","NO CUMPLE")</f>
        <v>CUMPLE</v>
      </c>
    </row>
    <row r="52" customFormat="false" ht="41.25" hidden="false" customHeight="true" outlineLevel="0" collapsed="false">
      <c r="A52" s="26" t="s">
        <v>85</v>
      </c>
      <c r="B52" s="16"/>
      <c r="C52" s="20"/>
      <c r="D52" s="20" t="str">
        <f aca="false">IF(COUNTIF(D46:D51,"NO CUMPLE")=0,"CUMPLE","NO CUMPLE")</f>
        <v>CUMPLE</v>
      </c>
    </row>
    <row r="54" customFormat="false" ht="15" hidden="false" customHeight="true" outlineLevel="0" collapsed="false">
      <c r="A54" s="27" t="s">
        <v>86</v>
      </c>
    </row>
    <row r="55" customFormat="false" ht="15" hidden="false" customHeight="true" outlineLevel="0" collapsed="false">
      <c r="A55" s="1" t="s">
        <v>87</v>
      </c>
    </row>
    <row r="56" customFormat="false" ht="15" hidden="false" customHeight="true" outlineLevel="0" collapsed="false">
      <c r="A56" s="1" t="s">
        <v>88</v>
      </c>
    </row>
    <row r="57" customFormat="false" ht="15" hidden="false" customHeight="true" outlineLevel="0" collapsed="false">
      <c r="A57" s="1" t="s">
        <v>89</v>
      </c>
    </row>
    <row r="58" customFormat="false" ht="15" hidden="false" customHeight="true" outlineLevel="0" collapsed="false">
      <c r="A58" s="1" t="s">
        <v>90</v>
      </c>
    </row>
    <row r="59" customFormat="false" ht="15" hidden="false" customHeight="true" outlineLevel="0" collapsed="false">
      <c r="A59" s="1" t="s">
        <v>91</v>
      </c>
    </row>
    <row r="60" customFormat="false" ht="15" hidden="false" customHeight="true" outlineLevel="0" collapsed="false">
      <c r="A60" s="1" t="s">
        <v>92</v>
      </c>
    </row>
    <row r="61" customFormat="false" ht="15" hidden="false" customHeight="true" outlineLevel="0" collapsed="false">
      <c r="A61" s="1" t="s">
        <v>93</v>
      </c>
    </row>
    <row r="62" customFormat="false" ht="15" hidden="false" customHeight="true" outlineLevel="0" collapsed="false">
      <c r="A62" s="1" t="s">
        <v>94</v>
      </c>
    </row>
    <row r="63" customFormat="false" ht="15" hidden="false" customHeight="true" outlineLevel="0" collapsed="false">
      <c r="A63" s="1" t="s">
        <v>95</v>
      </c>
    </row>
    <row r="64" customFormat="false" ht="15" hidden="false" customHeight="true" outlineLevel="0" collapsed="false">
      <c r="A64" s="1" t="s">
        <v>96</v>
      </c>
    </row>
  </sheetData>
  <mergeCells count="16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A15:C15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cellIs" priority="7" operator="equal" aboveAverage="0" equalAverage="0" bottom="0" percent="0" rank="0" text="" dxfId="3">
      <formula>"CUMPLE"</formula>
    </cfRule>
    <cfRule type="cellIs" priority="8" operator="notEqual" aboveAverage="0" equalAverage="0" bottom="0" percent="0" rank="0" text="" dxfId="4">
      <formula>"CUMPLE"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0" min="1" style="0" width="9.5"/>
  </cols>
  <sheetData>
    <row r="1" customFormat="false" ht="27.75" hidden="false" customHeight="true" outlineLevel="0" collapsed="false">
      <c r="A1" s="28" t="s">
        <v>97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</row>
    <row r="2" customFormat="false" ht="15" hidden="false" customHeight="false" outlineLevel="0" collapsed="false">
      <c r="A2" s="29" t="str">
        <f aca="false">Diseno_Marshall!C4&amp;"  |  C.A. "&amp;Diseno_Marshall!C5&amp;"  |  "&amp;Diseno_Marshall!C6</f>
        <v>MAC-2 fina (huso MAC-2, MTC EG-2013)  |  C.A. PEN 120-150  |  50 golpes por cara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</row>
    <row r="3" customFormat="false" ht="15" hidden="false" customHeight="false" outlineLevel="0" collapsed="false">
      <c r="A3" s="30" t="str">
        <f aca="false">" RESUMEN EN EL CONTENIDO ÓPTIMO DE ASFALTO  Pb = "&amp;TEXT(Diseno_Marshall!F41,"0.0")&amp;" %"</f>
        <v> RESUMEN EN EL CONTENIDO ÓPTIMO DE ASFALTO  Pb = 5.5 %</v>
      </c>
      <c r="B3" s="30"/>
      <c r="C3" s="30"/>
      <c r="D3" s="30"/>
      <c r="E3" s="30"/>
      <c r="F3" s="30"/>
      <c r="G3" s="30"/>
      <c r="H3" s="30"/>
      <c r="I3" s="30"/>
      <c r="J3" s="30"/>
      <c r="L3" s="31" t="s">
        <v>98</v>
      </c>
    </row>
    <row r="4" customFormat="false" ht="15" hidden="false" customHeight="false" outlineLevel="0" collapsed="false">
      <c r="A4" s="32" t="s">
        <v>67</v>
      </c>
      <c r="B4" s="32"/>
      <c r="C4" s="32"/>
      <c r="D4" s="32" t="s">
        <v>99</v>
      </c>
      <c r="E4" s="32"/>
      <c r="F4" s="32" t="s">
        <v>82</v>
      </c>
      <c r="G4" s="32"/>
      <c r="H4" s="32"/>
      <c r="I4" s="32" t="s">
        <v>83</v>
      </c>
      <c r="J4" s="32"/>
      <c r="L4" s="33" t="s">
        <v>100</v>
      </c>
    </row>
    <row r="5" customFormat="false" ht="15" hidden="false" customHeight="false" outlineLevel="0" collapsed="false">
      <c r="A5" s="34" t="str">
        <f aca="false">Diseno_Marshall!A45</f>
        <v>Gmb</v>
      </c>
      <c r="B5" s="34"/>
      <c r="C5" s="34"/>
      <c r="D5" s="35" t="n">
        <f aca="false">Diseno_Marshall!B45</f>
        <v>2.18870106667315</v>
      </c>
      <c r="E5" s="35"/>
      <c r="F5" s="36" t="str">
        <f aca="false">Diseno_Marshall!C45</f>
        <v>-</v>
      </c>
      <c r="G5" s="36"/>
      <c r="H5" s="36"/>
      <c r="I5" s="36" t="str">
        <f aca="false">Diseno_Marshall!D45</f>
        <v>-</v>
      </c>
      <c r="J5" s="36"/>
      <c r="L5" s="33" t="s">
        <v>101</v>
      </c>
    </row>
    <row r="6" customFormat="false" ht="15" hidden="false" customHeight="false" outlineLevel="0" collapsed="false">
      <c r="A6" s="34" t="str">
        <f aca="false">Diseno_Marshall!A46</f>
        <v>Va (%)</v>
      </c>
      <c r="B6" s="34"/>
      <c r="C6" s="34"/>
      <c r="D6" s="37" t="n">
        <f aca="false">Diseno_Marshall!B46</f>
        <v>4.01034820144837</v>
      </c>
      <c r="E6" s="37"/>
      <c r="F6" s="36" t="str">
        <f aca="false">Diseno_Marshall!C46</f>
        <v>3 - 5 %</v>
      </c>
      <c r="G6" s="36"/>
      <c r="H6" s="36"/>
      <c r="I6" s="36" t="str">
        <f aca="false">Diseno_Marshall!D46</f>
        <v>CUMPLE</v>
      </c>
      <c r="J6" s="36"/>
      <c r="L6" s="33" t="s">
        <v>102</v>
      </c>
    </row>
    <row r="7" customFormat="false" ht="15" hidden="false" customHeight="false" outlineLevel="0" collapsed="false">
      <c r="A7" s="34" t="str">
        <f aca="false">Diseno_Marshall!A47</f>
        <v>VMA (%)</v>
      </c>
      <c r="B7" s="34"/>
      <c r="C7" s="34"/>
      <c r="D7" s="37" t="n">
        <f aca="false">Diseno_Marshall!B47</f>
        <v>14.8795112559337</v>
      </c>
      <c r="E7" s="37"/>
      <c r="F7" s="36" t="str">
        <f aca="false">Diseno_Marshall!C47</f>
        <v>≥ 14 %</v>
      </c>
      <c r="G7" s="36"/>
      <c r="H7" s="36"/>
      <c r="I7" s="36" t="str">
        <f aca="false">Diseno_Marshall!D47</f>
        <v>CUMPLE</v>
      </c>
      <c r="J7" s="36"/>
      <c r="L7" s="33" t="s">
        <v>103</v>
      </c>
    </row>
    <row r="8" customFormat="false" ht="15" hidden="false" customHeight="false" outlineLevel="0" collapsed="false">
      <c r="A8" s="34" t="str">
        <f aca="false">Diseno_Marshall!A48</f>
        <v>VFA (%)</v>
      </c>
      <c r="B8" s="34"/>
      <c r="C8" s="34"/>
      <c r="D8" s="37" t="n">
        <f aca="false">Diseno_Marshall!B48</f>
        <v>73.3429311270575</v>
      </c>
      <c r="E8" s="37"/>
      <c r="F8" s="36" t="str">
        <f aca="false">Diseno_Marshall!C48</f>
        <v>65 - 78 %</v>
      </c>
      <c r="G8" s="36"/>
      <c r="H8" s="36"/>
      <c r="I8" s="36" t="str">
        <f aca="false">Diseno_Marshall!D48</f>
        <v>CUMPLE</v>
      </c>
      <c r="J8" s="36"/>
      <c r="L8" s="33" t="s">
        <v>104</v>
      </c>
    </row>
    <row r="9" customFormat="false" ht="15" hidden="false" customHeight="false" outlineLevel="0" collapsed="false">
      <c r="A9" s="34" t="str">
        <f aca="false">Diseno_Marshall!A49</f>
        <v>Estabilidad (kN)</v>
      </c>
      <c r="B9" s="34"/>
      <c r="C9" s="34"/>
      <c r="D9" s="38" t="n">
        <f aca="false">Diseno_Marshall!B49</f>
        <v>7.97744287523311</v>
      </c>
      <c r="E9" s="38"/>
      <c r="F9" s="36" t="str">
        <f aca="false">Diseno_Marshall!C49</f>
        <v>≥ 5.44 kN</v>
      </c>
      <c r="G9" s="36"/>
      <c r="H9" s="36"/>
      <c r="I9" s="36" t="str">
        <f aca="false">Diseno_Marshall!D49</f>
        <v>CUMPLE</v>
      </c>
      <c r="J9" s="36"/>
    </row>
    <row r="10" customFormat="false" ht="15" hidden="false" customHeight="false" outlineLevel="0" collapsed="false">
      <c r="A10" s="34" t="str">
        <f aca="false">Diseno_Marshall!A50</f>
        <v>Flujo (mm)</v>
      </c>
      <c r="B10" s="34"/>
      <c r="C10" s="34"/>
      <c r="D10" s="37" t="n">
        <f aca="false">Diseno_Marshall!B50</f>
        <v>4.00450640616563</v>
      </c>
      <c r="E10" s="37"/>
      <c r="F10" s="36" t="str">
        <f aca="false">Diseno_Marshall!C50</f>
        <v>2 - 4 mm</v>
      </c>
      <c r="G10" s="36"/>
      <c r="H10" s="36"/>
      <c r="I10" s="36" t="str">
        <f aca="false">Diseno_Marshall!D50</f>
        <v>CUMPLE</v>
      </c>
      <c r="J10" s="36"/>
      <c r="L10" s="39" t="s">
        <v>105</v>
      </c>
    </row>
    <row r="11" customFormat="false" ht="15" hidden="false" customHeight="false" outlineLevel="0" collapsed="false">
      <c r="A11" s="34" t="str">
        <f aca="false">Diseno_Marshall!A51</f>
        <v>Estab./Flujo (kg/cm)</v>
      </c>
      <c r="B11" s="34"/>
      <c r="C11" s="34"/>
      <c r="D11" s="40" t="n">
        <f aca="false">Diseno_Marshall!B51</f>
        <v>2031.39338857235</v>
      </c>
      <c r="E11" s="40"/>
      <c r="F11" s="36" t="str">
        <f aca="false">Diseno_Marshall!C51</f>
        <v>1700 - 4000 kg/cm</v>
      </c>
      <c r="G11" s="36"/>
      <c r="H11" s="36"/>
      <c r="I11" s="36" t="str">
        <f aca="false">Diseno_Marshall!D51</f>
        <v>CUMPLE</v>
      </c>
      <c r="J11" s="36"/>
    </row>
    <row r="12" customFormat="false" ht="15" hidden="false" customHeight="false" outlineLevel="0" collapsed="false">
      <c r="A12" s="41" t="s">
        <v>106</v>
      </c>
      <c r="B12" s="41"/>
      <c r="C12" s="41"/>
      <c r="D12" s="41"/>
      <c r="E12" s="41"/>
      <c r="F12" s="41"/>
      <c r="G12" s="41"/>
      <c r="H12" s="41"/>
      <c r="I12" s="42" t="str">
        <f aca="false">Diseno_Marshall!D52</f>
        <v>CUMPLE</v>
      </c>
      <c r="J12" s="42"/>
    </row>
  </sheetData>
  <mergeCells count="37">
    <mergeCell ref="A1:T1"/>
    <mergeCell ref="A2:T2"/>
    <mergeCell ref="A3:J3"/>
    <mergeCell ref="A4:C4"/>
    <mergeCell ref="D4:E4"/>
    <mergeCell ref="F4:H4"/>
    <mergeCell ref="I4:J4"/>
    <mergeCell ref="A5:C5"/>
    <mergeCell ref="D5:E5"/>
    <mergeCell ref="F5:H5"/>
    <mergeCell ref="I5:J5"/>
    <mergeCell ref="A6:C6"/>
    <mergeCell ref="D6:E6"/>
    <mergeCell ref="F6:H6"/>
    <mergeCell ref="I6:J6"/>
    <mergeCell ref="A7:C7"/>
    <mergeCell ref="D7:E7"/>
    <mergeCell ref="F7:H7"/>
    <mergeCell ref="I7:J7"/>
    <mergeCell ref="A8:C8"/>
    <mergeCell ref="D8:E8"/>
    <mergeCell ref="F8:H8"/>
    <mergeCell ref="I8:J8"/>
    <mergeCell ref="A9:C9"/>
    <mergeCell ref="D9:E9"/>
    <mergeCell ref="F9:H9"/>
    <mergeCell ref="I9:J9"/>
    <mergeCell ref="A10:C10"/>
    <mergeCell ref="D10:E10"/>
    <mergeCell ref="F10:H10"/>
    <mergeCell ref="I10:J10"/>
    <mergeCell ref="A11:C11"/>
    <mergeCell ref="D11:E11"/>
    <mergeCell ref="F11:H11"/>
    <mergeCell ref="I11:J11"/>
    <mergeCell ref="A12:H12"/>
    <mergeCell ref="I12:J12"/>
  </mergeCells>
  <conditionalFormatting sqref="I5:J12">
    <cfRule type="cellIs" priority="2" operator="equal" aboveAverage="0" equalAverage="0" bottom="0" percent="0" rank="0" text="" dxfId="5">
      <formula>"CUMPLE"</formula>
    </cfRule>
    <cfRule type="cellIs" priority="3" operator="equal" aboveAverage="0" equalAverage="0" bottom="0" percent="0" rank="0" text="" dxfId="6">
      <formula>"NO 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</cols>
  <sheetData>
    <row r="1" customFormat="false" ht="15" hidden="false" customHeight="true" outlineLevel="0" collapsed="false">
      <c r="A1" s="43" t="s">
        <v>107</v>
      </c>
      <c r="B1" s="43" t="s">
        <v>108</v>
      </c>
      <c r="D1" s="1" t="s">
        <v>109</v>
      </c>
    </row>
    <row r="2" customFormat="false" ht="15" hidden="false" customHeight="true" outlineLevel="0" collapsed="false">
      <c r="A2" s="21" t="n">
        <v>25.4</v>
      </c>
      <c r="B2" s="21" t="n">
        <v>5.56</v>
      </c>
    </row>
    <row r="3" customFormat="false" ht="15" hidden="false" customHeight="true" outlineLevel="0" collapsed="false">
      <c r="A3" s="21" t="n">
        <v>27</v>
      </c>
      <c r="B3" s="21" t="n">
        <v>5</v>
      </c>
    </row>
    <row r="4" customFormat="false" ht="15" hidden="false" customHeight="true" outlineLevel="0" collapsed="false">
      <c r="A4" s="21" t="n">
        <v>28.6</v>
      </c>
      <c r="B4" s="21" t="n">
        <v>4.55</v>
      </c>
    </row>
    <row r="5" customFormat="false" ht="15" hidden="false" customHeight="true" outlineLevel="0" collapsed="false">
      <c r="A5" s="21" t="n">
        <v>30.2</v>
      </c>
      <c r="B5" s="21" t="n">
        <v>4.17</v>
      </c>
    </row>
    <row r="6" customFormat="false" ht="15" hidden="false" customHeight="true" outlineLevel="0" collapsed="false">
      <c r="A6" s="21" t="n">
        <v>31.8</v>
      </c>
      <c r="B6" s="21" t="n">
        <v>3.85</v>
      </c>
    </row>
    <row r="7" customFormat="false" ht="15" hidden="false" customHeight="true" outlineLevel="0" collapsed="false">
      <c r="A7" s="21" t="n">
        <v>33.3</v>
      </c>
      <c r="B7" s="21" t="n">
        <v>3.57</v>
      </c>
    </row>
    <row r="8" customFormat="false" ht="15" hidden="false" customHeight="true" outlineLevel="0" collapsed="false">
      <c r="A8" s="21" t="n">
        <v>34.9</v>
      </c>
      <c r="B8" s="21" t="n">
        <v>3.33</v>
      </c>
    </row>
    <row r="9" customFormat="false" ht="15" hidden="false" customHeight="true" outlineLevel="0" collapsed="false">
      <c r="A9" s="21" t="n">
        <v>36.5</v>
      </c>
      <c r="B9" s="21" t="n">
        <v>3.03</v>
      </c>
    </row>
    <row r="10" customFormat="false" ht="15" hidden="false" customHeight="true" outlineLevel="0" collapsed="false">
      <c r="A10" s="21" t="n">
        <v>38.1</v>
      </c>
      <c r="B10" s="21" t="n">
        <v>2.78</v>
      </c>
    </row>
    <row r="11" customFormat="false" ht="15" hidden="false" customHeight="true" outlineLevel="0" collapsed="false">
      <c r="A11" s="21" t="n">
        <v>39.7</v>
      </c>
      <c r="B11" s="21" t="n">
        <v>2.5</v>
      </c>
    </row>
    <row r="12" customFormat="false" ht="15" hidden="false" customHeight="true" outlineLevel="0" collapsed="false">
      <c r="A12" s="21" t="n">
        <v>41.3</v>
      </c>
      <c r="B12" s="21" t="n">
        <v>2.27</v>
      </c>
    </row>
    <row r="13" customFormat="false" ht="15" hidden="false" customHeight="true" outlineLevel="0" collapsed="false">
      <c r="A13" s="21" t="n">
        <v>42.9</v>
      </c>
      <c r="B13" s="21" t="n">
        <v>2.08</v>
      </c>
    </row>
    <row r="14" customFormat="false" ht="15" hidden="false" customHeight="true" outlineLevel="0" collapsed="false">
      <c r="A14" s="21" t="n">
        <v>44.4</v>
      </c>
      <c r="B14" s="21" t="n">
        <v>1.92</v>
      </c>
    </row>
    <row r="15" customFormat="false" ht="15" hidden="false" customHeight="true" outlineLevel="0" collapsed="false">
      <c r="A15" s="21" t="n">
        <v>46</v>
      </c>
      <c r="B15" s="21" t="n">
        <v>1.79</v>
      </c>
    </row>
    <row r="16" customFormat="false" ht="15" hidden="false" customHeight="true" outlineLevel="0" collapsed="false">
      <c r="A16" s="21" t="n">
        <v>47.6</v>
      </c>
      <c r="B16" s="21" t="n">
        <v>1.67</v>
      </c>
    </row>
    <row r="17" customFormat="false" ht="15" hidden="false" customHeight="true" outlineLevel="0" collapsed="false">
      <c r="A17" s="21" t="n">
        <v>49.2</v>
      </c>
      <c r="B17" s="21" t="n">
        <v>1.56</v>
      </c>
    </row>
    <row r="18" customFormat="false" ht="15" hidden="false" customHeight="true" outlineLevel="0" collapsed="false">
      <c r="A18" s="21" t="n">
        <v>50.8</v>
      </c>
      <c r="B18" s="21" t="n">
        <v>1.47</v>
      </c>
    </row>
    <row r="19" customFormat="false" ht="15" hidden="false" customHeight="true" outlineLevel="0" collapsed="false">
      <c r="A19" s="21" t="n">
        <v>52.4</v>
      </c>
      <c r="B19" s="21" t="n">
        <v>1.39</v>
      </c>
    </row>
    <row r="20" customFormat="false" ht="15" hidden="false" customHeight="true" outlineLevel="0" collapsed="false">
      <c r="A20" s="21" t="n">
        <v>54</v>
      </c>
      <c r="B20" s="21" t="n">
        <v>1.32</v>
      </c>
    </row>
    <row r="21" customFormat="false" ht="15" hidden="false" customHeight="true" outlineLevel="0" collapsed="false">
      <c r="A21" s="21" t="n">
        <v>55.6</v>
      </c>
      <c r="B21" s="21" t="n">
        <v>1.25</v>
      </c>
    </row>
    <row r="22" customFormat="false" ht="15" hidden="false" customHeight="true" outlineLevel="0" collapsed="false">
      <c r="A22" s="21" t="n">
        <v>57.2</v>
      </c>
      <c r="B22" s="21" t="n">
        <v>1.19</v>
      </c>
    </row>
    <row r="23" customFormat="false" ht="15" hidden="false" customHeight="true" outlineLevel="0" collapsed="false">
      <c r="A23" s="21" t="n">
        <v>58.7</v>
      </c>
      <c r="B23" s="21" t="n">
        <v>1.14</v>
      </c>
    </row>
    <row r="24" customFormat="false" ht="15" hidden="false" customHeight="true" outlineLevel="0" collapsed="false">
      <c r="A24" s="21" t="n">
        <v>60.3</v>
      </c>
      <c r="B24" s="21" t="n">
        <v>1.09</v>
      </c>
    </row>
    <row r="25" customFormat="false" ht="15" hidden="false" customHeight="true" outlineLevel="0" collapsed="false">
      <c r="A25" s="21" t="n">
        <v>61.9</v>
      </c>
      <c r="B25" s="21" t="n">
        <v>1.04</v>
      </c>
    </row>
    <row r="26" customFormat="false" ht="15" hidden="false" customHeight="true" outlineLevel="0" collapsed="false">
      <c r="A26" s="21" t="n">
        <v>63.5</v>
      </c>
      <c r="B26" s="21" t="n">
        <v>1</v>
      </c>
    </row>
    <row r="27" customFormat="false" ht="15" hidden="false" customHeight="true" outlineLevel="0" collapsed="false">
      <c r="A27" s="21" t="n">
        <v>65.1</v>
      </c>
      <c r="B27" s="21" t="n">
        <v>0.96</v>
      </c>
    </row>
    <row r="28" customFormat="false" ht="15" hidden="false" customHeight="true" outlineLevel="0" collapsed="false">
      <c r="A28" s="21" t="n">
        <v>66.7</v>
      </c>
      <c r="B28" s="21" t="n">
        <v>0.93</v>
      </c>
    </row>
    <row r="29" customFormat="false" ht="15" hidden="false" customHeight="true" outlineLevel="0" collapsed="false">
      <c r="A29" s="21" t="n">
        <v>68.3</v>
      </c>
      <c r="B29" s="21" t="n">
        <v>0.89</v>
      </c>
    </row>
    <row r="30" customFormat="false" ht="15" hidden="false" customHeight="true" outlineLevel="0" collapsed="false">
      <c r="A30" s="21" t="n">
        <v>69.9</v>
      </c>
      <c r="B30" s="21" t="n">
        <v>0.86</v>
      </c>
    </row>
    <row r="31" customFormat="false" ht="15" hidden="false" customHeight="true" outlineLevel="0" collapsed="false">
      <c r="A31" s="21" t="n">
        <v>71.4</v>
      </c>
      <c r="B31" s="21" t="n">
        <v>0.83</v>
      </c>
    </row>
    <row r="32" customFormat="false" ht="15" hidden="false" customHeight="true" outlineLevel="0" collapsed="false">
      <c r="A32" s="21" t="n">
        <v>73</v>
      </c>
      <c r="B32" s="21" t="n">
        <v>0.81</v>
      </c>
    </row>
    <row r="33" customFormat="false" ht="15" hidden="false" customHeight="true" outlineLevel="0" collapsed="false">
      <c r="A33" s="21" t="n">
        <v>74.6</v>
      </c>
      <c r="B33" s="21" t="n">
        <v>0.78</v>
      </c>
    </row>
    <row r="34" customFormat="false" ht="15" hidden="false" customHeight="true" outlineLevel="0" collapsed="false">
      <c r="A34" s="21" t="n">
        <v>76.2</v>
      </c>
      <c r="B34" s="21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</cols>
  <sheetData>
    <row r="1" customFormat="false" ht="15" hidden="false" customHeight="false" outlineLevel="0" collapsed="false">
      <c r="A1" s="44" t="s">
        <v>110</v>
      </c>
    </row>
    <row r="3" customFormat="false" ht="15" hidden="false" customHeight="false" outlineLevel="0" collapsed="false">
      <c r="A3" s="45" t="s">
        <v>62</v>
      </c>
      <c r="B3" s="45" t="s">
        <v>111</v>
      </c>
      <c r="D3" s="45" t="s">
        <v>112</v>
      </c>
      <c r="F3" s="45" t="s">
        <v>113</v>
      </c>
      <c r="H3" s="45" t="s">
        <v>114</v>
      </c>
      <c r="J3" s="45" t="s">
        <v>115</v>
      </c>
      <c r="L3" s="45" t="s">
        <v>116</v>
      </c>
    </row>
    <row r="4" customFormat="false" ht="15" hidden="false" customHeight="false" outlineLevel="0" collapsed="false">
      <c r="A4" s="0" t="n">
        <f aca="false">MIN(Diseno_Marshall!$B$17:$B$21)+0*(MAX(Diseno_Marshall!$B$17:$B$21)-MIN(Diseno_Marshall!$B$17:$B$21))/30</f>
        <v>5.5</v>
      </c>
      <c r="B4" s="46" t="n">
        <f aca="false">Diseno_Marshall!$B$33*A4^2+Diseno_Marshall!$C$33*A4+Diseno_Marshall!$D$33</f>
        <v>2.18870106667315</v>
      </c>
      <c r="D4" s="47" t="n">
        <f aca="false">Diseno_Marshall!$B$34*A4^2+Diseno_Marshall!$C$34*A4+Diseno_Marshall!$D$34</f>
        <v>4.01034820144837</v>
      </c>
      <c r="F4" s="47" t="n">
        <f aca="false">Diseno_Marshall!$B$35*A4^2+Diseno_Marshall!$C$35*A4+Diseno_Marshall!$D$35</f>
        <v>14.8795112559337</v>
      </c>
      <c r="H4" s="47" t="n">
        <f aca="false">Diseno_Marshall!$B$36*A4^2+Diseno_Marshall!$C$36*A4+Diseno_Marshall!$D$36</f>
        <v>73.3429311270575</v>
      </c>
      <c r="J4" s="48" t="n">
        <f aca="false">Diseno_Marshall!$B$37*A4^2+Diseno_Marshall!$C$37*A4+Diseno_Marshall!$D$37</f>
        <v>7.97744287523311</v>
      </c>
      <c r="L4" s="47" t="n">
        <f aca="false">Diseno_Marshall!$B$38*A4^2+Diseno_Marshall!$C$38*A4+Diseno_Marshall!$D$38</f>
        <v>4.00450640616563</v>
      </c>
    </row>
    <row r="5" customFormat="false" ht="15" hidden="false" customHeight="false" outlineLevel="0" collapsed="false">
      <c r="A5" s="0" t="n">
        <f aca="false">MIN(Diseno_Marshall!$B$17:$B$21)+1*(MAX(Diseno_Marshall!$B$17:$B$21)-MIN(Diseno_Marshall!$B$17:$B$21))/30</f>
        <v>5.65</v>
      </c>
      <c r="B5" s="46" t="n">
        <f aca="false">Diseno_Marshall!$B$33*A5^2+Diseno_Marshall!$C$33*A5+Diseno_Marshall!$D$33</f>
        <v>2.18789535266774</v>
      </c>
      <c r="D5" s="47" t="n">
        <f aca="false">Diseno_Marshall!$B$34*A5^2+Diseno_Marshall!$C$34*A5+Diseno_Marshall!$D$34</f>
        <v>3.85699523095454</v>
      </c>
      <c r="F5" s="47" t="n">
        <f aca="false">Diseno_Marshall!$B$35*A5^2+Diseno_Marshall!$C$35*A5+Diseno_Marshall!$D$35</f>
        <v>15.0470055443678</v>
      </c>
      <c r="H5" s="47" t="n">
        <f aca="false">Diseno_Marshall!$B$36*A5^2+Diseno_Marshall!$C$36*A5+Diseno_Marshall!$D$36</f>
        <v>74.6055150641918</v>
      </c>
      <c r="J5" s="48" t="n">
        <f aca="false">Diseno_Marshall!$B$37*A5^2+Diseno_Marshall!$C$37*A5+Diseno_Marshall!$D$37</f>
        <v>7.66288161089468</v>
      </c>
      <c r="L5" s="47" t="n">
        <f aca="false">Diseno_Marshall!$B$38*A5^2+Diseno_Marshall!$C$38*A5+Diseno_Marshall!$D$38</f>
        <v>4.13755679642629</v>
      </c>
    </row>
    <row r="6" customFormat="false" ht="15" hidden="false" customHeight="false" outlineLevel="0" collapsed="false">
      <c r="A6" s="0" t="n">
        <f aca="false">MIN(Diseno_Marshall!$B$17:$B$21)+2*(MAX(Diseno_Marshall!$B$17:$B$21)-MIN(Diseno_Marshall!$B$17:$B$21))/30</f>
        <v>5.8</v>
      </c>
      <c r="B6" s="46" t="n">
        <f aca="false">Diseno_Marshall!$B$33*A6^2+Diseno_Marshall!$C$33*A6+Diseno_Marshall!$D$33</f>
        <v>2.18711795916989</v>
      </c>
      <c r="D6" s="47" t="n">
        <f aca="false">Diseno_Marshall!$B$34*A6^2+Diseno_Marshall!$C$34*A6+Diseno_Marshall!$D$34</f>
        <v>3.70257122650614</v>
      </c>
      <c r="F6" s="47" t="n">
        <f aca="false">Diseno_Marshall!$B$35*A6^2+Diseno_Marshall!$C$35*A6+Diseno_Marshall!$D$35</f>
        <v>15.213275017413</v>
      </c>
      <c r="H6" s="47" t="n">
        <f aca="false">Diseno_Marshall!$B$36*A6^2+Diseno_Marshall!$C$36*A6+Diseno_Marshall!$D$36</f>
        <v>75.8547592833012</v>
      </c>
      <c r="J6" s="48" t="n">
        <f aca="false">Diseno_Marshall!$B$37*A6^2+Diseno_Marshall!$C$37*A6+Diseno_Marshall!$D$37</f>
        <v>7.3658123459464</v>
      </c>
      <c r="L6" s="47" t="n">
        <f aca="false">Diseno_Marshall!$B$38*A6^2+Diseno_Marshall!$C$38*A6+Diseno_Marshall!$D$38</f>
        <v>4.26761219380492</v>
      </c>
    </row>
    <row r="7" customFormat="false" ht="15" hidden="false" customHeight="false" outlineLevel="0" collapsed="false">
      <c r="A7" s="0" t="n">
        <f aca="false">MIN(Diseno_Marshall!$B$17:$B$21)+3*(MAX(Diseno_Marshall!$B$17:$B$21)-MIN(Diseno_Marshall!$B$17:$B$21))/30</f>
        <v>5.95</v>
      </c>
      <c r="B7" s="46" t="n">
        <f aca="false">Diseno_Marshall!$B$33*A7^2+Diseno_Marshall!$C$33*A7+Diseno_Marshall!$D$33</f>
        <v>2.18636888617959</v>
      </c>
      <c r="D7" s="47" t="n">
        <f aca="false">Diseno_Marshall!$B$34*A7^2+Diseno_Marshall!$C$34*A7+Diseno_Marshall!$D$34</f>
        <v>3.54707618810316</v>
      </c>
      <c r="F7" s="47" t="n">
        <f aca="false">Diseno_Marshall!$B$35*A7^2+Diseno_Marshall!$C$35*A7+Diseno_Marshall!$D$35</f>
        <v>15.3783196750692</v>
      </c>
      <c r="H7" s="47" t="n">
        <f aca="false">Diseno_Marshall!$B$36*A7^2+Diseno_Marshall!$C$36*A7+Diseno_Marshall!$D$36</f>
        <v>77.0906637843856</v>
      </c>
      <c r="J7" s="48" t="n">
        <f aca="false">Diseno_Marshall!$B$37*A7^2+Diseno_Marshall!$C$37*A7+Diseno_Marshall!$D$37</f>
        <v>7.08623508038827</v>
      </c>
      <c r="L7" s="47" t="n">
        <f aca="false">Diseno_Marshall!$B$38*A7^2+Diseno_Marshall!$C$38*A7+Diseno_Marshall!$D$38</f>
        <v>4.39467259830151</v>
      </c>
    </row>
    <row r="8" customFormat="false" ht="15" hidden="false" customHeight="false" outlineLevel="0" collapsed="false">
      <c r="A8" s="0" t="n">
        <f aca="false">MIN(Diseno_Marshall!$B$17:$B$21)+4*(MAX(Diseno_Marshall!$B$17:$B$21)-MIN(Diseno_Marshall!$B$17:$B$21))/30</f>
        <v>6.1</v>
      </c>
      <c r="B8" s="46" t="n">
        <f aca="false">Diseno_Marshall!$B$33*A8^2+Diseno_Marshall!$C$33*A8+Diseno_Marshall!$D$33</f>
        <v>2.18564813369684</v>
      </c>
      <c r="D8" s="47" t="n">
        <f aca="false">Diseno_Marshall!$B$34*A8^2+Diseno_Marshall!$C$34*A8+Diseno_Marshall!$D$34</f>
        <v>3.39051011574561</v>
      </c>
      <c r="F8" s="47" t="n">
        <f aca="false">Diseno_Marshall!$B$35*A8^2+Diseno_Marshall!$C$35*A8+Diseno_Marshall!$D$35</f>
        <v>15.5421395173365</v>
      </c>
      <c r="H8" s="47" t="n">
        <f aca="false">Diseno_Marshall!$B$36*A8^2+Diseno_Marshall!$C$36*A8+Diseno_Marshall!$D$36</f>
        <v>78.3132285674452</v>
      </c>
      <c r="J8" s="48" t="n">
        <f aca="false">Diseno_Marshall!$B$37*A8^2+Diseno_Marshall!$C$37*A8+Diseno_Marshall!$D$37</f>
        <v>6.82414981422028</v>
      </c>
      <c r="L8" s="47" t="n">
        <f aca="false">Diseno_Marshall!$B$38*A8^2+Diseno_Marshall!$C$38*A8+Diseno_Marshall!$D$38</f>
        <v>4.51873800991606</v>
      </c>
    </row>
    <row r="9" customFormat="false" ht="15" hidden="false" customHeight="false" outlineLevel="0" collapsed="false">
      <c r="A9" s="0" t="n">
        <f aca="false">MIN(Diseno_Marshall!$B$17:$B$21)+5*(MAX(Diseno_Marshall!$B$17:$B$21)-MIN(Diseno_Marshall!$B$17:$B$21))/30</f>
        <v>6.25</v>
      </c>
      <c r="B9" s="46" t="n">
        <f aca="false">Diseno_Marshall!$B$33*A9^2+Diseno_Marshall!$C$33*A9+Diseno_Marshall!$D$33</f>
        <v>2.18495570172164</v>
      </c>
      <c r="D9" s="47" t="n">
        <f aca="false">Diseno_Marshall!$B$34*A9^2+Diseno_Marshall!$C$34*A9+Diseno_Marshall!$D$34</f>
        <v>3.23287300943348</v>
      </c>
      <c r="F9" s="47" t="n">
        <f aca="false">Diseno_Marshall!$B$35*A9^2+Diseno_Marshall!$C$35*A9+Diseno_Marshall!$D$35</f>
        <v>15.704734544215</v>
      </c>
      <c r="H9" s="47" t="n">
        <f aca="false">Diseno_Marshall!$B$36*A9^2+Diseno_Marshall!$C$36*A9+Diseno_Marshall!$D$36</f>
        <v>79.5224536324798</v>
      </c>
      <c r="J9" s="48" t="n">
        <f aca="false">Diseno_Marshall!$B$37*A9^2+Diseno_Marshall!$C$37*A9+Diseno_Marshall!$D$37</f>
        <v>6.57955654744245</v>
      </c>
      <c r="L9" s="47" t="n">
        <f aca="false">Diseno_Marshall!$B$38*A9^2+Diseno_Marshall!$C$38*A9+Diseno_Marshall!$D$38</f>
        <v>4.63980842864857</v>
      </c>
    </row>
    <row r="10" customFormat="false" ht="15" hidden="false" customHeight="false" outlineLevel="0" collapsed="false">
      <c r="A10" s="0" t="n">
        <f aca="false">MIN(Diseno_Marshall!$B$17:$B$21)+6*(MAX(Diseno_Marshall!$B$17:$B$21)-MIN(Diseno_Marshall!$B$17:$B$21))/30</f>
        <v>6.4</v>
      </c>
      <c r="B10" s="46" t="n">
        <f aca="false">Diseno_Marshall!$B$33*A10^2+Diseno_Marshall!$C$33*A10+Diseno_Marshall!$D$33</f>
        <v>2.18429159025398</v>
      </c>
      <c r="D10" s="47" t="n">
        <f aca="false">Diseno_Marshall!$B$34*A10^2+Diseno_Marshall!$C$34*A10+Diseno_Marshall!$D$34</f>
        <v>3.07416486916676</v>
      </c>
      <c r="F10" s="47" t="n">
        <f aca="false">Diseno_Marshall!$B$35*A10^2+Diseno_Marshall!$C$35*A10+Diseno_Marshall!$D$35</f>
        <v>15.8661047557044</v>
      </c>
      <c r="H10" s="47" t="n">
        <f aca="false">Diseno_Marshall!$B$36*A10^2+Diseno_Marshall!$C$36*A10+Diseno_Marshall!$D$36</f>
        <v>80.7183389794896</v>
      </c>
      <c r="J10" s="48" t="n">
        <f aca="false">Diseno_Marshall!$B$37*A10^2+Diseno_Marshall!$C$37*A10+Diseno_Marshall!$D$37</f>
        <v>6.35245528005476</v>
      </c>
      <c r="L10" s="47" t="n">
        <f aca="false">Diseno_Marshall!$B$38*A10^2+Diseno_Marshall!$C$38*A10+Diseno_Marshall!$D$38</f>
        <v>4.75788385449904</v>
      </c>
    </row>
    <row r="11" customFormat="false" ht="15" hidden="false" customHeight="false" outlineLevel="0" collapsed="false">
      <c r="A11" s="0" t="n">
        <f aca="false">MIN(Diseno_Marshall!$B$17:$B$21)+7*(MAX(Diseno_Marshall!$B$17:$B$21)-MIN(Diseno_Marshall!$B$17:$B$21))/30</f>
        <v>6.55</v>
      </c>
      <c r="B11" s="46" t="n">
        <f aca="false">Diseno_Marshall!$B$33*A11^2+Diseno_Marshall!$C$33*A11+Diseno_Marshall!$D$33</f>
        <v>2.18365579929388</v>
      </c>
      <c r="D11" s="47" t="n">
        <f aca="false">Diseno_Marshall!$B$34*A11^2+Diseno_Marshall!$C$34*A11+Diseno_Marshall!$D$34</f>
        <v>2.91438569494548</v>
      </c>
      <c r="F11" s="47" t="n">
        <f aca="false">Diseno_Marshall!$B$35*A11^2+Diseno_Marshall!$C$35*A11+Diseno_Marshall!$D$35</f>
        <v>16.026250151805</v>
      </c>
      <c r="H11" s="47" t="n">
        <f aca="false">Diseno_Marshall!$B$36*A11^2+Diseno_Marshall!$C$36*A11+Diseno_Marshall!$D$36</f>
        <v>81.9008846084744</v>
      </c>
      <c r="J11" s="48" t="n">
        <f aca="false">Diseno_Marshall!$B$37*A11^2+Diseno_Marshall!$C$37*A11+Diseno_Marshall!$D$37</f>
        <v>6.14284601205722</v>
      </c>
      <c r="L11" s="47" t="n">
        <f aca="false">Diseno_Marshall!$B$38*A11^2+Diseno_Marshall!$C$38*A11+Diseno_Marshall!$D$38</f>
        <v>4.87296428746748</v>
      </c>
    </row>
    <row r="12" customFormat="false" ht="15" hidden="false" customHeight="false" outlineLevel="0" collapsed="false">
      <c r="A12" s="0" t="n">
        <f aca="false">MIN(Diseno_Marshall!$B$17:$B$21)+8*(MAX(Diseno_Marshall!$B$17:$B$21)-MIN(Diseno_Marshall!$B$17:$B$21))/30</f>
        <v>6.7</v>
      </c>
      <c r="B12" s="46" t="n">
        <f aca="false">Diseno_Marshall!$B$33*A12^2+Diseno_Marshall!$C$33*A12+Diseno_Marshall!$D$33</f>
        <v>2.18304832884132</v>
      </c>
      <c r="D12" s="47" t="n">
        <f aca="false">Diseno_Marshall!$B$34*A12^2+Diseno_Marshall!$C$34*A12+Diseno_Marshall!$D$34</f>
        <v>2.75353548676961</v>
      </c>
      <c r="F12" s="47" t="n">
        <f aca="false">Diseno_Marshall!$B$35*A12^2+Diseno_Marshall!$C$35*A12+Diseno_Marshall!$D$35</f>
        <v>16.1851707325167</v>
      </c>
      <c r="H12" s="47" t="n">
        <f aca="false">Diseno_Marshall!$B$36*A12^2+Diseno_Marshall!$C$36*A12+Diseno_Marshall!$D$36</f>
        <v>83.0700905194343</v>
      </c>
      <c r="J12" s="48" t="n">
        <f aca="false">Diseno_Marshall!$B$37*A12^2+Diseno_Marshall!$C$37*A12+Diseno_Marshall!$D$37</f>
        <v>5.95072874344983</v>
      </c>
      <c r="L12" s="47" t="n">
        <f aca="false">Diseno_Marshall!$B$38*A12^2+Diseno_Marshall!$C$38*A12+Diseno_Marshall!$D$38</f>
        <v>4.98504972755388</v>
      </c>
    </row>
    <row r="13" customFormat="false" ht="15" hidden="false" customHeight="false" outlineLevel="0" collapsed="false">
      <c r="A13" s="0" t="n">
        <f aca="false">MIN(Diseno_Marshall!$B$17:$B$21)+9*(MAX(Diseno_Marshall!$B$17:$B$21)-MIN(Diseno_Marshall!$B$17:$B$21))/30</f>
        <v>6.85</v>
      </c>
      <c r="B13" s="46" t="n">
        <f aca="false">Diseno_Marshall!$B$33*A13^2+Diseno_Marshall!$C$33*A13+Diseno_Marshall!$D$33</f>
        <v>2.18246917889632</v>
      </c>
      <c r="D13" s="47" t="n">
        <f aca="false">Diseno_Marshall!$B$34*A13^2+Diseno_Marshall!$C$34*A13+Diseno_Marshall!$D$34</f>
        <v>2.59161424463917</v>
      </c>
      <c r="F13" s="47" t="n">
        <f aca="false">Diseno_Marshall!$B$35*A13^2+Diseno_Marshall!$C$35*A13+Diseno_Marshall!$D$35</f>
        <v>16.3428664978394</v>
      </c>
      <c r="H13" s="47" t="n">
        <f aca="false">Diseno_Marshall!$B$36*A13^2+Diseno_Marshall!$C$36*A13+Diseno_Marshall!$D$36</f>
        <v>84.2259567123693</v>
      </c>
      <c r="J13" s="48" t="n">
        <f aca="false">Diseno_Marshall!$B$37*A13^2+Diseno_Marshall!$C$37*A13+Diseno_Marshall!$D$37</f>
        <v>5.77610347423259</v>
      </c>
      <c r="L13" s="47" t="n">
        <f aca="false">Diseno_Marshall!$B$38*A13^2+Diseno_Marshall!$C$38*A13+Diseno_Marshall!$D$38</f>
        <v>5.09414017475823</v>
      </c>
    </row>
    <row r="14" customFormat="false" ht="15" hidden="false" customHeight="false" outlineLevel="0" collapsed="false">
      <c r="A14" s="0" t="n">
        <f aca="false">MIN(Diseno_Marshall!$B$17:$B$21)+10*(MAX(Diseno_Marshall!$B$17:$B$21)-MIN(Diseno_Marshall!$B$17:$B$21))/30</f>
        <v>7</v>
      </c>
      <c r="B14" s="46" t="n">
        <f aca="false">Diseno_Marshall!$B$33*A14^2+Diseno_Marshall!$C$33*A14+Diseno_Marshall!$D$33</f>
        <v>2.18191834945886</v>
      </c>
      <c r="D14" s="47" t="n">
        <f aca="false">Diseno_Marshall!$B$34*A14^2+Diseno_Marshall!$C$34*A14+Diseno_Marshall!$D$34</f>
        <v>2.42862196855415</v>
      </c>
      <c r="F14" s="47" t="n">
        <f aca="false">Diseno_Marshall!$B$35*A14^2+Diseno_Marshall!$C$35*A14+Diseno_Marshall!$D$35</f>
        <v>16.4993374477732</v>
      </c>
      <c r="H14" s="47" t="n">
        <f aca="false">Diseno_Marshall!$B$36*A14^2+Diseno_Marshall!$C$36*A14+Diseno_Marshall!$D$36</f>
        <v>85.3684831872794</v>
      </c>
      <c r="J14" s="48" t="n">
        <f aca="false">Diseno_Marshall!$B$37*A14^2+Diseno_Marshall!$C$37*A14+Diseno_Marshall!$D$37</f>
        <v>5.61897020440549</v>
      </c>
      <c r="L14" s="47" t="n">
        <f aca="false">Diseno_Marshall!$B$38*A14^2+Diseno_Marshall!$C$38*A14+Diseno_Marshall!$D$38</f>
        <v>5.20023562908055</v>
      </c>
    </row>
    <row r="15" customFormat="false" ht="15" hidden="false" customHeight="false" outlineLevel="0" collapsed="false">
      <c r="A15" s="0" t="n">
        <f aca="false">MIN(Diseno_Marshall!$B$17:$B$21)+11*(MAX(Diseno_Marshall!$B$17:$B$21)-MIN(Diseno_Marshall!$B$17:$B$21))/30</f>
        <v>7.15</v>
      </c>
      <c r="B15" s="46" t="n">
        <f aca="false">Diseno_Marshall!$B$33*A15^2+Diseno_Marshall!$C$33*A15+Diseno_Marshall!$D$33</f>
        <v>2.18139584052895</v>
      </c>
      <c r="D15" s="47" t="n">
        <f aca="false">Diseno_Marshall!$B$34*A15^2+Diseno_Marshall!$C$34*A15+Diseno_Marshall!$D$34</f>
        <v>2.26455865851456</v>
      </c>
      <c r="F15" s="47" t="n">
        <f aca="false">Diseno_Marshall!$B$35*A15^2+Diseno_Marshall!$C$35*A15+Diseno_Marshall!$D$35</f>
        <v>16.6545835823181</v>
      </c>
      <c r="H15" s="47" t="n">
        <f aca="false">Diseno_Marshall!$B$36*A15^2+Diseno_Marshall!$C$36*A15+Diseno_Marshall!$D$36</f>
        <v>86.4976699441645</v>
      </c>
      <c r="J15" s="48" t="n">
        <f aca="false">Diseno_Marshall!$B$37*A15^2+Diseno_Marshall!$C$37*A15+Diseno_Marshall!$D$37</f>
        <v>5.47932893396854</v>
      </c>
      <c r="L15" s="47" t="n">
        <f aca="false">Diseno_Marshall!$B$38*A15^2+Diseno_Marshall!$C$38*A15+Diseno_Marshall!$D$38</f>
        <v>5.30333609052084</v>
      </c>
    </row>
    <row r="16" customFormat="false" ht="15" hidden="false" customHeight="false" outlineLevel="0" collapsed="false">
      <c r="A16" s="0" t="n">
        <f aca="false">MIN(Diseno_Marshall!$B$17:$B$21)+12*(MAX(Diseno_Marshall!$B$17:$B$21)-MIN(Diseno_Marshall!$B$17:$B$21))/30</f>
        <v>7.3</v>
      </c>
      <c r="B16" s="46" t="n">
        <f aca="false">Diseno_Marshall!$B$33*A16^2+Diseno_Marshall!$C$33*A16+Diseno_Marshall!$D$33</f>
        <v>2.1809016521066</v>
      </c>
      <c r="D16" s="47" t="n">
        <f aca="false">Diseno_Marshall!$B$34*A16^2+Diseno_Marshall!$C$34*A16+Diseno_Marshall!$D$34</f>
        <v>2.09942431452038</v>
      </c>
      <c r="F16" s="47" t="n">
        <f aca="false">Diseno_Marshall!$B$35*A16^2+Diseno_Marshall!$C$35*A16+Diseno_Marshall!$D$35</f>
        <v>16.8086049014741</v>
      </c>
      <c r="H16" s="47" t="n">
        <f aca="false">Diseno_Marshall!$B$36*A16^2+Diseno_Marshall!$C$36*A16+Diseno_Marshall!$D$36</f>
        <v>87.6135169830248</v>
      </c>
      <c r="J16" s="48" t="n">
        <f aca="false">Diseno_Marshall!$B$37*A16^2+Diseno_Marshall!$C$37*A16+Diseno_Marshall!$D$37</f>
        <v>5.35717966292174</v>
      </c>
      <c r="L16" s="47" t="n">
        <f aca="false">Diseno_Marshall!$B$38*A16^2+Diseno_Marshall!$C$38*A16+Diseno_Marshall!$D$38</f>
        <v>5.40344155907908</v>
      </c>
    </row>
    <row r="17" customFormat="false" ht="15" hidden="false" customHeight="false" outlineLevel="0" collapsed="false">
      <c r="A17" s="0" t="n">
        <f aca="false">MIN(Diseno_Marshall!$B$17:$B$21)+13*(MAX(Diseno_Marshall!$B$17:$B$21)-MIN(Diseno_Marshall!$B$17:$B$21))/30</f>
        <v>7.45</v>
      </c>
      <c r="B17" s="46" t="n">
        <f aca="false">Diseno_Marshall!$B$33*A17^2+Diseno_Marshall!$C$33*A17+Diseno_Marshall!$D$33</f>
        <v>2.18043578419179</v>
      </c>
      <c r="D17" s="47" t="n">
        <f aca="false">Diseno_Marshall!$B$34*A17^2+Diseno_Marshall!$C$34*A17+Diseno_Marshall!$D$34</f>
        <v>1.93321893657163</v>
      </c>
      <c r="F17" s="47" t="n">
        <f aca="false">Diseno_Marshall!$B$35*A17^2+Diseno_Marshall!$C$35*A17+Diseno_Marshall!$D$35</f>
        <v>16.9614014052411</v>
      </c>
      <c r="H17" s="47" t="n">
        <f aca="false">Diseno_Marshall!$B$36*A17^2+Diseno_Marshall!$C$36*A17+Diseno_Marshall!$D$36</f>
        <v>88.7160243038601</v>
      </c>
      <c r="J17" s="48" t="n">
        <f aca="false">Diseno_Marshall!$B$37*A17^2+Diseno_Marshall!$C$37*A17+Diseno_Marshall!$D$37</f>
        <v>5.25252239126509</v>
      </c>
      <c r="L17" s="47" t="n">
        <f aca="false">Diseno_Marshall!$B$38*A17^2+Diseno_Marshall!$C$38*A17+Diseno_Marshall!$D$38</f>
        <v>5.50055203475529</v>
      </c>
    </row>
    <row r="18" customFormat="false" ht="15" hidden="false" customHeight="false" outlineLevel="0" collapsed="false">
      <c r="A18" s="0" t="n">
        <f aca="false">MIN(Diseno_Marshall!$B$17:$B$21)+14*(MAX(Diseno_Marshall!$B$17:$B$21)-MIN(Diseno_Marshall!$B$17:$B$21))/30</f>
        <v>7.6</v>
      </c>
      <c r="B18" s="46" t="n">
        <f aca="false">Diseno_Marshall!$B$33*A18^2+Diseno_Marshall!$C$33*A18+Diseno_Marshall!$D$33</f>
        <v>2.17999823678453</v>
      </c>
      <c r="D18" s="47" t="n">
        <f aca="false">Diseno_Marshall!$B$34*A18^2+Diseno_Marshall!$C$34*A18+Diseno_Marshall!$D$34</f>
        <v>1.76594252466831</v>
      </c>
      <c r="F18" s="47" t="n">
        <f aca="false">Diseno_Marshall!$B$35*A18^2+Diseno_Marshall!$C$35*A18+Diseno_Marshall!$D$35</f>
        <v>17.1129730936192</v>
      </c>
      <c r="H18" s="47" t="n">
        <f aca="false">Diseno_Marshall!$B$36*A18^2+Diseno_Marshall!$C$36*A18+Diseno_Marshall!$D$36</f>
        <v>89.8051919066706</v>
      </c>
      <c r="J18" s="48" t="n">
        <f aca="false">Diseno_Marshall!$B$37*A18^2+Diseno_Marshall!$C$37*A18+Diseno_Marshall!$D$37</f>
        <v>5.16535711899859</v>
      </c>
      <c r="L18" s="47" t="n">
        <f aca="false">Diseno_Marshall!$B$38*A18^2+Diseno_Marshall!$C$38*A18+Diseno_Marshall!$D$38</f>
        <v>5.59466751754946</v>
      </c>
    </row>
    <row r="19" customFormat="false" ht="15" hidden="false" customHeight="false" outlineLevel="0" collapsed="false">
      <c r="A19" s="0" t="n">
        <f aca="false">MIN(Diseno_Marshall!$B$17:$B$21)+15*(MAX(Diseno_Marshall!$B$17:$B$21)-MIN(Diseno_Marshall!$B$17:$B$21))/30</f>
        <v>7.75</v>
      </c>
      <c r="B19" s="46" t="n">
        <f aca="false">Diseno_Marshall!$B$33*A19^2+Diseno_Marshall!$C$33*A19+Diseno_Marshall!$D$33</f>
        <v>2.17958900988482</v>
      </c>
      <c r="D19" s="47" t="n">
        <f aca="false">Diseno_Marshall!$B$34*A19^2+Diseno_Marshall!$C$34*A19+Diseno_Marshall!$D$34</f>
        <v>1.5975950788104</v>
      </c>
      <c r="F19" s="47" t="n">
        <f aca="false">Diseno_Marshall!$B$35*A19^2+Diseno_Marshall!$C$35*A19+Diseno_Marshall!$D$35</f>
        <v>17.2633199666084</v>
      </c>
      <c r="H19" s="47" t="n">
        <f aca="false">Diseno_Marshall!$B$36*A19^2+Diseno_Marshall!$C$36*A19+Diseno_Marshall!$D$36</f>
        <v>90.8810197914561</v>
      </c>
      <c r="J19" s="48" t="n">
        <f aca="false">Diseno_Marshall!$B$37*A19^2+Diseno_Marshall!$C$37*A19+Diseno_Marshall!$D$37</f>
        <v>5.09568384612222</v>
      </c>
      <c r="L19" s="47" t="n">
        <f aca="false">Diseno_Marshall!$B$38*A19^2+Diseno_Marshall!$C$38*A19+Diseno_Marshall!$D$38</f>
        <v>5.68578800746159</v>
      </c>
    </row>
    <row r="20" customFormat="false" ht="15" hidden="false" customHeight="false" outlineLevel="0" collapsed="false">
      <c r="A20" s="0" t="n">
        <f aca="false">MIN(Diseno_Marshall!$B$17:$B$21)+16*(MAX(Diseno_Marshall!$B$17:$B$21)-MIN(Diseno_Marshall!$B$17:$B$21))/30</f>
        <v>7.9</v>
      </c>
      <c r="B20" s="46" t="n">
        <f aca="false">Diseno_Marshall!$B$33*A20^2+Diseno_Marshall!$C$33*A20+Diseno_Marshall!$D$33</f>
        <v>2.17920810349266</v>
      </c>
      <c r="D20" s="47" t="n">
        <f aca="false">Diseno_Marshall!$B$34*A20^2+Diseno_Marshall!$C$34*A20+Diseno_Marshall!$D$34</f>
        <v>1.42817659899792</v>
      </c>
      <c r="F20" s="47" t="n">
        <f aca="false">Diseno_Marshall!$B$35*A20^2+Diseno_Marshall!$C$35*A20+Diseno_Marshall!$D$35</f>
        <v>17.4124420242087</v>
      </c>
      <c r="H20" s="47" t="n">
        <f aca="false">Diseno_Marshall!$B$36*A20^2+Diseno_Marshall!$C$36*A20+Diseno_Marshall!$D$36</f>
        <v>91.9435079582167</v>
      </c>
      <c r="J20" s="48" t="n">
        <f aca="false">Diseno_Marshall!$B$37*A20^2+Diseno_Marshall!$C$37*A20+Diseno_Marshall!$D$37</f>
        <v>5.04350257263601</v>
      </c>
      <c r="L20" s="47" t="n">
        <f aca="false">Diseno_Marshall!$B$38*A20^2+Diseno_Marshall!$C$38*A20+Diseno_Marshall!$D$38</f>
        <v>5.77391350449168</v>
      </c>
    </row>
    <row r="21" customFormat="false" ht="15" hidden="false" customHeight="false" outlineLevel="0" collapsed="false">
      <c r="A21" s="0" t="n">
        <f aca="false">MIN(Diseno_Marshall!$B$17:$B$21)+17*(MAX(Diseno_Marshall!$B$17:$B$21)-MIN(Diseno_Marshall!$B$17:$B$21))/30</f>
        <v>8.05</v>
      </c>
      <c r="B21" s="46" t="n">
        <f aca="false">Diseno_Marshall!$B$33*A21^2+Diseno_Marshall!$C$33*A21+Diseno_Marshall!$D$33</f>
        <v>2.17885551760805</v>
      </c>
      <c r="D21" s="47" t="n">
        <f aca="false">Diseno_Marshall!$B$34*A21^2+Diseno_Marshall!$C$34*A21+Diseno_Marshall!$D$34</f>
        <v>1.25768708523086</v>
      </c>
      <c r="F21" s="47" t="n">
        <f aca="false">Diseno_Marshall!$B$35*A21^2+Diseno_Marshall!$C$35*A21+Diseno_Marshall!$D$35</f>
        <v>17.5603392664201</v>
      </c>
      <c r="H21" s="47" t="n">
        <f aca="false">Diseno_Marshall!$B$36*A21^2+Diseno_Marshall!$C$36*A21+Diseno_Marshall!$D$36</f>
        <v>92.9926564069524</v>
      </c>
      <c r="J21" s="48" t="n">
        <f aca="false">Diseno_Marshall!$B$37*A21^2+Diseno_Marshall!$C$37*A21+Diseno_Marshall!$D$37</f>
        <v>5.00881329853996</v>
      </c>
      <c r="L21" s="47" t="n">
        <f aca="false">Diseno_Marshall!$B$38*A21^2+Diseno_Marshall!$C$38*A21+Diseno_Marshall!$D$38</f>
        <v>5.85904400863973</v>
      </c>
    </row>
    <row r="22" customFormat="false" ht="15" hidden="false" customHeight="false" outlineLevel="0" collapsed="false">
      <c r="A22" s="0" t="n">
        <f aca="false">MIN(Diseno_Marshall!$B$17:$B$21)+18*(MAX(Diseno_Marshall!$B$17:$B$21)-MIN(Diseno_Marshall!$B$17:$B$21))/30</f>
        <v>8.2</v>
      </c>
      <c r="B22" s="46" t="n">
        <f aca="false">Diseno_Marshall!$B$33*A22^2+Diseno_Marshall!$C$33*A22+Diseno_Marshall!$D$33</f>
        <v>2.17853125223099</v>
      </c>
      <c r="D22" s="47" t="n">
        <f aca="false">Diseno_Marshall!$B$34*A22^2+Diseno_Marshall!$C$34*A22+Diseno_Marshall!$D$34</f>
        <v>1.08612653750923</v>
      </c>
      <c r="F22" s="47" t="n">
        <f aca="false">Diseno_Marshall!$B$35*A22^2+Diseno_Marshall!$C$35*A22+Diseno_Marshall!$D$35</f>
        <v>17.7070116932425</v>
      </c>
      <c r="H22" s="47" t="n">
        <f aca="false">Diseno_Marshall!$B$36*A22^2+Diseno_Marshall!$C$36*A22+Diseno_Marshall!$D$36</f>
        <v>94.0284651376631</v>
      </c>
      <c r="J22" s="48" t="n">
        <f aca="false">Diseno_Marshall!$B$37*A22^2+Diseno_Marshall!$C$37*A22+Diseno_Marshall!$D$37</f>
        <v>4.99161602383404</v>
      </c>
      <c r="L22" s="47" t="n">
        <f aca="false">Diseno_Marshall!$B$38*A22^2+Diseno_Marshall!$C$38*A22+Diseno_Marshall!$D$38</f>
        <v>5.94117951990575</v>
      </c>
    </row>
    <row r="23" customFormat="false" ht="15" hidden="false" customHeight="false" outlineLevel="0" collapsed="false">
      <c r="A23" s="0" t="n">
        <f aca="false">MIN(Diseno_Marshall!$B$17:$B$21)+19*(MAX(Diseno_Marshall!$B$17:$B$21)-MIN(Diseno_Marshall!$B$17:$B$21))/30</f>
        <v>8.35</v>
      </c>
      <c r="B23" s="46" t="n">
        <f aca="false">Diseno_Marshall!$B$33*A23^2+Diseno_Marshall!$C$33*A23+Diseno_Marshall!$D$33</f>
        <v>2.17823530736148</v>
      </c>
      <c r="D23" s="47" t="n">
        <f aca="false">Diseno_Marshall!$B$34*A23^2+Diseno_Marshall!$C$34*A23+Diseno_Marshall!$D$34</f>
        <v>0.913494955833012</v>
      </c>
      <c r="F23" s="47" t="n">
        <f aca="false">Diseno_Marshall!$B$35*A23^2+Diseno_Marshall!$C$35*A23+Diseno_Marshall!$D$35</f>
        <v>17.8524593046761</v>
      </c>
      <c r="H23" s="47" t="n">
        <f aca="false">Diseno_Marshall!$B$36*A23^2+Diseno_Marshall!$C$36*A23+Diseno_Marshall!$D$36</f>
        <v>95.050934150349</v>
      </c>
      <c r="J23" s="48" t="n">
        <f aca="false">Diseno_Marshall!$B$37*A23^2+Diseno_Marshall!$C$37*A23+Diseno_Marshall!$D$37</f>
        <v>4.99191074851828</v>
      </c>
      <c r="L23" s="47" t="n">
        <f aca="false">Diseno_Marshall!$B$38*A23^2+Diseno_Marshall!$C$38*A23+Diseno_Marshall!$D$38</f>
        <v>6.02032003828972</v>
      </c>
    </row>
    <row r="24" customFormat="false" ht="15" hidden="false" customHeight="false" outlineLevel="0" collapsed="false">
      <c r="A24" s="0" t="n">
        <f aca="false">MIN(Diseno_Marshall!$B$17:$B$21)+20*(MAX(Diseno_Marshall!$B$17:$B$21)-MIN(Diseno_Marshall!$B$17:$B$21))/30</f>
        <v>8.5</v>
      </c>
      <c r="B24" s="46" t="n">
        <f aca="false">Diseno_Marshall!$B$33*A24^2+Diseno_Marshall!$C$33*A24+Diseno_Marshall!$D$33</f>
        <v>2.17796768299951</v>
      </c>
      <c r="D24" s="47" t="n">
        <f aca="false">Diseno_Marshall!$B$34*A24^2+Diseno_Marshall!$C$34*A24+Diseno_Marshall!$D$34</f>
        <v>0.739792340202222</v>
      </c>
      <c r="F24" s="47" t="n">
        <f aca="false">Diseno_Marshall!$B$35*A24^2+Diseno_Marshall!$C$35*A24+Diseno_Marshall!$D$35</f>
        <v>17.9966821007207</v>
      </c>
      <c r="H24" s="47" t="n">
        <f aca="false">Diseno_Marshall!$B$36*A24^2+Diseno_Marshall!$C$36*A24+Diseno_Marshall!$D$36</f>
        <v>96.0600634450099</v>
      </c>
      <c r="J24" s="48" t="n">
        <f aca="false">Diseno_Marshall!$B$37*A24^2+Diseno_Marshall!$C$37*A24+Diseno_Marshall!$D$37</f>
        <v>5.00969747259266</v>
      </c>
      <c r="L24" s="47" t="n">
        <f aca="false">Diseno_Marshall!$B$38*A24^2+Diseno_Marshall!$C$38*A24+Diseno_Marshall!$D$38</f>
        <v>6.09646556379166</v>
      </c>
    </row>
    <row r="25" customFormat="false" ht="15" hidden="false" customHeight="false" outlineLevel="0" collapsed="false">
      <c r="A25" s="0" t="n">
        <f aca="false">MIN(Diseno_Marshall!$B$17:$B$21)+21*(MAX(Diseno_Marshall!$B$17:$B$21)-MIN(Diseno_Marshall!$B$17:$B$21))/30</f>
        <v>8.65</v>
      </c>
      <c r="B25" s="46" t="n">
        <f aca="false">Diseno_Marshall!$B$33*A25^2+Diseno_Marshall!$C$33*A25+Diseno_Marshall!$D$33</f>
        <v>2.1777283791451</v>
      </c>
      <c r="D25" s="47" t="n">
        <f aca="false">Diseno_Marshall!$B$34*A25^2+Diseno_Marshall!$C$34*A25+Diseno_Marshall!$D$34</f>
        <v>0.565018690616853</v>
      </c>
      <c r="F25" s="47" t="n">
        <f aca="false">Diseno_Marshall!$B$35*A25^2+Diseno_Marshall!$C$35*A25+Diseno_Marshall!$D$35</f>
        <v>18.1396800813763</v>
      </c>
      <c r="H25" s="47" t="n">
        <f aca="false">Diseno_Marshall!$B$36*A25^2+Diseno_Marshall!$C$36*A25+Diseno_Marshall!$D$36</f>
        <v>97.055853021646</v>
      </c>
      <c r="J25" s="48" t="n">
        <f aca="false">Diseno_Marshall!$B$37*A25^2+Diseno_Marshall!$C$37*A25+Diseno_Marshall!$D$37</f>
        <v>5.04497619605719</v>
      </c>
      <c r="L25" s="47" t="n">
        <f aca="false">Diseno_Marshall!$B$38*A25^2+Diseno_Marshall!$C$38*A25+Diseno_Marshall!$D$38</f>
        <v>6.16961609641156</v>
      </c>
    </row>
    <row r="26" customFormat="false" ht="15" hidden="false" customHeight="false" outlineLevel="0" collapsed="false">
      <c r="A26" s="0" t="n">
        <f aca="false">MIN(Diseno_Marshall!$B$17:$B$21)+22*(MAX(Diseno_Marshall!$B$17:$B$21)-MIN(Diseno_Marshall!$B$17:$B$21))/30</f>
        <v>8.8</v>
      </c>
      <c r="B26" s="46" t="n">
        <f aca="false">Diseno_Marshall!$B$33*A26^2+Diseno_Marshall!$C$33*A26+Diseno_Marshall!$D$33</f>
        <v>2.17751739579824</v>
      </c>
      <c r="D26" s="47" t="n">
        <f aca="false">Diseno_Marshall!$B$34*A26^2+Diseno_Marshall!$C$34*A26+Diseno_Marshall!$D$34</f>
        <v>0.389174007076909</v>
      </c>
      <c r="F26" s="47" t="n">
        <f aca="false">Diseno_Marshall!$B$35*A26^2+Diseno_Marshall!$C$35*A26+Diseno_Marshall!$D$35</f>
        <v>18.2814532466431</v>
      </c>
      <c r="H26" s="47" t="n">
        <f aca="false">Diseno_Marshall!$B$36*A26^2+Diseno_Marshall!$C$36*A26+Diseno_Marshall!$D$36</f>
        <v>98.0383028802571</v>
      </c>
      <c r="J26" s="48" t="n">
        <f aca="false">Diseno_Marshall!$B$37*A26^2+Diseno_Marshall!$C$37*A26+Diseno_Marshall!$D$37</f>
        <v>5.09774691891186</v>
      </c>
      <c r="L26" s="47" t="n">
        <f aca="false">Diseno_Marshall!$B$38*A26^2+Diseno_Marshall!$C$38*A26+Diseno_Marshall!$D$38</f>
        <v>6.23977163614943</v>
      </c>
    </row>
    <row r="27" customFormat="false" ht="15" hidden="false" customHeight="false" outlineLevel="0" collapsed="false">
      <c r="A27" s="0" t="n">
        <f aca="false">MIN(Diseno_Marshall!$B$17:$B$21)+23*(MAX(Diseno_Marshall!$B$17:$B$21)-MIN(Diseno_Marshall!$B$17:$B$21))/30</f>
        <v>8.95</v>
      </c>
      <c r="B27" s="46" t="n">
        <f aca="false">Diseno_Marshall!$B$33*A27^2+Diseno_Marshall!$C$33*A27+Diseno_Marshall!$D$33</f>
        <v>2.17733473295892</v>
      </c>
      <c r="D27" s="47" t="n">
        <f aca="false">Diseno_Marshall!$B$34*A27^2+Diseno_Marshall!$C$34*A27+Diseno_Marshall!$D$34</f>
        <v>0.212258289582387</v>
      </c>
      <c r="F27" s="47" t="n">
        <f aca="false">Diseno_Marshall!$B$35*A27^2+Diseno_Marshall!$C$35*A27+Diseno_Marshall!$D$35</f>
        <v>18.422001596521</v>
      </c>
      <c r="H27" s="47" t="n">
        <f aca="false">Diseno_Marshall!$B$36*A27^2+Diseno_Marshall!$C$36*A27+Diseno_Marshall!$D$36</f>
        <v>99.0074130208433</v>
      </c>
      <c r="J27" s="48" t="n">
        <f aca="false">Diseno_Marshall!$B$37*A27^2+Diseno_Marshall!$C$37*A27+Diseno_Marshall!$D$37</f>
        <v>5.16800964115669</v>
      </c>
      <c r="L27" s="47" t="n">
        <f aca="false">Diseno_Marshall!$B$38*A27^2+Diseno_Marshall!$C$38*A27+Diseno_Marshall!$D$38</f>
        <v>6.30693218300525</v>
      </c>
    </row>
    <row r="28" customFormat="false" ht="15" hidden="false" customHeight="false" outlineLevel="0" collapsed="false">
      <c r="A28" s="0" t="n">
        <f aca="false">MIN(Diseno_Marshall!$B$17:$B$21)+24*(MAX(Diseno_Marshall!$B$17:$B$21)-MIN(Diseno_Marshall!$B$17:$B$21))/30</f>
        <v>9.1</v>
      </c>
      <c r="B28" s="46" t="n">
        <f aca="false">Diseno_Marshall!$B$33*A28^2+Diseno_Marshall!$C$33*A28+Diseno_Marshall!$D$33</f>
        <v>2.17718039062716</v>
      </c>
      <c r="D28" s="47" t="n">
        <f aca="false">Diseno_Marshall!$B$34*A28^2+Diseno_Marshall!$C$34*A28+Diseno_Marshall!$D$34</f>
        <v>0.0342715381332894</v>
      </c>
      <c r="F28" s="47" t="n">
        <f aca="false">Diseno_Marshall!$B$35*A28^2+Diseno_Marshall!$C$35*A28+Diseno_Marshall!$D$35</f>
        <v>18.5613251310099</v>
      </c>
      <c r="H28" s="47" t="n">
        <f aca="false">Diseno_Marshall!$B$36*A28^2+Diseno_Marshall!$C$36*A28+Diseno_Marshall!$D$36</f>
        <v>99.9631834434046</v>
      </c>
      <c r="J28" s="48" t="n">
        <f aca="false">Diseno_Marshall!$B$37*A28^2+Diseno_Marshall!$C$37*A28+Diseno_Marshall!$D$37</f>
        <v>5.25576436279166</v>
      </c>
      <c r="L28" s="47" t="n">
        <f aca="false">Diseno_Marshall!$B$38*A28^2+Diseno_Marshall!$C$38*A28+Diseno_Marshall!$D$38</f>
        <v>6.37109773697904</v>
      </c>
    </row>
    <row r="29" customFormat="false" ht="15" hidden="false" customHeight="false" outlineLevel="0" collapsed="false">
      <c r="A29" s="0" t="n">
        <f aca="false">MIN(Diseno_Marshall!$B$17:$B$21)+25*(MAX(Diseno_Marshall!$B$17:$B$21)-MIN(Diseno_Marshall!$B$17:$B$21))/30</f>
        <v>9.25</v>
      </c>
      <c r="B29" s="46" t="n">
        <f aca="false">Diseno_Marshall!$B$33*A29^2+Diseno_Marshall!$C$33*A29+Diseno_Marshall!$D$33</f>
        <v>2.17705436880294</v>
      </c>
      <c r="D29" s="47" t="n">
        <f aca="false">Diseno_Marshall!$B$34*A29^2+Diseno_Marshall!$C$34*A29+Diseno_Marshall!$D$34</f>
        <v>-0.144786247270387</v>
      </c>
      <c r="F29" s="47" t="n">
        <f aca="false">Diseno_Marshall!$B$35*A29^2+Diseno_Marshall!$C$35*A29+Diseno_Marshall!$D$35</f>
        <v>18.6994238501099</v>
      </c>
      <c r="H29" s="47" t="n">
        <f aca="false">Diseno_Marshall!$B$36*A29^2+Diseno_Marshall!$C$36*A29+Diseno_Marshall!$D$36</f>
        <v>100.905614147941</v>
      </c>
      <c r="J29" s="48" t="n">
        <f aca="false">Diseno_Marshall!$B$37*A29^2+Diseno_Marshall!$C$37*A29+Diseno_Marshall!$D$37</f>
        <v>5.36101108381679</v>
      </c>
      <c r="L29" s="47" t="n">
        <f aca="false">Diseno_Marshall!$B$38*A29^2+Diseno_Marshall!$C$38*A29+Diseno_Marshall!$D$38</f>
        <v>6.43226829807079</v>
      </c>
    </row>
    <row r="30" customFormat="false" ht="15" hidden="false" customHeight="false" outlineLevel="0" collapsed="false">
      <c r="A30" s="0" t="n">
        <f aca="false">MIN(Diseno_Marshall!$B$17:$B$21)+26*(MAX(Diseno_Marshall!$B$17:$B$21)-MIN(Diseno_Marshall!$B$17:$B$21))/30</f>
        <v>9.4</v>
      </c>
      <c r="B30" s="46" t="n">
        <f aca="false">Diseno_Marshall!$B$33*A30^2+Diseno_Marshall!$C$33*A30+Diseno_Marshall!$D$33</f>
        <v>2.17695666748628</v>
      </c>
      <c r="D30" s="47" t="n">
        <f aca="false">Diseno_Marshall!$B$34*A30^2+Diseno_Marshall!$C$34*A30+Diseno_Marshall!$D$34</f>
        <v>-0.324915066628643</v>
      </c>
      <c r="F30" s="47" t="n">
        <f aca="false">Diseno_Marshall!$B$35*A30^2+Diseno_Marshall!$C$35*A30+Diseno_Marshall!$D$35</f>
        <v>18.836297753821</v>
      </c>
      <c r="H30" s="47" t="n">
        <f aca="false">Diseno_Marshall!$B$36*A30^2+Diseno_Marshall!$C$36*A30+Diseno_Marshall!$D$36</f>
        <v>101.834705134452</v>
      </c>
      <c r="J30" s="48" t="n">
        <f aca="false">Diseno_Marshall!$B$37*A30^2+Diseno_Marshall!$C$37*A30+Diseno_Marshall!$D$37</f>
        <v>5.48374980423206</v>
      </c>
      <c r="L30" s="47" t="n">
        <f aca="false">Diseno_Marshall!$B$38*A30^2+Diseno_Marshall!$C$38*A30+Diseno_Marshall!$D$38</f>
        <v>6.4904438662805</v>
      </c>
    </row>
    <row r="31" customFormat="false" ht="15" hidden="false" customHeight="false" outlineLevel="0" collapsed="false">
      <c r="A31" s="0" t="n">
        <f aca="false">MIN(Diseno_Marshall!$B$17:$B$21)+27*(MAX(Diseno_Marshall!$B$17:$B$21)-MIN(Diseno_Marshall!$B$17:$B$21))/30</f>
        <v>9.55</v>
      </c>
      <c r="B31" s="46" t="n">
        <f aca="false">Diseno_Marshall!$B$33*A31^2+Diseno_Marshall!$C$33*A31+Diseno_Marshall!$D$33</f>
        <v>2.17688728667716</v>
      </c>
      <c r="D31" s="47" t="n">
        <f aca="false">Diseno_Marshall!$B$34*A31^2+Diseno_Marshall!$C$34*A31+Diseno_Marshall!$D$34</f>
        <v>-0.506114919941473</v>
      </c>
      <c r="F31" s="47" t="n">
        <f aca="false">Diseno_Marshall!$B$35*A31^2+Diseno_Marshall!$C$35*A31+Diseno_Marshall!$D$35</f>
        <v>18.9719468421431</v>
      </c>
      <c r="H31" s="47" t="n">
        <f aca="false">Diseno_Marshall!$B$36*A31^2+Diseno_Marshall!$C$36*A31+Diseno_Marshall!$D$36</f>
        <v>102.750456402939</v>
      </c>
      <c r="J31" s="48" t="n">
        <f aca="false">Diseno_Marshall!$B$37*A31^2+Diseno_Marshall!$C$37*A31+Diseno_Marshall!$D$37</f>
        <v>5.62398052403748</v>
      </c>
      <c r="L31" s="47" t="n">
        <f aca="false">Diseno_Marshall!$B$38*A31^2+Diseno_Marshall!$C$38*A31+Diseno_Marshall!$D$38</f>
        <v>6.54562444160817</v>
      </c>
    </row>
    <row r="32" customFormat="false" ht="15" hidden="false" customHeight="false" outlineLevel="0" collapsed="false">
      <c r="A32" s="0" t="n">
        <f aca="false">MIN(Diseno_Marshall!$B$17:$B$21)+28*(MAX(Diseno_Marshall!$B$17:$B$21)-MIN(Diseno_Marshall!$B$17:$B$21))/30</f>
        <v>9.7</v>
      </c>
      <c r="B32" s="46" t="n">
        <f aca="false">Diseno_Marshall!$B$33*A32^2+Diseno_Marshall!$C$33*A32+Diseno_Marshall!$D$33</f>
        <v>2.17684622637559</v>
      </c>
      <c r="D32" s="47" t="n">
        <f aca="false">Diseno_Marshall!$B$34*A32^2+Diseno_Marshall!$C$34*A32+Diseno_Marshall!$D$34</f>
        <v>-0.68838580720888</v>
      </c>
      <c r="F32" s="47" t="n">
        <f aca="false">Diseno_Marshall!$B$35*A32^2+Diseno_Marshall!$C$35*A32+Diseno_Marshall!$D$35</f>
        <v>19.1063711150764</v>
      </c>
      <c r="H32" s="47" t="n">
        <f aca="false">Diseno_Marshall!$B$36*A32^2+Diseno_Marshall!$C$36*A32+Diseno_Marshall!$D$36</f>
        <v>103.652867953401</v>
      </c>
      <c r="J32" s="48" t="n">
        <f aca="false">Diseno_Marshall!$B$37*A32^2+Diseno_Marshall!$C$37*A32+Diseno_Marshall!$D$37</f>
        <v>5.78170324323304</v>
      </c>
      <c r="L32" s="47" t="n">
        <f aca="false">Diseno_Marshall!$B$38*A32^2+Diseno_Marshall!$C$38*A32+Diseno_Marshall!$D$38</f>
        <v>6.5978100240538</v>
      </c>
    </row>
    <row r="33" customFormat="false" ht="15" hidden="false" customHeight="false" outlineLevel="0" collapsed="false">
      <c r="A33" s="0" t="n">
        <f aca="false">MIN(Diseno_Marshall!$B$17:$B$21)+29*(MAX(Diseno_Marshall!$B$17:$B$21)-MIN(Diseno_Marshall!$B$17:$B$21))/30</f>
        <v>9.85</v>
      </c>
      <c r="B33" s="46" t="n">
        <f aca="false">Diseno_Marshall!$B$33*A33^2+Diseno_Marshall!$C$33*A33+Diseno_Marshall!$D$33</f>
        <v>2.17683348658157</v>
      </c>
      <c r="D33" s="47" t="n">
        <f aca="false">Diseno_Marshall!$B$34*A33^2+Diseno_Marshall!$C$34*A33+Diseno_Marshall!$D$34</f>
        <v>-0.871727728430864</v>
      </c>
      <c r="F33" s="47" t="n">
        <f aca="false">Diseno_Marshall!$B$35*A33^2+Diseno_Marshall!$C$35*A33+Diseno_Marshall!$D$35</f>
        <v>19.2395705726207</v>
      </c>
      <c r="H33" s="47" t="n">
        <f aca="false">Diseno_Marshall!$B$36*A33^2+Diseno_Marshall!$C$36*A33+Diseno_Marshall!$D$36</f>
        <v>104.541939785837</v>
      </c>
      <c r="J33" s="48" t="n">
        <f aca="false">Diseno_Marshall!$B$37*A33^2+Diseno_Marshall!$C$37*A33+Diseno_Marshall!$D$37</f>
        <v>5.95691796181875</v>
      </c>
      <c r="L33" s="47" t="n">
        <f aca="false">Diseno_Marshall!$B$38*A33^2+Diseno_Marshall!$C$38*A33+Diseno_Marshall!$D$38</f>
        <v>6.6470006136174</v>
      </c>
    </row>
    <row r="34" customFormat="false" ht="15" hidden="false" customHeight="false" outlineLevel="0" collapsed="false">
      <c r="A34" s="0" t="n">
        <f aca="false">MIN(Diseno_Marshall!$B$17:$B$21)+30*(MAX(Diseno_Marshall!$B$17:$B$21)-MIN(Diseno_Marshall!$B$17:$B$21))/30</f>
        <v>10</v>
      </c>
      <c r="B34" s="46" t="n">
        <f aca="false">Diseno_Marshall!$B$33*A34^2+Diseno_Marshall!$C$33*A34+Diseno_Marshall!$D$33</f>
        <v>2.17684906729511</v>
      </c>
      <c r="D34" s="47" t="n">
        <f aca="false">Diseno_Marshall!$B$34*A34^2+Diseno_Marshall!$C$34*A34+Diseno_Marshall!$D$34</f>
        <v>-1.05614068360743</v>
      </c>
      <c r="F34" s="47" t="n">
        <f aca="false">Diseno_Marshall!$B$35*A34^2+Diseno_Marshall!$C$35*A34+Diseno_Marshall!$D$35</f>
        <v>19.3715452147761</v>
      </c>
      <c r="H34" s="47" t="n">
        <f aca="false">Diseno_Marshall!$B$36*A34^2+Diseno_Marshall!$C$36*A34+Diseno_Marshall!$D$36</f>
        <v>105.417671900249</v>
      </c>
      <c r="J34" s="48" t="n">
        <f aca="false">Diseno_Marshall!$B$37*A34^2+Diseno_Marshall!$C$37*A34+Diseno_Marshall!$D$37</f>
        <v>6.14962467979462</v>
      </c>
      <c r="L34" s="47" t="n">
        <f aca="false">Diseno_Marshall!$B$38*A34^2+Diseno_Marshall!$C$38*A34+Diseno_Marshall!$D$38</f>
        <v>6.69319621029896</v>
      </c>
    </row>
    <row r="39" customFormat="false" ht="15" hidden="false" customHeight="false" outlineLevel="0" collapsed="false">
      <c r="B39" s="45" t="s">
        <v>117</v>
      </c>
      <c r="D39" s="45" t="s">
        <v>118</v>
      </c>
      <c r="F39" s="45" t="s">
        <v>119</v>
      </c>
      <c r="H39" s="45" t="s">
        <v>120</v>
      </c>
      <c r="J39" s="45" t="s">
        <v>121</v>
      </c>
      <c r="L39" s="45" t="s">
        <v>122</v>
      </c>
    </row>
    <row r="40" customFormat="false" ht="15" hidden="false" customHeight="false" outlineLevel="0" collapsed="false">
      <c r="B40" s="48" t="n">
        <f aca="false">Diseno_Marshall!$F$41</f>
        <v>5.5</v>
      </c>
      <c r="C40" s="49" t="n">
        <f aca="false">MIN(Diseno_Marshall!$P$17:$P$21,B4:B34)</f>
        <v>2.15946205571566</v>
      </c>
      <c r="D40" s="48" t="n">
        <f aca="false">Diseno_Marshall!$F$41</f>
        <v>5.5</v>
      </c>
      <c r="E40" s="49" t="n">
        <f aca="false">MIN(Diseno_Marshall!$R$17:$R$21,D4:D34,Diseno_Marshall!$J$11)</f>
        <v>-1.05614068360743</v>
      </c>
      <c r="F40" s="48" t="n">
        <f aca="false">Diseno_Marshall!$F$41</f>
        <v>5.5</v>
      </c>
      <c r="G40" s="49" t="n">
        <f aca="false">MIN(Diseno_Marshall!$S$17:$S$21,F4:F34,Diseno_Marshall!$J$12)</f>
        <v>14</v>
      </c>
      <c r="H40" s="48" t="n">
        <f aca="false">Diseno_Marshall!$F$41</f>
        <v>5.5</v>
      </c>
      <c r="I40" s="49" t="n">
        <f aca="false">MIN(Diseno_Marshall!$T$17:$T$21,H4:H34,Diseno_Marshall!$J$13)</f>
        <v>65</v>
      </c>
      <c r="J40" s="48" t="n">
        <f aca="false">Diseno_Marshall!$F$41</f>
        <v>5.5</v>
      </c>
      <c r="K40" s="49" t="n">
        <f aca="false">MIN(Diseno_Marshall!$X$17:$X$21,J4:J34,Diseno_Marshall!$J$9)</f>
        <v>4.9686005140625</v>
      </c>
      <c r="L40" s="48" t="n">
        <f aca="false">Diseno_Marshall!$F$41</f>
        <v>5.5</v>
      </c>
      <c r="M40" s="49" t="n">
        <f aca="false">MIN(Diseno_Marshall!$Y$17:$Y$21,L4:L34,Diseno_Marshall!$J$10)</f>
        <v>2</v>
      </c>
    </row>
    <row r="41" customFormat="false" ht="15" hidden="false" customHeight="false" outlineLevel="0" collapsed="false">
      <c r="B41" s="48" t="n">
        <f aca="false">Diseno_Marshall!$F$41</f>
        <v>5.5</v>
      </c>
      <c r="C41" s="49" t="n">
        <f aca="false">MAX(Diseno_Marshall!$P$17:$P$21,B4:B34)</f>
        <v>2.20736434108527</v>
      </c>
      <c r="D41" s="48" t="n">
        <f aca="false">Diseno_Marshall!$F$41</f>
        <v>5.5</v>
      </c>
      <c r="E41" s="49" t="n">
        <f aca="false">MAX(Diseno_Marshall!$R$17:$R$21,D4:D34,Diseno_Marshall!$K$11)</f>
        <v>5</v>
      </c>
      <c r="F41" s="48" t="n">
        <f aca="false">Diseno_Marshall!$F$41</f>
        <v>5.5</v>
      </c>
      <c r="G41" s="49" t="n">
        <f aca="false">MAX(Diseno_Marshall!$S$17:$S$21,F4:F34)</f>
        <v>19.4817528150862</v>
      </c>
      <c r="H41" s="48" t="n">
        <f aca="false">Diseno_Marshall!$F$41</f>
        <v>5.5</v>
      </c>
      <c r="I41" s="49" t="n">
        <f aca="false">MAX(Diseno_Marshall!$T$17:$T$21,H4:H34,Diseno_Marshall!$K$13)</f>
        <v>105.417671900249</v>
      </c>
      <c r="J41" s="48" t="n">
        <f aca="false">Diseno_Marshall!$F$41</f>
        <v>5.5</v>
      </c>
      <c r="K41" s="49" t="n">
        <f aca="false">MAX(Diseno_Marshall!$X$17:$X$21,J4:J34)</f>
        <v>8.3430442624375</v>
      </c>
      <c r="L41" s="48" t="n">
        <f aca="false">Diseno_Marshall!$F$41</f>
        <v>5.5</v>
      </c>
      <c r="M41" s="49" t="n">
        <f aca="false">MAX(Diseno_Marshall!$Y$17:$Y$21,L4:L34,Diseno_Marshall!$K$10)</f>
        <v>6.7</v>
      </c>
    </row>
    <row r="43" customFormat="false" ht="15" hidden="false" customHeight="false" outlineLevel="0" collapsed="false">
      <c r="B43" s="48" t="n">
        <f aca="false">Diseno_Marshall!$F$41</f>
        <v>5.5</v>
      </c>
      <c r="C43" s="49" t="n">
        <f aca="false">Diseno_Marshall!$B$33*Diseno_Marshall!$F$41^2+Diseno_Marshall!$C$33*Diseno_Marshall!$F$41+Diseno_Marshall!$D$33</f>
        <v>2.18870106667315</v>
      </c>
      <c r="D43" s="48" t="n">
        <f aca="false">Diseno_Marshall!$F$41</f>
        <v>5.5</v>
      </c>
      <c r="E43" s="49" t="n">
        <f aca="false">Diseno_Marshall!$B$34*Diseno_Marshall!$F$41^2+Diseno_Marshall!$C$34*Diseno_Marshall!$F$41+Diseno_Marshall!$D$34</f>
        <v>4.01034820144837</v>
      </c>
      <c r="F43" s="48" t="n">
        <f aca="false">Diseno_Marshall!$F$41</f>
        <v>5.5</v>
      </c>
      <c r="G43" s="49" t="n">
        <f aca="false">Diseno_Marshall!$B$35*Diseno_Marshall!$F$41^2+Diseno_Marshall!$C$35*Diseno_Marshall!$F$41+Diseno_Marshall!$D$35</f>
        <v>14.8795112559337</v>
      </c>
      <c r="H43" s="48" t="n">
        <f aca="false">Diseno_Marshall!$F$41</f>
        <v>5.5</v>
      </c>
      <c r="I43" s="49" t="n">
        <f aca="false">Diseno_Marshall!$B$36*Diseno_Marshall!$F$41^2+Diseno_Marshall!$C$36*Diseno_Marshall!$F$41+Diseno_Marshall!$D$36</f>
        <v>73.3429311270575</v>
      </c>
      <c r="J43" s="48" t="n">
        <f aca="false">Diseno_Marshall!$F$41</f>
        <v>5.5</v>
      </c>
      <c r="K43" s="49" t="n">
        <f aca="false">Diseno_Marshall!$B$37*Diseno_Marshall!$F$41^2+Diseno_Marshall!$C$37*Diseno_Marshall!$F$41+Diseno_Marshall!$D$37</f>
        <v>7.97744287523311</v>
      </c>
      <c r="L43" s="48" t="n">
        <f aca="false">Diseno_Marshall!$F$41</f>
        <v>5.5</v>
      </c>
      <c r="M43" s="49" t="n">
        <f aca="false">Diseno_Marshall!$B$38*Diseno_Marshall!$F$41^2+Diseno_Marshall!$C$38*Diseno_Marshall!$F$41+Diseno_Marshall!$D$38</f>
        <v>4.00450640616563</v>
      </c>
    </row>
    <row r="45" customFormat="false" ht="15" hidden="false" customHeight="false" outlineLevel="0" collapsed="false">
      <c r="D45" s="49" t="n">
        <f aca="false">MIN(Diseno_Marshall!$B$17:$B$21)</f>
        <v>5.5</v>
      </c>
      <c r="E45" s="49" t="n">
        <f aca="false">Diseno_Marshall!$J$11</f>
        <v>3</v>
      </c>
      <c r="F45" s="49" t="n">
        <f aca="false">MIN(Diseno_Marshall!$B$17:$B$21)</f>
        <v>5.5</v>
      </c>
      <c r="G45" s="49" t="n">
        <f aca="false">Diseno_Marshall!$J$12</f>
        <v>14</v>
      </c>
      <c r="H45" s="49" t="n">
        <f aca="false">MIN(Diseno_Marshall!$B$17:$B$21)</f>
        <v>5.5</v>
      </c>
      <c r="I45" s="49" t="n">
        <f aca="false">Diseno_Marshall!$J$13</f>
        <v>65</v>
      </c>
      <c r="J45" s="49" t="n">
        <f aca="false">MIN(Diseno_Marshall!$B$17:$B$21)</f>
        <v>5.5</v>
      </c>
      <c r="K45" s="49" t="n">
        <f aca="false">Diseno_Marshall!$J$9</f>
        <v>5.44</v>
      </c>
      <c r="L45" s="49" t="n">
        <f aca="false">MIN(Diseno_Marshall!$B$17:$B$21)</f>
        <v>5.5</v>
      </c>
      <c r="M45" s="49" t="n">
        <f aca="false">Diseno_Marshall!$J$10</f>
        <v>2</v>
      </c>
    </row>
    <row r="46" customFormat="false" ht="15" hidden="false" customHeight="false" outlineLevel="0" collapsed="false">
      <c r="D46" s="49" t="n">
        <f aca="false">MAX(Diseno_Marshall!$B$17:$B$21)</f>
        <v>10</v>
      </c>
      <c r="E46" s="49" t="n">
        <f aca="false">Diseno_Marshall!$J$11</f>
        <v>3</v>
      </c>
      <c r="F46" s="49" t="n">
        <f aca="false">MAX(Diseno_Marshall!$B$17:$B$21)</f>
        <v>10</v>
      </c>
      <c r="G46" s="49" t="n">
        <f aca="false">Diseno_Marshall!$J$12</f>
        <v>14</v>
      </c>
      <c r="H46" s="49" t="n">
        <f aca="false">MAX(Diseno_Marshall!$B$17:$B$21)</f>
        <v>10</v>
      </c>
      <c r="I46" s="49" t="n">
        <f aca="false">Diseno_Marshall!$J$13</f>
        <v>65</v>
      </c>
      <c r="J46" s="49" t="n">
        <f aca="false">MAX(Diseno_Marshall!$B$17:$B$21)</f>
        <v>10</v>
      </c>
      <c r="K46" s="49" t="n">
        <f aca="false">Diseno_Marshall!$J$9</f>
        <v>5.44</v>
      </c>
      <c r="L46" s="49" t="n">
        <f aca="false">MAX(Diseno_Marshall!$B$17:$B$21)</f>
        <v>10</v>
      </c>
      <c r="M46" s="49" t="n">
        <f aca="false">Diseno_Marshall!$J$10</f>
        <v>2</v>
      </c>
    </row>
    <row r="48" customFormat="false" ht="15" hidden="false" customHeight="false" outlineLevel="0" collapsed="false">
      <c r="D48" s="49" t="n">
        <f aca="false">MIN(Diseno_Marshall!$B$17:$B$21)</f>
        <v>5.5</v>
      </c>
      <c r="E48" s="49" t="n">
        <f aca="false">Diseno_Marshall!$K$11</f>
        <v>5</v>
      </c>
      <c r="H48" s="49" t="n">
        <f aca="false">MIN(Diseno_Marshall!$B$17:$B$21)</f>
        <v>5.5</v>
      </c>
      <c r="I48" s="49" t="n">
        <f aca="false">Diseno_Marshall!$K$13</f>
        <v>78</v>
      </c>
      <c r="L48" s="49" t="n">
        <f aca="false">MIN(Diseno_Marshall!$B$17:$B$21)</f>
        <v>5.5</v>
      </c>
      <c r="M48" s="49" t="n">
        <f aca="false">Diseno_Marshall!$K$10</f>
        <v>4</v>
      </c>
    </row>
    <row r="49" customFormat="false" ht="15" hidden="false" customHeight="false" outlineLevel="0" collapsed="false">
      <c r="D49" s="49" t="n">
        <f aca="false">MAX(Diseno_Marshall!$B$17:$B$21)</f>
        <v>10</v>
      </c>
      <c r="E49" s="49" t="n">
        <f aca="false">Diseno_Marshall!$K$11</f>
        <v>5</v>
      </c>
      <c r="H49" s="49" t="n">
        <f aca="false">MAX(Diseno_Marshall!$B$17:$B$21)</f>
        <v>10</v>
      </c>
      <c r="I49" s="49" t="n">
        <f aca="false">Diseno_Marshall!$K$13</f>
        <v>78</v>
      </c>
      <c r="L49" s="49" t="n">
        <f aca="false">MAX(Diseno_Marshall!$B$17:$B$21)</f>
        <v>10</v>
      </c>
      <c r="M49" s="49" t="n">
        <f aca="false">Diseno_Marshall!$K$10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2026-10-05T15:02:58Z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