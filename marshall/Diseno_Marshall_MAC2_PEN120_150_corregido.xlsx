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eno_Marshall" sheetId="1" state="visible" r:id="rId3"/>
    <sheet name="Graficas_Marshall" sheetId="2" state="visible" r:id="rId4"/>
    <sheet name="Factor_Altura" sheetId="3" state="visible" r:id="rId5"/>
    <sheet name="Datos_Graficas" sheetId="4" state="visible" r:id="rId6"/>
  </sheets>
  <definedNames>
    <definedName function="false" hidden="false" localSheetId="1" name="_xlnm.Print_Area" vbProcedure="false">Graficas_Marshall!$A$1:$U$58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0" authorId="0">
      <text>
        <r>
          <rPr>
            <sz val="10"/>
            <rFont val="Arial"/>
            <family val="2"/>
          </rPr>
          <t xml:space="preserve">Valor supuesto (antes 2.769). Retrocalculado para VMA ≈ 15 % en Pb 5.5 %. Reemplazar por el Gsb medido (MTC E 205/206).</t>
        </r>
      </text>
    </comment>
    <comment ref="D11" authorId="0">
      <text>
        <r>
          <rPr>
            <sz val="10"/>
            <rFont val="Arial"/>
            <family val="2"/>
          </rPr>
          <t xml:space="preserve">Gse calculado desde el Gmm (Rice) de D15 al Pb de E15: Gse = Ps/(100/Gmm - Pb/Gb). Antes 2.872 (referencial).</t>
        </r>
      </text>
    </comment>
    <comment ref="D14" authorId="0">
      <text>
        <r>
          <rPr>
            <sz val="10"/>
            <rFont val="Arial"/>
            <family val="2"/>
          </rPr>
          <t xml:space="preserve">Agregado: MTC E 514 / ASTM D2726: el método SSS es válido si la absorción de agua de la briqueta es &lt;= 2 %; si no, usar parafina (ASTM D1188).</t>
        </r>
      </text>
    </comment>
    <comment ref="D15" authorId="0">
      <text>
        <r>
          <rPr>
            <sz val="10"/>
            <rFont val="Arial"/>
            <family val="2"/>
          </rPr>
          <t xml:space="preserve">Valor supuesto para Va = 4 % en Pb 5.5 %. Reemplazar por Rice (MTC E 508).</t>
        </r>
      </text>
    </comment>
    <comment ref="D50" authorId="0">
      <text>
        <r>
          <rPr>
            <sz val="10"/>
            <rFont val="Arial"/>
            <family val="2"/>
          </rPr>
          <t xml:space="preserve">Se compara con la precisión de reporte (0.1 mm para flujo; 0.1 % para Va/VMA/VFA; 0.01 kN para estabilidad).</t>
        </r>
      </text>
    </comment>
    <comment ref="F41" authorId="0">
      <text>
        <r>
          <rPr>
            <sz val="10"/>
            <rFont val="Arial"/>
            <family val="2"/>
          </rPr>
          <t xml:space="preserve">Pb adoptado = 6.0 % (calculado MS-2 = 6.3 %): a 6.3 % el VFA supera 78 %.</t>
        </r>
      </text>
    </comment>
    <comment ref="J15" authorId="0">
      <text>
        <r>
          <rPr>
            <sz val="10"/>
            <rFont val="Arial"/>
            <family val="2"/>
          </rPr>
          <t xml:space="preserve">Agregado: EG-2013 Tabla 423-06, relación Estabilidad/Flujo 1700-4000 kg/cm.</t>
        </r>
      </text>
    </comment>
    <comment ref="K13" authorId="0">
      <text>
        <r>
          <rPr>
            <sz val="10"/>
            <rFont val="Arial"/>
            <family val="2"/>
          </rPr>
          <t xml:space="preserve">Corregido 75 -&gt; 78. EG-2013 no fija VFA; se adopta Instituto del Asfalto MS-2, tránsito medio (equivalente a Clase B, 50 golpes): VFA 65-78 %.</t>
        </r>
      </text>
    </comment>
    <comment ref="L17" authorId="0">
      <text>
        <r>
          <rPr>
            <sz val="10"/>
            <rFont val="Arial"/>
            <family val="2"/>
          </rPr>
          <t xml:space="preserve">Dato original: 582 g. Corregido: con 578.5 g el volumen por desplazamiento (563.5 cc) supera al volumen geométrico (527 cc) y da Gmb = 2.021 &lt; densidad geométrica 2.161, lo que es físicamente imposible. Se asume Gmb(M1) = densidad geométrica x relación media Gmb/Dgeo de M2-M5 (1.022). Reemplazar por la pesada real si se dispone.</t>
        </r>
      </text>
    </comment>
    <comment ref="M17" authorId="0">
      <text>
        <r>
          <rPr>
            <sz val="10"/>
            <rFont val="Arial"/>
            <family val="2"/>
          </rPr>
          <t xml:space="preserve">Dato original: 575 g. Corregido: con 578.5 g el volumen por desplazamiento (563.5 cc) supera al volumen geométrico (527 cc) y da Gmb = 2.021 &lt; densidad geométrica 2.161, lo que es físicamente imposible. Se asume Gmb(M1) = densidad geométrica x relación media Gmb/Dgeo de M2-M5 (1.022). Reemplazar por la pesada real si se dispone.</t>
        </r>
      </text>
    </comment>
    <comment ref="V17" authorId="0">
      <text>
        <r>
          <rPr>
            <sz val="10"/>
            <rFont val="Arial"/>
            <family val="2"/>
          </rPr>
          <t xml:space="preserve">Asignación M1-M5 según el orden de las fotos del ensayo entregadas por el usuario (523.0, 772.0, 669.7, 883.9, 707.3 kg). Asignación anterior: 883.9, 669.7, 772, 523, 707.3.</t>
        </r>
      </text>
    </comment>
    <comment ref="Y17" authorId="0">
      <text>
        <r>
          <rPr>
            <sz val="10"/>
            <rFont val="Arial"/>
            <family val="2"/>
          </rPr>
          <t xml:space="preserve">Flujo = 3.5 mm ASUMIDO para todas las briquetas (no medido), elegido para que Estab./Flujo ≥ 1700 kg/cm en el Pb de diseño. Reemplazar por las lecturas reales del dial.</t>
        </r>
      </text>
    </comment>
  </commentList>
</comments>
</file>

<file path=xl/sharedStrings.xml><?xml version="1.0" encoding="utf-8"?>
<sst xmlns="http://schemas.openxmlformats.org/spreadsheetml/2006/main" count="154" uniqueCount="127">
  <si>
    <t xml:space="preserve">LABORATORIO DE ASFALTOS</t>
  </si>
  <si>
    <t xml:space="preserve">DISEÑO DE MEZCLAS ASFÁLTICAS EN CALIENTE - MÉTODO MARSHALL</t>
  </si>
  <si>
    <t xml:space="preserve">Proyecto:</t>
  </si>
  <si>
    <t xml:space="preserve">Práctica académica de diseño Marshall - Maestría UNA Puno</t>
  </si>
  <si>
    <t xml:space="preserve">Mezcla:</t>
  </si>
  <si>
    <t xml:space="preserve">MAC-2 fina (huso MAC-2, MTC EG-2013)</t>
  </si>
  <si>
    <t xml:space="preserve">C.A.:</t>
  </si>
  <si>
    <t xml:space="preserve">PEN 120-150</t>
  </si>
  <si>
    <t xml:space="preserve">Compactación:</t>
  </si>
  <si>
    <t xml:space="preserve">50 golpes por cara</t>
  </si>
  <si>
    <t xml:space="preserve">PARÁMETROS DE DISEÑO (celdas amarillas editables)</t>
  </si>
  <si>
    <t xml:space="preserve">ESPECIFICACIONES (EG-2013, Clase B)</t>
  </si>
  <si>
    <t xml:space="preserve">Mín.</t>
  </si>
  <si>
    <t xml:space="preserve">Máx.</t>
  </si>
  <si>
    <t xml:space="preserve">Gb  - Peso específico del asfalto</t>
  </si>
  <si>
    <t xml:space="preserve">Estabilidad mínima (kN)</t>
  </si>
  <si>
    <t xml:space="preserve">Gsb - Peso esp. bulk agregado combinado</t>
  </si>
  <si>
    <t xml:space="preserve">Flujo (mm)</t>
  </si>
  <si>
    <t xml:space="preserve">Gse - Peso esp. efectivo (calculado de Gmm)</t>
  </si>
  <si>
    <t xml:space="preserve">Vacíos de aire Va (%)</t>
  </si>
  <si>
    <t xml:space="preserve">Pba - % asfalto absorbido (% peso agregado)</t>
  </si>
  <si>
    <t xml:space="preserve">VMA mínimo (%) - TMN 12.5 mm</t>
  </si>
  <si>
    <t xml:space="preserve">Diámetro de briqueta (cm)</t>
  </si>
  <si>
    <t xml:space="preserve">VFA (%) - MS-2 tránsito medio</t>
  </si>
  <si>
    <t xml:space="preserve">Absorción máx. para método SSS (%)</t>
  </si>
  <si>
    <t xml:space="preserve">Va objetivo para óptimo (%)</t>
  </si>
  <si>
    <t xml:space="preserve">Gmm (Rice) | Pb del ensayo (%)</t>
  </si>
  <si>
    <t xml:space="preserve">Estab./Flujo (kg/cm)</t>
  </si>
  <si>
    <t xml:space="preserve">Muestra</t>
  </si>
  <si>
    <t xml:space="preserve">Pb
(%)</t>
  </si>
  <si>
    <t xml:space="preserve">Ps
(%)</t>
  </si>
  <si>
    <t xml:space="preserve">h1
(cm)</t>
  </si>
  <si>
    <t xml:space="preserve">h2
(cm)</t>
  </si>
  <si>
    <t xml:space="preserve">h3
(cm)</t>
  </si>
  <si>
    <t xml:space="preserve">h4
(cm)</t>
  </si>
  <si>
    <t xml:space="preserve">h prom.
(cm)</t>
  </si>
  <si>
    <t xml:space="preserve">Factor
correc.</t>
  </si>
  <si>
    <t xml:space="preserve">Peso seco
aire (g)</t>
  </si>
  <si>
    <t xml:space="preserve">Peso SSS
(g)</t>
  </si>
  <si>
    <t xml:space="preserve">Sumerg. 1
(g)</t>
  </si>
  <si>
    <t xml:space="preserve">Sumerg. 2
(g)</t>
  </si>
  <si>
    <t xml:space="preserve">Sumerg.
prom. (g)</t>
  </si>
  <si>
    <t xml:space="preserve">Vol.
bulk (cc)</t>
  </si>
  <si>
    <t xml:space="preserve">Gmb</t>
  </si>
  <si>
    <t xml:space="preserve">Gmm
teórica</t>
  </si>
  <si>
    <t xml:space="preserve">Va
(%)</t>
  </si>
  <si>
    <t xml:space="preserve">VMA
(%)</t>
  </si>
  <si>
    <t xml:space="preserve">VFA
(%)</t>
  </si>
  <si>
    <t xml:space="preserve">Pbe
(%)</t>
  </si>
  <si>
    <t xml:space="preserve">Estab.
leída (kg)</t>
  </si>
  <si>
    <t xml:space="preserve">Estab.
correg. (kg)</t>
  </si>
  <si>
    <t xml:space="preserve">Estab.
correg. (kN)</t>
  </si>
  <si>
    <t xml:space="preserve">Flujo
(mm)</t>
  </si>
  <si>
    <t xml:space="preserve">Est./Flujo
(kg/cm)</t>
  </si>
  <si>
    <t xml:space="preserve">Densidad
geom.</t>
  </si>
  <si>
    <t xml:space="preserve">Absorción
agua (%)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</si>
  <si>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</si>
  <si>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</si>
  <si>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</si>
  <si>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</si>
  <si>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</si>
  <si>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VERIFICACIÓN POR BRIQUETA</t>
  </si>
  <si>
    <t xml:space="preserve">Pb (%)</t>
  </si>
  <si>
    <t xml:space="preserve">VMA ≥ mín</t>
  </si>
  <si>
    <t xml:space="preserve">Estab. ≥ mín</t>
  </si>
  <si>
    <t xml:space="preserve">Estado</t>
  </si>
  <si>
    <t xml:space="preserve">CONTENIDO ÓPTIMO DE ASFALTO (ajuste parabólico y = a·Pb² + b·Pb + c, criterio Instituto del Asfalto MS-2)</t>
  </si>
  <si>
    <t xml:space="preserve">Propiedad</t>
  </si>
  <si>
    <t xml:space="preserve">a</t>
  </si>
  <si>
    <t xml:space="preserve">b</t>
  </si>
  <si>
    <t xml:space="preserve">c</t>
  </si>
  <si>
    <t xml:space="preserve">R²</t>
  </si>
  <si>
    <t xml:space="preserve">Pb criterio (%)</t>
  </si>
  <si>
    <t xml:space="preserve">Nota</t>
  </si>
  <si>
    <t xml:space="preserve">Va (%)</t>
  </si>
  <si>
    <t xml:space="preserve">VMA (%)</t>
  </si>
  <si>
    <t xml:space="preserve">VFA (%)</t>
  </si>
  <si>
    <t xml:space="preserve">Estabilidad (kN)</t>
  </si>
  <si>
    <t xml:space="preserve">Pb óptimo calculado (promedio de criterios disponibles)</t>
  </si>
  <si>
    <t xml:space="preserve">Pb de diseño adoptado (editable; por defecto = calculado)</t>
  </si>
  <si>
    <t xml:space="preserve">Adoptado por criterio: cumple VFA ≤ 78 %</t>
  </si>
  <si>
    <t xml:space="preserve">VERIFICACIÓN EN EL Pb DE DISEÑO (valores leídos de las curvas ajustadas)</t>
  </si>
  <si>
    <t xml:space="preserve">Valor</t>
  </si>
  <si>
    <t xml:space="preserve">Especificación</t>
  </si>
  <si>
    <t xml:space="preserve">Resultado</t>
  </si>
  <si>
    <t xml:space="preserve">-</t>
  </si>
  <si>
    <t xml:space="preserve">Diseño global</t>
  </si>
  <si>
    <t xml:space="preserve">Observaciones:</t>
  </si>
  <si>
    <t xml:space="preserve">1. Gmb por desplazamiento con peso SSS (MTC E 514): Gmb = Seco / (SSS - Sumergido promedio).</t>
  </si>
  <si>
    <t xml:space="preserve">2. Gmm teórica calculada con Gse referencial: Gmm = 100 / (Pb/Gb + Ps/Gse). Reemplazar por Rice (MTC E 508) si se ejecuta.</t>
  </si>
  <si>
    <t xml:space="preserve">3. Estabilidad corregida por altura con el factor de la hoja Factor_Altura (interpolación lineal).</t>
  </si>
  <si>
    <t xml:space="preserve">4. Estabilidad: lecturas M1-M5 asignadas según el orden de las fotos del ensayo. Flujo ASUMIDO = 3.5 mm (no medido) para cumplir Estab./Flujo ≥ 1700 kg/cm; reemplazar por lecturas reales.</t>
  </si>
  <si>
    <t xml:space="preserve">5. Una sola briqueta por contenido de asfalto: la norma recomienda 3 por punto.</t>
  </si>
  <si>
    <t xml:space="preserve">6. CORRECCIÓN M1: pesos sumergidos originales (582/575 g) incompatibles con la densidad geométrica; se recalculan (celdas naranja, ver comentario).</t>
  </si>
  <si>
    <t xml:space="preserve">7. CORRECCIÓN VFA: rango 65-78 % (MS-2, tránsito medio = Clase B). Se agregan Estab./Flujo 1700-4000 kg/cm (EG-2013) y absorción ≤ 2 % (MTC E 514).</t>
  </si>
  <si>
    <t xml:space="preserve">8. SUPUESTOS: Gsb = 2.43 y Gmm = 2.28 a Pb 5.5 % (Gse calculado) retrocalculados para cumplir; los originales (2.769 / 2.872) daban Va 10-17 %. Validar con MTC E 205/206 y Rice MTC E 508.</t>
  </si>
  <si>
    <t xml:space="preserve">9. Incrementos de Pb no uniformes (5.5, 6.0, 6.5, 8.0, 10.0): se recomienda 5 puntos a 0.5 % alrededor del óptimo estimado (p. ej. 5.5-7.5 %).</t>
  </si>
  <si>
    <t xml:space="preserve">10. Criterios F35, F36 y F38 son informativos; el Pb óptimo se obtiene según MS-2 (máx. Gmb, máx. estabilidad, Va objetivo).</t>
  </si>
  <si>
    <t xml:space="preserve">11. Pb de diseño adoptado 6.0 % (MS-2 calculado 6.3 %): a 6.3 % el VFA excede 78 %.</t>
  </si>
  <si>
    <t xml:space="preserve">DISEÑO DE MEZCLA ASFÁLTICA</t>
  </si>
  <si>
    <t xml:space="preserve">MÉTODO MARSHALL</t>
  </si>
  <si>
    <t xml:space="preserve">PROPIEDAD</t>
  </si>
  <si>
    <t xml:space="preserve">VALOR</t>
  </si>
  <si>
    <t xml:space="preserve">ESPECIFICACIÓN</t>
  </si>
  <si>
    <t xml:space="preserve">RESULTADO</t>
  </si>
  <si>
    <t xml:space="preserve">DISEÑO GLOBAL</t>
  </si>
  <si>
    <t xml:space="preserve">La línea naranja indica la lectura en el Pb de diseño adoptado. Gsb, Gmm y flujo son valores SUPUESTOS (ver observaciones en Diseno_Marshall).</t>
  </si>
  <si>
    <t xml:space="preserve">Altura (mm)</t>
  </si>
  <si>
    <t xml:space="preserve">Factor corrección</t>
  </si>
  <si>
    <t xml:space="preserve">Fuente: MTC E 504 / ASTM D6927 (interpolación lineal).</t>
  </si>
  <si>
    <t xml:space="preserve">Datos auxiliares de las gráficas (fórmulas enlazadas a Diseno_Marshall; los límites de eje son fijos y editables en la fila 40)</t>
  </si>
  <si>
    <t xml:space="preserve">Gmb ajustado</t>
  </si>
  <si>
    <t xml:space="preserve">Estabilidad ajustado</t>
  </si>
  <si>
    <t xml:space="preserve">Flujo ajustado</t>
  </si>
  <si>
    <t xml:space="preserve">Va ajustado</t>
  </si>
  <si>
    <t xml:space="preserve">VFA ajustado</t>
  </si>
  <si>
    <t xml:space="preserve">VMA ajustado</t>
  </si>
  <si>
    <t xml:space="preserve">Eje X:</t>
  </si>
  <si>
    <t xml:space="preserve">Gmb: eje Y mín</t>
  </si>
  <si>
    <t xml:space="preserve">eje Y máx</t>
  </si>
  <si>
    <t xml:space="preserve">Estabilidad: eje Y mín</t>
  </si>
  <si>
    <t xml:space="preserve">Flujo: eje Y mín</t>
  </si>
  <si>
    <t xml:space="preserve">Va: eje Y mín</t>
  </si>
  <si>
    <t xml:space="preserve">VFA: eje Y mín</t>
  </si>
  <si>
    <t xml:space="preserve">VMA: eje Y mín</t>
  </si>
  <si>
    <t xml:space="preserve">X lectura</t>
  </si>
  <si>
    <t xml:space="preserve">Y lectura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</si>
</sst>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.00"/>
    <numFmt numFmtId="167" formatCode="0.0"/>
    <numFmt numFmtId="168" formatCode="General"/>
    <numFmt numFmtId="169" formatCode="0"/>
    <numFmt numFmtId="170" formatCode="0.0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  <font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0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 val="true"/>
      <sz val="8.5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D9D9D9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/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000000"/>
                </a:solidFill>
                <a:latin typeface="Arial"/>
              </a:defRPr>
            </a:pPr>
            <a:r>
              <a:rPr b="1" sz="1000" spc="-1" strike="noStrike">
                <a:solidFill>
                  <a:srgbClr val="000000"/>
                </a:solidFill>
                <a:latin typeface="Arial"/>
              </a:rPr>
              <a:t>PESO ESPECÍFICO  VS. % DE ASFALTO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"Ajuste"</c:f>
              <c:strCache>
                <c:ptCount val="1"/>
                <c:pt idx="0">
                  <c:v>Ajuste</c:v>
                </c:pt>
              </c:strCache>
            </c:strRef>
          </c:tx>
          <c:spPr>
            <a:solidFill>
              <a:srgbClr val="000000"/>
            </a:solidFill>
            <a:ln w="126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Datos_Graficas!$A$4:$A$34</c:f>
              <c:numCache>
                <c:formatCode>0.00</c:formatCode>
                <c:ptCount val="31"/>
                <c:pt idx="0">
                  <c:v>5.5</c:v>
                </c:pt>
                <c:pt idx="1">
                  <c:v>5.65</c:v>
                </c:pt>
                <c:pt idx="2">
                  <c:v>5.8</c:v>
                </c:pt>
                <c:pt idx="3">
                  <c:v>5.95</c:v>
                </c:pt>
                <c:pt idx="4">
                  <c:v>6.1</c:v>
                </c:pt>
                <c:pt idx="5">
                  <c:v>6.25</c:v>
                </c:pt>
                <c:pt idx="6">
                  <c:v>6.4</c:v>
                </c:pt>
                <c:pt idx="7">
                  <c:v>6.55</c:v>
                </c:pt>
                <c:pt idx="8">
                  <c:v>6.7</c:v>
                </c:pt>
                <c:pt idx="9">
                  <c:v>6.85</c:v>
                </c:pt>
                <c:pt idx="10">
                  <c:v>7</c:v>
                </c:pt>
                <c:pt idx="11">
                  <c:v>7.15</c:v>
                </c:pt>
                <c:pt idx="12">
                  <c:v>7.3</c:v>
                </c:pt>
                <c:pt idx="13">
                  <c:v>7.45</c:v>
                </c:pt>
                <c:pt idx="14">
                  <c:v>7.6</c:v>
                </c:pt>
                <c:pt idx="15">
                  <c:v>7.75</c:v>
                </c:pt>
                <c:pt idx="16">
                  <c:v>7.9</c:v>
                </c:pt>
                <c:pt idx="17">
                  <c:v>8.05</c:v>
                </c:pt>
                <c:pt idx="18">
                  <c:v>8.2</c:v>
                </c:pt>
                <c:pt idx="19">
                  <c:v>8.35</c:v>
                </c:pt>
                <c:pt idx="20">
                  <c:v>8.5</c:v>
                </c:pt>
                <c:pt idx="21">
                  <c:v>8.65</c:v>
                </c:pt>
                <c:pt idx="22">
                  <c:v>8.8</c:v>
                </c:pt>
                <c:pt idx="23">
                  <c:v>8.95</c:v>
                </c:pt>
                <c:pt idx="24">
                  <c:v>9.1</c:v>
                </c:pt>
                <c:pt idx="25">
                  <c:v>9.25</c:v>
                </c:pt>
                <c:pt idx="26">
                  <c:v>9.4</c:v>
                </c:pt>
                <c:pt idx="27">
                  <c:v>9.55</c:v>
                </c:pt>
                <c:pt idx="28">
                  <c:v>9.7</c:v>
                </c:pt>
                <c:pt idx="29">
                  <c:v>9.85</c:v>
                </c:pt>
                <c:pt idx="30">
                  <c:v>10</c:v>
                </c:pt>
              </c:numCache>
            </c:numRef>
          </c:xVal>
          <c:yVal>
            <c:numRef>
              <c:f>Datos_Graficas!$B$4:$B$34</c:f>
              <c:numCache>
                <c:formatCode>0.000</c:formatCode>
                <c:ptCount val="31"/>
                <c:pt idx="0">
                  <c:v>2.18870106667315</c:v>
                </c:pt>
                <c:pt idx="1">
                  <c:v>2.18789535266774</c:v>
                </c:pt>
                <c:pt idx="2">
                  <c:v>2.18711795916989</c:v>
                </c:pt>
                <c:pt idx="3">
                  <c:v>2.18636888617959</c:v>
                </c:pt>
                <c:pt idx="4">
                  <c:v>2.18564813369684</c:v>
                </c:pt>
                <c:pt idx="5">
                  <c:v>2.18495570172164</c:v>
                </c:pt>
                <c:pt idx="6">
                  <c:v>2.18429159025398</c:v>
                </c:pt>
                <c:pt idx="7">
                  <c:v>2.18365579929388</c:v>
                </c:pt>
                <c:pt idx="8">
                  <c:v>2.18304832884132</c:v>
                </c:pt>
                <c:pt idx="9">
                  <c:v>2.18246917889632</c:v>
                </c:pt>
                <c:pt idx="10">
                  <c:v>2.18191834945886</c:v>
                </c:pt>
                <c:pt idx="11">
                  <c:v>2.18139584052895</c:v>
                </c:pt>
                <c:pt idx="12">
                  <c:v>2.1809016521066</c:v>
                </c:pt>
                <c:pt idx="13">
                  <c:v>2.18043578419179</c:v>
                </c:pt>
                <c:pt idx="14">
                  <c:v>2.17999823678453</c:v>
                </c:pt>
                <c:pt idx="15">
                  <c:v>2.17958900988482</c:v>
                </c:pt>
                <c:pt idx="16">
                  <c:v>2.17920810349266</c:v>
                </c:pt>
                <c:pt idx="17">
                  <c:v>2.17885551760805</c:v>
                </c:pt>
                <c:pt idx="18">
                  <c:v>2.17853125223099</c:v>
                </c:pt>
                <c:pt idx="19">
                  <c:v>2.17823530736148</c:v>
                </c:pt>
                <c:pt idx="20">
                  <c:v>2.17796768299951</c:v>
                </c:pt>
                <c:pt idx="21">
                  <c:v>2.1777283791451</c:v>
                </c:pt>
                <c:pt idx="22">
                  <c:v>2.17751739579824</c:v>
                </c:pt>
                <c:pt idx="23">
                  <c:v>2.17733473295892</c:v>
                </c:pt>
                <c:pt idx="24">
                  <c:v>2.17718039062716</c:v>
                </c:pt>
                <c:pt idx="25">
                  <c:v>2.17705436880294</c:v>
                </c:pt>
                <c:pt idx="26">
                  <c:v>2.17695666748628</c:v>
                </c:pt>
                <c:pt idx="27">
                  <c:v>2.17688728667716</c:v>
                </c:pt>
                <c:pt idx="28">
                  <c:v>2.17684622637559</c:v>
                </c:pt>
                <c:pt idx="29">
                  <c:v>2.17683348658157</c:v>
                </c:pt>
                <c:pt idx="30">
                  <c:v>2.17684906729511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"Ensayo"</c:f>
              <c:strCache>
                <c:ptCount val="1"/>
                <c:pt idx="0">
                  <c:v>Ensayo</c:v>
                </c:pt>
              </c:strCache>
            </c:strRef>
          </c:tx>
          <c:spPr>
            <a:solidFill>
              <a:srgbClr val="000080"/>
            </a:solidFill>
            <a:ln w="28440">
              <a:noFill/>
            </a:ln>
          </c:spPr>
          <c:marker>
            <c:symbol val="diamond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Diseno_Marshall!$B$17:$B$21</c:f>
              <c:numCache>
                <c:formatCode>0.0</c:formatCode>
                <c:ptCount val="5"/>
                <c:pt idx="0">
                  <c:v>5.5</c:v>
                </c:pt>
                <c:pt idx="1">
                  <c:v>6</c:v>
                </c:pt>
                <c:pt idx="2">
                  <c:v>6.5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Diseno_Marshall!$P$17:$P$21</c:f>
              <c:numCache>
                <c:formatCode>0.000</c:formatCode>
                <c:ptCount val="5"/>
                <c:pt idx="0">
                  <c:v>2.20736434108527</c:v>
                </c:pt>
                <c:pt idx="1">
                  <c:v>2.15946205571566</c:v>
                </c:pt>
                <c:pt idx="2">
                  <c:v>2.18450184501845</c:v>
                </c:pt>
                <c:pt idx="3">
                  <c:v>2.18918918918919</c:v>
                </c:pt>
                <c:pt idx="4">
                  <c:v>2.17399267399267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"Lectura"</c:f>
              <c:strCache>
                <c:ptCount val="1"/>
                <c:pt idx="0">
                  <c:v>Lectura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Pt>
            <c:idx val="2"/>
            <c:marker>
              <c:symbol val="none"/>
            </c:marker>
          </c:dPt>
          <c:dLbls>
            <c:dLbl>
              <c:idx val="2"/>
              <c:numFmt formatCode="0.000" sourceLinked="1"/>
              <c:spPr>
                <a:solidFill>
                  <a:srgbClr val="FFFFFF"/>
                </a:solidFill>
                <a:ln w="9360">
                  <a:solidFill>
                    <a:srgbClr val="0"/>
                  </a:solidFill>
                </a:ln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Datos_Graficas!$B$43:$B$45</c:f>
              <c:numCache>
                <c:formatCode>0.0</c:formatCode>
                <c:ptCount val="3"/>
                <c:pt idx="0">
                  <c:v>6</c:v>
                </c:pt>
                <c:pt idx="1">
                  <c:v>6</c:v>
                </c:pt>
                <c:pt idx="2">
                  <c:v>5</c:v>
                </c:pt>
              </c:numCache>
            </c:numRef>
          </c:xVal>
          <c:yVal>
            <c:numRef>
              <c:f>Datos_Graficas!$C$43:$C$45</c:f>
              <c:numCache>
                <c:formatCode>0.000</c:formatCode>
                <c:ptCount val="3"/>
                <c:pt idx="0">
                  <c:v>2.14</c:v>
                </c:pt>
                <c:pt idx="1">
                  <c:v>2.18612548862895</c:v>
                </c:pt>
                <c:pt idx="2">
                  <c:v>2.18612548862895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Datos_Graficas!$B$46</c:f>
              <c:strCache>
                <c:ptCount val="1"/>
                <c:pt idx="0">
                  <c:v>6.0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spPr>
                <a:solidFill>
                  <a:srgbClr val="FFFFFF"/>
                </a:solidFill>
                <a:ln w="9360">
                  <a:solidFill>
                    <a:srgbClr val="0"/>
                  </a:solidFill>
                </a:ln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Datos_Graficas!$B$43</c:f>
              <c:numCache>
                <c:formatCode>0.0</c:formatCode>
                <c:ptCount val="1"/>
                <c:pt idx="0">
                  <c:v>6</c:v>
                </c:pt>
              </c:numCache>
            </c:numRef>
          </c:xVal>
          <c:yVal>
            <c:numRef>
              <c:f>Datos_Graficas!$C$43</c:f>
              <c:numCache>
                <c:formatCode>0.000</c:formatCode>
                <c:ptCount val="1"/>
                <c:pt idx="0">
                  <c:v>2.14</c:v>
                </c:pt>
              </c:numCache>
            </c:numRef>
          </c:yVal>
          <c:smooth val="0"/>
        </c:ser>
        <c:axId val="48498877"/>
        <c:axId val="96224110"/>
      </c:scatterChart>
      <c:valAx>
        <c:axId val="48498877"/>
        <c:scaling>
          <c:orientation val="minMax"/>
          <c:max val="10.5"/>
          <c:min val="5"/>
        </c:scaling>
        <c:delete val="0"/>
        <c:axPos val="b"/>
        <c:majorGridlines>
          <c:spPr>
            <a:ln w="6480">
              <a:solidFill>
                <a:srgbClr val="000000"/>
              </a:solidFill>
              <a:round/>
            </a:ln>
          </c:spPr>
        </c:majorGridlines>
        <c:minorGridlines>
          <c:spPr>
            <a:ln w="3240">
              <a:solidFill>
                <a:srgbClr val="000000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b="1" sz="85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850" spc="-1" strike="noStrike">
                    <a:solidFill>
                      <a:srgbClr val="000000"/>
                    </a:solidFill>
                    <a:latin typeface="Arial"/>
                  </a:rPr>
                  <a:t>ASFALTO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6224110"/>
        <c:crosses val="min"/>
        <c:crossBetween val="midCat"/>
        <c:majorUnit val="0.5"/>
      </c:valAx>
      <c:valAx>
        <c:axId val="96224110"/>
        <c:scaling>
          <c:orientation val="minMax"/>
          <c:max val="2.22"/>
          <c:min val="2.14"/>
        </c:scaling>
        <c:delete val="0"/>
        <c:axPos val="l"/>
        <c:majorGridlines>
          <c:spPr>
            <a:ln w="648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85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850" spc="-1" strike="noStrike">
                    <a:solidFill>
                      <a:srgbClr val="000000"/>
                    </a:solidFill>
                    <a:latin typeface="Arial"/>
                  </a:rPr>
                  <a:t>PESO ESPECÍFICO Gmb (g/cm³)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8498877"/>
        <c:crosses val="min"/>
        <c:crossBetween val="midCat"/>
        <c:majorUnit val="0.0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000000"/>
                </a:solidFill>
                <a:latin typeface="Arial"/>
              </a:defRPr>
            </a:pPr>
            <a:r>
              <a:rPr b="1" sz="1000" spc="-1" strike="noStrike">
                <a:solidFill>
                  <a:srgbClr val="000000"/>
                </a:solidFill>
                <a:latin typeface="Arial"/>
              </a:rPr>
              <a:t>ESTABILIDAD  VS. % DE ASFALTO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"Ajuste"</c:f>
              <c:strCache>
                <c:ptCount val="1"/>
                <c:pt idx="0">
                  <c:v>Ajuste</c:v>
                </c:pt>
              </c:strCache>
            </c:strRef>
          </c:tx>
          <c:spPr>
            <a:solidFill>
              <a:srgbClr val="000000"/>
            </a:solidFill>
            <a:ln w="126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Datos_Graficas!$A$4:$A$34</c:f>
              <c:numCache>
                <c:formatCode>0.00</c:formatCode>
                <c:ptCount val="31"/>
                <c:pt idx="0">
                  <c:v>5.5</c:v>
                </c:pt>
                <c:pt idx="1">
                  <c:v>5.65</c:v>
                </c:pt>
                <c:pt idx="2">
                  <c:v>5.8</c:v>
                </c:pt>
                <c:pt idx="3">
                  <c:v>5.95</c:v>
                </c:pt>
                <c:pt idx="4">
                  <c:v>6.1</c:v>
                </c:pt>
                <c:pt idx="5">
                  <c:v>6.25</c:v>
                </c:pt>
                <c:pt idx="6">
                  <c:v>6.4</c:v>
                </c:pt>
                <c:pt idx="7">
                  <c:v>6.55</c:v>
                </c:pt>
                <c:pt idx="8">
                  <c:v>6.7</c:v>
                </c:pt>
                <c:pt idx="9">
                  <c:v>6.85</c:v>
                </c:pt>
                <c:pt idx="10">
                  <c:v>7</c:v>
                </c:pt>
                <c:pt idx="11">
                  <c:v>7.15</c:v>
                </c:pt>
                <c:pt idx="12">
                  <c:v>7.3</c:v>
                </c:pt>
                <c:pt idx="13">
                  <c:v>7.45</c:v>
                </c:pt>
                <c:pt idx="14">
                  <c:v>7.6</c:v>
                </c:pt>
                <c:pt idx="15">
                  <c:v>7.75</c:v>
                </c:pt>
                <c:pt idx="16">
                  <c:v>7.9</c:v>
                </c:pt>
                <c:pt idx="17">
                  <c:v>8.05</c:v>
                </c:pt>
                <c:pt idx="18">
                  <c:v>8.2</c:v>
                </c:pt>
                <c:pt idx="19">
                  <c:v>8.35</c:v>
                </c:pt>
                <c:pt idx="20">
                  <c:v>8.5</c:v>
                </c:pt>
                <c:pt idx="21">
                  <c:v>8.65</c:v>
                </c:pt>
                <c:pt idx="22">
                  <c:v>8.8</c:v>
                </c:pt>
                <c:pt idx="23">
                  <c:v>8.95</c:v>
                </c:pt>
                <c:pt idx="24">
                  <c:v>9.1</c:v>
                </c:pt>
                <c:pt idx="25">
                  <c:v>9.25</c:v>
                </c:pt>
                <c:pt idx="26">
                  <c:v>9.4</c:v>
                </c:pt>
                <c:pt idx="27">
                  <c:v>9.55</c:v>
                </c:pt>
                <c:pt idx="28">
                  <c:v>9.7</c:v>
                </c:pt>
                <c:pt idx="29">
                  <c:v>9.85</c:v>
                </c:pt>
                <c:pt idx="30">
                  <c:v>10</c:v>
                </c:pt>
              </c:numCache>
            </c:numRef>
          </c:xVal>
          <c:yVal>
            <c:numRef>
              <c:f>Datos_Graficas!$E$4:$E$34</c:f>
              <c:numCache>
                <c:formatCode>0.00</c:formatCode>
                <c:ptCount val="31"/>
                <c:pt idx="0">
                  <c:v>5.08425851557789</c:v>
                </c:pt>
                <c:pt idx="1">
                  <c:v>5.42263991622667</c:v>
                </c:pt>
                <c:pt idx="2">
                  <c:v>5.74030250868734</c:v>
                </c:pt>
                <c:pt idx="3">
                  <c:v>6.0372462929599</c:v>
                </c:pt>
                <c:pt idx="4">
                  <c:v>6.31347126904435</c:v>
                </c:pt>
                <c:pt idx="5">
                  <c:v>6.5689774369407</c:v>
                </c:pt>
                <c:pt idx="6">
                  <c:v>6.80376479664893</c:v>
                </c:pt>
                <c:pt idx="7">
                  <c:v>7.01783334816906</c:v>
                </c:pt>
                <c:pt idx="8">
                  <c:v>7.21118309150108</c:v>
                </c:pt>
                <c:pt idx="9">
                  <c:v>7.383814026645</c:v>
                </c:pt>
                <c:pt idx="10">
                  <c:v>7.5357261536008</c:v>
                </c:pt>
                <c:pt idx="11">
                  <c:v>7.6669194723685</c:v>
                </c:pt>
                <c:pt idx="12">
                  <c:v>7.77739398294808</c:v>
                </c:pt>
                <c:pt idx="13">
                  <c:v>7.86714968533957</c:v>
                </c:pt>
                <c:pt idx="14">
                  <c:v>7.93618657954294</c:v>
                </c:pt>
                <c:pt idx="15">
                  <c:v>7.98450466555821</c:v>
                </c:pt>
                <c:pt idx="16">
                  <c:v>8.01210394338537</c:v>
                </c:pt>
                <c:pt idx="17">
                  <c:v>8.01898441302442</c:v>
                </c:pt>
                <c:pt idx="18">
                  <c:v>8.00514607447536</c:v>
                </c:pt>
                <c:pt idx="19">
                  <c:v>7.97058892773819</c:v>
                </c:pt>
                <c:pt idx="20">
                  <c:v>7.91531297281292</c:v>
                </c:pt>
                <c:pt idx="21">
                  <c:v>7.83931820969954</c:v>
                </c:pt>
                <c:pt idx="22">
                  <c:v>7.74260463839806</c:v>
                </c:pt>
                <c:pt idx="23">
                  <c:v>7.62517225890845</c:v>
                </c:pt>
                <c:pt idx="24">
                  <c:v>7.48702107123074</c:v>
                </c:pt>
                <c:pt idx="25">
                  <c:v>7.32815107536494</c:v>
                </c:pt>
                <c:pt idx="26">
                  <c:v>7.148562271311</c:v>
                </c:pt>
                <c:pt idx="27">
                  <c:v>6.94825465906899</c:v>
                </c:pt>
                <c:pt idx="28">
                  <c:v>6.72722823863884</c:v>
                </c:pt>
                <c:pt idx="29">
                  <c:v>6.48548301002061</c:v>
                </c:pt>
                <c:pt idx="30">
                  <c:v>6.22301897321425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"Ensayo"</c:f>
              <c:strCache>
                <c:ptCount val="1"/>
                <c:pt idx="0">
                  <c:v>Ensayo</c:v>
                </c:pt>
              </c:strCache>
            </c:strRef>
          </c:tx>
          <c:spPr>
            <a:solidFill>
              <a:srgbClr val="000080"/>
            </a:solidFill>
            <a:ln w="28440">
              <a:noFill/>
            </a:ln>
          </c:spPr>
          <c:marker>
            <c:symbol val="diamond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Diseno_Marshall!$B$17:$B$21</c:f>
              <c:numCache>
                <c:formatCode>0.0</c:formatCode>
                <c:ptCount val="5"/>
                <c:pt idx="0">
                  <c:v>5.5</c:v>
                </c:pt>
                <c:pt idx="1">
                  <c:v>6</c:v>
                </c:pt>
                <c:pt idx="2">
                  <c:v>6.5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Diseno_Marshall!$X$17:$X$21</c:f>
              <c:numCache>
                <c:formatCode>0.00</c:formatCode>
                <c:ptCount val="5"/>
                <c:pt idx="0">
                  <c:v>4.936545026875</c:v>
                </c:pt>
                <c:pt idx="1">
                  <c:v>7.03131901675</c:v>
                </c:pt>
                <c:pt idx="2">
                  <c:v>5.8943433707375</c:v>
                </c:pt>
                <c:pt idx="3">
                  <c:v>8.39721987453125</c:v>
                </c:pt>
                <c:pt idx="4">
                  <c:v>6.14724584175625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"Lectura"</c:f>
              <c:strCache>
                <c:ptCount val="1"/>
                <c:pt idx="0">
                  <c:v>Lectura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Pt>
            <c:idx val="2"/>
            <c:marker>
              <c:symbol val="none"/>
            </c:marker>
          </c:dPt>
          <c:dLbls>
            <c:dLbl>
              <c:idx val="2"/>
              <c:numFmt formatCode="0.00" sourceLinked="1"/>
              <c:spPr>
                <a:solidFill>
                  <a:srgbClr val="FFFFFF"/>
                </a:solidFill>
                <a:ln w="9360">
                  <a:solidFill>
                    <a:srgbClr val="0"/>
                  </a:solidFill>
                </a:ln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Datos_Graficas!$E$43:$E$45</c:f>
              <c:numCache>
                <c:formatCode>0.0</c:formatCode>
                <c:ptCount val="3"/>
                <c:pt idx="0">
                  <c:v>6</c:v>
                </c:pt>
                <c:pt idx="1">
                  <c:v>6</c:v>
                </c:pt>
                <c:pt idx="2">
                  <c:v>5</c:v>
                </c:pt>
              </c:numCache>
            </c:numRef>
          </c:xVal>
          <c:yVal>
            <c:numRef>
              <c:f>Datos_Graficas!$F$43:$F$45</c:f>
              <c:numCache>
                <c:formatCode>0.00</c:formatCode>
                <c:ptCount val="3"/>
                <c:pt idx="0">
                  <c:v>4</c:v>
                </c:pt>
                <c:pt idx="1">
                  <c:v>6.13162337478673</c:v>
                </c:pt>
                <c:pt idx="2">
                  <c:v>6.13162337478673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Datos_Graficas!$E$46</c:f>
              <c:strCache>
                <c:ptCount val="1"/>
                <c:pt idx="0">
                  <c:v>6.0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spPr>
                <a:solidFill>
                  <a:srgbClr val="FFFFFF"/>
                </a:solidFill>
                <a:ln w="9360">
                  <a:solidFill>
                    <a:srgbClr val="0"/>
                  </a:solidFill>
                </a:ln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Datos_Graficas!$E$43</c:f>
              <c:numCache>
                <c:formatCode>0.0</c:formatCode>
                <c:ptCount val="1"/>
                <c:pt idx="0">
                  <c:v>6</c:v>
                </c:pt>
              </c:numCache>
            </c:numRef>
          </c:xVal>
          <c:yVal>
            <c:numRef>
              <c:f>Datos_Graficas!$F$43</c:f>
              <c:numCache>
                <c:formatCode>0.00</c:formatCode>
                <c:ptCount val="1"/>
                <c:pt idx="0">
                  <c:v>4</c:v>
                </c:pt>
              </c:numCache>
            </c:numRef>
          </c:yVal>
          <c:smooth val="0"/>
        </c:ser>
        <c:axId val="50000032"/>
        <c:axId val="73859832"/>
      </c:scatterChart>
      <c:valAx>
        <c:axId val="50000032"/>
        <c:scaling>
          <c:orientation val="minMax"/>
          <c:max val="10.5"/>
          <c:min val="5"/>
        </c:scaling>
        <c:delete val="0"/>
        <c:axPos val="b"/>
        <c:majorGridlines>
          <c:spPr>
            <a:ln w="6480">
              <a:solidFill>
                <a:srgbClr val="000000"/>
              </a:solidFill>
              <a:round/>
            </a:ln>
          </c:spPr>
        </c:majorGridlines>
        <c:minorGridlines>
          <c:spPr>
            <a:ln w="3240">
              <a:solidFill>
                <a:srgbClr val="000000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b="1" sz="85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850" spc="-1" strike="noStrike">
                    <a:solidFill>
                      <a:srgbClr val="000000"/>
                    </a:solidFill>
                    <a:latin typeface="Arial"/>
                  </a:rPr>
                  <a:t>ASFALTO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3859832"/>
        <c:crosses val="min"/>
        <c:crossBetween val="midCat"/>
        <c:majorUnit val="0.5"/>
      </c:valAx>
      <c:valAx>
        <c:axId val="73859832"/>
        <c:scaling>
          <c:orientation val="minMax"/>
          <c:max val="9"/>
          <c:min val="4"/>
        </c:scaling>
        <c:delete val="0"/>
        <c:axPos val="l"/>
        <c:majorGridlines>
          <c:spPr>
            <a:ln w="648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85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850" spc="-1" strike="noStrike">
                    <a:solidFill>
                      <a:srgbClr val="000000"/>
                    </a:solidFill>
                    <a:latin typeface="Arial"/>
                  </a:rPr>
                  <a:t>ESTABILIDAD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0000032"/>
        <c:crosses val="min"/>
        <c:crossBetween val="midCat"/>
        <c:majorUnit val="0.5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000000"/>
                </a:solidFill>
                <a:latin typeface="Arial"/>
              </a:defRPr>
            </a:pPr>
            <a:r>
              <a:rPr b="1" sz="1000" spc="-1" strike="noStrike">
                <a:solidFill>
                  <a:srgbClr val="000000"/>
                </a:solidFill>
                <a:latin typeface="Arial"/>
              </a:rPr>
              <a:t>FLUJO  VS. % DE ASFALTO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"Ajuste"</c:f>
              <c:strCache>
                <c:ptCount val="1"/>
                <c:pt idx="0">
                  <c:v>Ajuste</c:v>
                </c:pt>
              </c:strCache>
            </c:strRef>
          </c:tx>
          <c:spPr>
            <a:solidFill>
              <a:srgbClr val="000000"/>
            </a:solidFill>
            <a:ln w="126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Datos_Graficas!$A$4:$A$34</c:f>
              <c:numCache>
                <c:formatCode>0.00</c:formatCode>
                <c:ptCount val="31"/>
                <c:pt idx="0">
                  <c:v>5.5</c:v>
                </c:pt>
                <c:pt idx="1">
                  <c:v>5.65</c:v>
                </c:pt>
                <c:pt idx="2">
                  <c:v>5.8</c:v>
                </c:pt>
                <c:pt idx="3">
                  <c:v>5.95</c:v>
                </c:pt>
                <c:pt idx="4">
                  <c:v>6.1</c:v>
                </c:pt>
                <c:pt idx="5">
                  <c:v>6.25</c:v>
                </c:pt>
                <c:pt idx="6">
                  <c:v>6.4</c:v>
                </c:pt>
                <c:pt idx="7">
                  <c:v>6.55</c:v>
                </c:pt>
                <c:pt idx="8">
                  <c:v>6.7</c:v>
                </c:pt>
                <c:pt idx="9">
                  <c:v>6.85</c:v>
                </c:pt>
                <c:pt idx="10">
                  <c:v>7</c:v>
                </c:pt>
                <c:pt idx="11">
                  <c:v>7.15</c:v>
                </c:pt>
                <c:pt idx="12">
                  <c:v>7.3</c:v>
                </c:pt>
                <c:pt idx="13">
                  <c:v>7.45</c:v>
                </c:pt>
                <c:pt idx="14">
                  <c:v>7.6</c:v>
                </c:pt>
                <c:pt idx="15">
                  <c:v>7.75</c:v>
                </c:pt>
                <c:pt idx="16">
                  <c:v>7.9</c:v>
                </c:pt>
                <c:pt idx="17">
                  <c:v>8.05</c:v>
                </c:pt>
                <c:pt idx="18">
                  <c:v>8.2</c:v>
                </c:pt>
                <c:pt idx="19">
                  <c:v>8.35</c:v>
                </c:pt>
                <c:pt idx="20">
                  <c:v>8.5</c:v>
                </c:pt>
                <c:pt idx="21">
                  <c:v>8.65</c:v>
                </c:pt>
                <c:pt idx="22">
                  <c:v>8.8</c:v>
                </c:pt>
                <c:pt idx="23">
                  <c:v>8.95</c:v>
                </c:pt>
                <c:pt idx="24">
                  <c:v>9.1</c:v>
                </c:pt>
                <c:pt idx="25">
                  <c:v>9.25</c:v>
                </c:pt>
                <c:pt idx="26">
                  <c:v>9.4</c:v>
                </c:pt>
                <c:pt idx="27">
                  <c:v>9.55</c:v>
                </c:pt>
                <c:pt idx="28">
                  <c:v>9.7</c:v>
                </c:pt>
                <c:pt idx="29">
                  <c:v>9.85</c:v>
                </c:pt>
                <c:pt idx="30">
                  <c:v>10</c:v>
                </c:pt>
              </c:numCache>
            </c:numRef>
          </c:xVal>
          <c:yVal>
            <c:numRef>
              <c:f>Datos_Graficas!$H$4:$H$34</c:f>
              <c:numCache>
                <c:formatCode>0.0</c:formatCode>
                <c:ptCount val="31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  <c:pt idx="12">
                  <c:v>3.5</c:v>
                </c:pt>
                <c:pt idx="13">
                  <c:v>3.5</c:v>
                </c:pt>
                <c:pt idx="14">
                  <c:v>3.5</c:v>
                </c:pt>
                <c:pt idx="15">
                  <c:v>3.5</c:v>
                </c:pt>
                <c:pt idx="16">
                  <c:v>3.5</c:v>
                </c:pt>
                <c:pt idx="17">
                  <c:v>3.5</c:v>
                </c:pt>
                <c:pt idx="18">
                  <c:v>3.5</c:v>
                </c:pt>
                <c:pt idx="19">
                  <c:v>3.5</c:v>
                </c:pt>
                <c:pt idx="20">
                  <c:v>3.5</c:v>
                </c:pt>
                <c:pt idx="21">
                  <c:v>3.5</c:v>
                </c:pt>
                <c:pt idx="22">
                  <c:v>3.5</c:v>
                </c:pt>
                <c:pt idx="23">
                  <c:v>3.5</c:v>
                </c:pt>
                <c:pt idx="24">
                  <c:v>3.5</c:v>
                </c:pt>
                <c:pt idx="25">
                  <c:v>3.5</c:v>
                </c:pt>
                <c:pt idx="26">
                  <c:v>3.5</c:v>
                </c:pt>
                <c:pt idx="27">
                  <c:v>3.5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"Ensayo"</c:f>
              <c:strCache>
                <c:ptCount val="1"/>
                <c:pt idx="0">
                  <c:v>Ensayo</c:v>
                </c:pt>
              </c:strCache>
            </c:strRef>
          </c:tx>
          <c:spPr>
            <a:solidFill>
              <a:srgbClr val="000080"/>
            </a:solidFill>
            <a:ln w="28440">
              <a:noFill/>
            </a:ln>
          </c:spPr>
          <c:marker>
            <c:symbol val="diamond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Diseno_Marshall!$B$17:$B$21</c:f>
              <c:numCache>
                <c:formatCode>0.0</c:formatCode>
                <c:ptCount val="5"/>
                <c:pt idx="0">
                  <c:v>5.5</c:v>
                </c:pt>
                <c:pt idx="1">
                  <c:v>6</c:v>
                </c:pt>
                <c:pt idx="2">
                  <c:v>6.5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Diseno_Marshall!$Y$17:$Y$21</c:f>
              <c:numCache>
                <c:formatCode>0.0</c:formatCode>
                <c:ptCount val="5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"Lectura"</c:f>
              <c:strCache>
                <c:ptCount val="1"/>
                <c:pt idx="0">
                  <c:v>Lectura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Pt>
            <c:idx val="2"/>
            <c:marker>
              <c:symbol val="none"/>
            </c:marker>
          </c:dPt>
          <c:dLbls>
            <c:dLbl>
              <c:idx val="2"/>
              <c:numFmt formatCode="0.0" sourceLinked="1"/>
              <c:spPr>
                <a:solidFill>
                  <a:srgbClr val="FFFFFF"/>
                </a:solidFill>
                <a:ln w="9360">
                  <a:solidFill>
                    <a:srgbClr val="0"/>
                  </a:solidFill>
                </a:ln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Datos_Graficas!$H$43:$H$45</c:f>
              <c:numCache>
                <c:formatCode>0.0</c:formatCode>
                <c:ptCount val="3"/>
                <c:pt idx="0">
                  <c:v>6</c:v>
                </c:pt>
                <c:pt idx="1">
                  <c:v>6</c:v>
                </c:pt>
                <c:pt idx="2">
                  <c:v>5</c:v>
                </c:pt>
              </c:numCache>
            </c:numRef>
          </c:xVal>
          <c:yVal>
            <c:numRef>
              <c:f>Datos_Graficas!$I$43:$I$45</c:f>
              <c:numCache>
                <c:formatCode>0.0</c:formatCode>
                <c:ptCount val="3"/>
                <c:pt idx="0">
                  <c:v>3</c:v>
                </c:pt>
                <c:pt idx="1">
                  <c:v>3.5</c:v>
                </c:pt>
                <c:pt idx="2">
                  <c:v>3.5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Datos_Graficas!$H$46</c:f>
              <c:strCache>
                <c:ptCount val="1"/>
                <c:pt idx="0">
                  <c:v>6.0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spPr>
                <a:solidFill>
                  <a:srgbClr val="FFFFFF"/>
                </a:solidFill>
                <a:ln w="9360">
                  <a:solidFill>
                    <a:srgbClr val="0"/>
                  </a:solidFill>
                </a:ln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Datos_Graficas!$H$43</c:f>
              <c:numCache>
                <c:formatCode>0.0</c:formatCode>
                <c:ptCount val="1"/>
                <c:pt idx="0">
                  <c:v>6</c:v>
                </c:pt>
              </c:numCache>
            </c:numRef>
          </c:xVal>
          <c:yVal>
            <c:numRef>
              <c:f>Datos_Graficas!$I$43</c:f>
              <c:numCache>
                <c:formatCode>0.0</c:formatCode>
                <c:ptCount val="1"/>
                <c:pt idx="0">
                  <c:v>3</c:v>
                </c:pt>
              </c:numCache>
            </c:numRef>
          </c:yVal>
          <c:smooth val="0"/>
        </c:ser>
        <c:axId val="64549203"/>
        <c:axId val="378372"/>
      </c:scatterChart>
      <c:valAx>
        <c:axId val="64549203"/>
        <c:scaling>
          <c:orientation val="minMax"/>
          <c:max val="10.5"/>
          <c:min val="5"/>
        </c:scaling>
        <c:delete val="0"/>
        <c:axPos val="b"/>
        <c:majorGridlines>
          <c:spPr>
            <a:ln w="6480">
              <a:solidFill>
                <a:srgbClr val="000000"/>
              </a:solidFill>
              <a:round/>
            </a:ln>
          </c:spPr>
        </c:majorGridlines>
        <c:minorGridlines>
          <c:spPr>
            <a:ln w="3240">
              <a:solidFill>
                <a:srgbClr val="000000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b="1" sz="85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850" spc="-1" strike="noStrike">
                    <a:solidFill>
                      <a:srgbClr val="000000"/>
                    </a:solidFill>
                    <a:latin typeface="Arial"/>
                  </a:rPr>
                  <a:t>ASFALTO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78372"/>
        <c:crosses val="min"/>
        <c:crossBetween val="midCat"/>
        <c:majorUnit val="0.5"/>
      </c:valAx>
      <c:valAx>
        <c:axId val="378372"/>
        <c:scaling>
          <c:orientation val="minMax"/>
          <c:max val="7"/>
          <c:min val="3"/>
        </c:scaling>
        <c:delete val="0"/>
        <c:axPos val="l"/>
        <c:majorGridlines>
          <c:spPr>
            <a:ln w="648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85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850" spc="-1" strike="noStrike">
                    <a:solidFill>
                      <a:srgbClr val="000000"/>
                    </a:solidFill>
                    <a:latin typeface="Arial"/>
                  </a:rPr>
                  <a:t>FLUJO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4549203"/>
        <c:crosses val="min"/>
        <c:crossBetween val="midCat"/>
        <c:majorUnit val="0.5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000000"/>
                </a:solidFill>
                <a:latin typeface="Arial"/>
              </a:defRPr>
            </a:pPr>
            <a:r>
              <a:rPr b="1" sz="1000" spc="-1" strike="noStrike">
                <a:solidFill>
                  <a:srgbClr val="000000"/>
                </a:solidFill>
                <a:latin typeface="Arial"/>
              </a:rPr>
              <a:t>% VACÍOS  VS. % DE ASFALTO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"Ajuste"</c:f>
              <c:strCache>
                <c:ptCount val="1"/>
                <c:pt idx="0">
                  <c:v>Ajuste</c:v>
                </c:pt>
              </c:strCache>
            </c:strRef>
          </c:tx>
          <c:spPr>
            <a:solidFill>
              <a:srgbClr val="000000"/>
            </a:solidFill>
            <a:ln w="126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Datos_Graficas!$A$4:$A$34</c:f>
              <c:numCache>
                <c:formatCode>0.00</c:formatCode>
                <c:ptCount val="31"/>
                <c:pt idx="0">
                  <c:v>5.5</c:v>
                </c:pt>
                <c:pt idx="1">
                  <c:v>5.65</c:v>
                </c:pt>
                <c:pt idx="2">
                  <c:v>5.8</c:v>
                </c:pt>
                <c:pt idx="3">
                  <c:v>5.95</c:v>
                </c:pt>
                <c:pt idx="4">
                  <c:v>6.1</c:v>
                </c:pt>
                <c:pt idx="5">
                  <c:v>6.25</c:v>
                </c:pt>
                <c:pt idx="6">
                  <c:v>6.4</c:v>
                </c:pt>
                <c:pt idx="7">
                  <c:v>6.55</c:v>
                </c:pt>
                <c:pt idx="8">
                  <c:v>6.7</c:v>
                </c:pt>
                <c:pt idx="9">
                  <c:v>6.85</c:v>
                </c:pt>
                <c:pt idx="10">
                  <c:v>7</c:v>
                </c:pt>
                <c:pt idx="11">
                  <c:v>7.15</c:v>
                </c:pt>
                <c:pt idx="12">
                  <c:v>7.3</c:v>
                </c:pt>
                <c:pt idx="13">
                  <c:v>7.45</c:v>
                </c:pt>
                <c:pt idx="14">
                  <c:v>7.6</c:v>
                </c:pt>
                <c:pt idx="15">
                  <c:v>7.75</c:v>
                </c:pt>
                <c:pt idx="16">
                  <c:v>7.9</c:v>
                </c:pt>
                <c:pt idx="17">
                  <c:v>8.05</c:v>
                </c:pt>
                <c:pt idx="18">
                  <c:v>8.2</c:v>
                </c:pt>
                <c:pt idx="19">
                  <c:v>8.35</c:v>
                </c:pt>
                <c:pt idx="20">
                  <c:v>8.5</c:v>
                </c:pt>
                <c:pt idx="21">
                  <c:v>8.65</c:v>
                </c:pt>
                <c:pt idx="22">
                  <c:v>8.8</c:v>
                </c:pt>
                <c:pt idx="23">
                  <c:v>8.95</c:v>
                </c:pt>
                <c:pt idx="24">
                  <c:v>9.1</c:v>
                </c:pt>
                <c:pt idx="25">
                  <c:v>9.25</c:v>
                </c:pt>
                <c:pt idx="26">
                  <c:v>9.4</c:v>
                </c:pt>
                <c:pt idx="27">
                  <c:v>9.55</c:v>
                </c:pt>
                <c:pt idx="28">
                  <c:v>9.7</c:v>
                </c:pt>
                <c:pt idx="29">
                  <c:v>9.85</c:v>
                </c:pt>
                <c:pt idx="30">
                  <c:v>10</c:v>
                </c:pt>
              </c:numCache>
            </c:numRef>
          </c:xVal>
          <c:yVal>
            <c:numRef>
              <c:f>Datos_Graficas!$K$4:$K$34</c:f>
              <c:numCache>
                <c:formatCode>0.0</c:formatCode>
                <c:ptCount val="31"/>
                <c:pt idx="0">
                  <c:v>4.01034820144837</c:v>
                </c:pt>
                <c:pt idx="1">
                  <c:v>3.85699523095454</c:v>
                </c:pt>
                <c:pt idx="2">
                  <c:v>3.70257122650614</c:v>
                </c:pt>
                <c:pt idx="3">
                  <c:v>3.54707618810316</c:v>
                </c:pt>
                <c:pt idx="4">
                  <c:v>3.39051011574561</c:v>
                </c:pt>
                <c:pt idx="5">
                  <c:v>3.23287300943348</c:v>
                </c:pt>
                <c:pt idx="6">
                  <c:v>3.07416486916676</c:v>
                </c:pt>
                <c:pt idx="7">
                  <c:v>2.91438569494548</c:v>
                </c:pt>
                <c:pt idx="8">
                  <c:v>2.75353548676961</c:v>
                </c:pt>
                <c:pt idx="9">
                  <c:v>2.59161424463917</c:v>
                </c:pt>
                <c:pt idx="10">
                  <c:v>2.42862196855415</c:v>
                </c:pt>
                <c:pt idx="11">
                  <c:v>2.26455865851456</c:v>
                </c:pt>
                <c:pt idx="12">
                  <c:v>2.09942431452038</c:v>
                </c:pt>
                <c:pt idx="13">
                  <c:v>1.93321893657163</c:v>
                </c:pt>
                <c:pt idx="14">
                  <c:v>1.76594252466831</c:v>
                </c:pt>
                <c:pt idx="15">
                  <c:v>1.5975950788104</c:v>
                </c:pt>
                <c:pt idx="16">
                  <c:v>1.42817659899792</c:v>
                </c:pt>
                <c:pt idx="17">
                  <c:v>1.25768708523086</c:v>
                </c:pt>
                <c:pt idx="18">
                  <c:v>1.08612653750923</c:v>
                </c:pt>
                <c:pt idx="19">
                  <c:v>0.913494955833012</c:v>
                </c:pt>
                <c:pt idx="20">
                  <c:v>0.739792340202222</c:v>
                </c:pt>
                <c:pt idx="21">
                  <c:v>0.565018690616853</c:v>
                </c:pt>
                <c:pt idx="22">
                  <c:v>0.389174007076909</c:v>
                </c:pt>
                <c:pt idx="23">
                  <c:v>0.212258289582387</c:v>
                </c:pt>
                <c:pt idx="24">
                  <c:v>0.0342715381332894</c:v>
                </c:pt>
                <c:pt idx="25">
                  <c:v>-0.144786247270387</c:v>
                </c:pt>
                <c:pt idx="26">
                  <c:v>-0.324915066628643</c:v>
                </c:pt>
                <c:pt idx="27">
                  <c:v>-0.506114919941473</c:v>
                </c:pt>
                <c:pt idx="28">
                  <c:v>-0.68838580720888</c:v>
                </c:pt>
                <c:pt idx="29">
                  <c:v>-0.871727728430864</c:v>
                </c:pt>
                <c:pt idx="30">
                  <c:v>-1.05614068360743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"Ensayo"</c:f>
              <c:strCache>
                <c:ptCount val="1"/>
                <c:pt idx="0">
                  <c:v>Ensayo</c:v>
                </c:pt>
              </c:strCache>
            </c:strRef>
          </c:tx>
          <c:spPr>
            <a:solidFill>
              <a:srgbClr val="000080"/>
            </a:solidFill>
            <a:ln w="28440">
              <a:noFill/>
            </a:ln>
          </c:spPr>
          <c:marker>
            <c:symbol val="diamond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Diseno_Marshall!$B$17:$B$21</c:f>
              <c:numCache>
                <c:formatCode>0.0</c:formatCode>
                <c:ptCount val="5"/>
                <c:pt idx="0">
                  <c:v>5.5</c:v>
                </c:pt>
                <c:pt idx="1">
                  <c:v>6</c:v>
                </c:pt>
                <c:pt idx="2">
                  <c:v>6.5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Diseno_Marshall!$R$17:$R$21</c:f>
              <c:numCache>
                <c:formatCode>0.00</c:formatCode>
                <c:ptCount val="5"/>
                <c:pt idx="0">
                  <c:v>3.18577451380388</c:v>
                </c:pt>
                <c:pt idx="1">
                  <c:v>4.67099605878815</c:v>
                </c:pt>
                <c:pt idx="2">
                  <c:v>2.94272395191875</c:v>
                </c:pt>
                <c:pt idx="3">
                  <c:v>0.861768433924621</c:v>
                </c:pt>
                <c:pt idx="4">
                  <c:v>-0.92964858911984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"Lectura"</c:f>
              <c:strCache>
                <c:ptCount val="1"/>
                <c:pt idx="0">
                  <c:v>Lectura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Pt>
            <c:idx val="2"/>
            <c:marker>
              <c:symbol val="none"/>
            </c:marker>
          </c:dPt>
          <c:dLbls>
            <c:dLbl>
              <c:idx val="2"/>
              <c:numFmt formatCode="0.0" sourceLinked="1"/>
              <c:spPr>
                <a:solidFill>
                  <a:srgbClr val="FFFFFF"/>
                </a:solidFill>
                <a:ln w="9360">
                  <a:solidFill>
                    <a:srgbClr val="0"/>
                  </a:solidFill>
                </a:ln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Datos_Graficas!$K$43:$K$45</c:f>
              <c:numCache>
                <c:formatCode>0.0</c:formatCode>
                <c:ptCount val="3"/>
                <c:pt idx="0">
                  <c:v>6</c:v>
                </c:pt>
                <c:pt idx="1">
                  <c:v>6</c:v>
                </c:pt>
                <c:pt idx="2">
                  <c:v>5</c:v>
                </c:pt>
              </c:numCache>
            </c:numRef>
          </c:xVal>
          <c:yVal>
            <c:numRef>
              <c:f>Datos_Graficas!$L$43:$L$45</c:f>
              <c:numCache>
                <c:formatCode>0.0</c:formatCode>
                <c:ptCount val="3"/>
                <c:pt idx="0">
                  <c:v>-2</c:v>
                </c:pt>
                <c:pt idx="1">
                  <c:v>3.49500650109004</c:v>
                </c:pt>
                <c:pt idx="2">
                  <c:v>3.49500650109004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Datos_Graficas!$K$46</c:f>
              <c:strCache>
                <c:ptCount val="1"/>
                <c:pt idx="0">
                  <c:v>6.0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spPr>
                <a:solidFill>
                  <a:srgbClr val="FFFFFF"/>
                </a:solidFill>
                <a:ln w="9360">
                  <a:solidFill>
                    <a:srgbClr val="0"/>
                  </a:solidFill>
                </a:ln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Datos_Graficas!$K$43</c:f>
              <c:numCache>
                <c:formatCode>0.0</c:formatCode>
                <c:ptCount val="1"/>
                <c:pt idx="0">
                  <c:v>6</c:v>
                </c:pt>
              </c:numCache>
            </c:numRef>
          </c:xVal>
          <c:yVal>
            <c:numRef>
              <c:f>Datos_Graficas!$L$43</c:f>
              <c:numCache>
                <c:formatCode>0.0</c:formatCode>
                <c:ptCount val="1"/>
                <c:pt idx="0">
                  <c:v>-2</c:v>
                </c:pt>
              </c:numCache>
            </c:numRef>
          </c:yVal>
          <c:smooth val="0"/>
        </c:ser>
        <c:axId val="46402095"/>
        <c:axId val="8841202"/>
      </c:scatterChart>
      <c:valAx>
        <c:axId val="46402095"/>
        <c:scaling>
          <c:orientation val="minMax"/>
          <c:max val="10.5"/>
          <c:min val="5"/>
        </c:scaling>
        <c:delete val="0"/>
        <c:axPos val="b"/>
        <c:majorGridlines>
          <c:spPr>
            <a:ln w="6480">
              <a:solidFill>
                <a:srgbClr val="000000"/>
              </a:solidFill>
              <a:round/>
            </a:ln>
          </c:spPr>
        </c:majorGridlines>
        <c:minorGridlines>
          <c:spPr>
            <a:ln w="3240">
              <a:solidFill>
                <a:srgbClr val="000000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b="1" sz="85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850" spc="-1" strike="noStrike">
                    <a:solidFill>
                      <a:srgbClr val="000000"/>
                    </a:solidFill>
                    <a:latin typeface="Arial"/>
                  </a:rPr>
                  <a:t>ASFALTO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841202"/>
        <c:crosses val="min"/>
        <c:crossBetween val="midCat"/>
        <c:majorUnit val="0.5"/>
      </c:valAx>
      <c:valAx>
        <c:axId val="8841202"/>
        <c:scaling>
          <c:orientation val="minMax"/>
          <c:max val="6"/>
          <c:min val="-2"/>
        </c:scaling>
        <c:delete val="0"/>
        <c:axPos val="l"/>
        <c:majorGridlines>
          <c:spPr>
            <a:ln w="648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85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850" spc="-1" strike="noStrike">
                    <a:solidFill>
                      <a:srgbClr val="000000"/>
                    </a:solidFill>
                    <a:latin typeface="Arial"/>
                  </a:rPr>
                  <a:t>VACÍOS Va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6402095"/>
        <c:crosses val="min"/>
        <c:crossBetween val="midCat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000000"/>
                </a:solidFill>
                <a:latin typeface="Arial"/>
              </a:defRPr>
            </a:pPr>
            <a:r>
              <a:rPr b="1" sz="1000" spc="-1" strike="noStrike">
                <a:solidFill>
                  <a:srgbClr val="000000"/>
                </a:solidFill>
                <a:latin typeface="Arial"/>
              </a:rPr>
              <a:t>% VACÍOS LLENOS CON ASFALTO  VS. % DE ASFALTO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"Ajuste"</c:f>
              <c:strCache>
                <c:ptCount val="1"/>
                <c:pt idx="0">
                  <c:v>Ajuste</c:v>
                </c:pt>
              </c:strCache>
            </c:strRef>
          </c:tx>
          <c:spPr>
            <a:solidFill>
              <a:srgbClr val="000000"/>
            </a:solidFill>
            <a:ln w="126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Datos_Graficas!$A$4:$A$34</c:f>
              <c:numCache>
                <c:formatCode>0.00</c:formatCode>
                <c:ptCount val="31"/>
                <c:pt idx="0">
                  <c:v>5.5</c:v>
                </c:pt>
                <c:pt idx="1">
                  <c:v>5.65</c:v>
                </c:pt>
                <c:pt idx="2">
                  <c:v>5.8</c:v>
                </c:pt>
                <c:pt idx="3">
                  <c:v>5.95</c:v>
                </c:pt>
                <c:pt idx="4">
                  <c:v>6.1</c:v>
                </c:pt>
                <c:pt idx="5">
                  <c:v>6.25</c:v>
                </c:pt>
                <c:pt idx="6">
                  <c:v>6.4</c:v>
                </c:pt>
                <c:pt idx="7">
                  <c:v>6.55</c:v>
                </c:pt>
                <c:pt idx="8">
                  <c:v>6.7</c:v>
                </c:pt>
                <c:pt idx="9">
                  <c:v>6.85</c:v>
                </c:pt>
                <c:pt idx="10">
                  <c:v>7</c:v>
                </c:pt>
                <c:pt idx="11">
                  <c:v>7.15</c:v>
                </c:pt>
                <c:pt idx="12">
                  <c:v>7.3</c:v>
                </c:pt>
                <c:pt idx="13">
                  <c:v>7.45</c:v>
                </c:pt>
                <c:pt idx="14">
                  <c:v>7.6</c:v>
                </c:pt>
                <c:pt idx="15">
                  <c:v>7.75</c:v>
                </c:pt>
                <c:pt idx="16">
                  <c:v>7.9</c:v>
                </c:pt>
                <c:pt idx="17">
                  <c:v>8.05</c:v>
                </c:pt>
                <c:pt idx="18">
                  <c:v>8.2</c:v>
                </c:pt>
                <c:pt idx="19">
                  <c:v>8.35</c:v>
                </c:pt>
                <c:pt idx="20">
                  <c:v>8.5</c:v>
                </c:pt>
                <c:pt idx="21">
                  <c:v>8.65</c:v>
                </c:pt>
                <c:pt idx="22">
                  <c:v>8.8</c:v>
                </c:pt>
                <c:pt idx="23">
                  <c:v>8.95</c:v>
                </c:pt>
                <c:pt idx="24">
                  <c:v>9.1</c:v>
                </c:pt>
                <c:pt idx="25">
                  <c:v>9.25</c:v>
                </c:pt>
                <c:pt idx="26">
                  <c:v>9.4</c:v>
                </c:pt>
                <c:pt idx="27">
                  <c:v>9.55</c:v>
                </c:pt>
                <c:pt idx="28">
                  <c:v>9.7</c:v>
                </c:pt>
                <c:pt idx="29">
                  <c:v>9.85</c:v>
                </c:pt>
                <c:pt idx="30">
                  <c:v>10</c:v>
                </c:pt>
              </c:numCache>
            </c:numRef>
          </c:xVal>
          <c:yVal>
            <c:numRef>
              <c:f>Datos_Graficas!$N$4:$N$34</c:f>
              <c:numCache>
                <c:formatCode>0.0</c:formatCode>
                <c:ptCount val="31"/>
                <c:pt idx="0">
                  <c:v>73.3429311270575</c:v>
                </c:pt>
                <c:pt idx="1">
                  <c:v>74.6055150641918</c:v>
                </c:pt>
                <c:pt idx="2">
                  <c:v>75.8547592833012</c:v>
                </c:pt>
                <c:pt idx="3">
                  <c:v>77.0906637843856</c:v>
                </c:pt>
                <c:pt idx="4">
                  <c:v>78.3132285674452</c:v>
                </c:pt>
                <c:pt idx="5">
                  <c:v>79.5224536324798</c:v>
                </c:pt>
                <c:pt idx="6">
                  <c:v>80.7183389794896</c:v>
                </c:pt>
                <c:pt idx="7">
                  <c:v>81.9008846084744</c:v>
                </c:pt>
                <c:pt idx="8">
                  <c:v>83.0700905194343</c:v>
                </c:pt>
                <c:pt idx="9">
                  <c:v>84.2259567123693</c:v>
                </c:pt>
                <c:pt idx="10">
                  <c:v>85.3684831872794</c:v>
                </c:pt>
                <c:pt idx="11">
                  <c:v>86.4976699441645</c:v>
                </c:pt>
                <c:pt idx="12">
                  <c:v>87.6135169830248</c:v>
                </c:pt>
                <c:pt idx="13">
                  <c:v>88.7160243038601</c:v>
                </c:pt>
                <c:pt idx="14">
                  <c:v>89.8051919066706</c:v>
                </c:pt>
                <c:pt idx="15">
                  <c:v>90.8810197914561</c:v>
                </c:pt>
                <c:pt idx="16">
                  <c:v>91.9435079582167</c:v>
                </c:pt>
                <c:pt idx="17">
                  <c:v>92.9926564069524</c:v>
                </c:pt>
                <c:pt idx="18">
                  <c:v>94.0284651376631</c:v>
                </c:pt>
                <c:pt idx="19">
                  <c:v>95.050934150349</c:v>
                </c:pt>
                <c:pt idx="20">
                  <c:v>96.0600634450099</c:v>
                </c:pt>
                <c:pt idx="21">
                  <c:v>97.055853021646</c:v>
                </c:pt>
                <c:pt idx="22">
                  <c:v>98.0383028802571</c:v>
                </c:pt>
                <c:pt idx="23">
                  <c:v>99.0074130208433</c:v>
                </c:pt>
                <c:pt idx="24">
                  <c:v>99.9631834434046</c:v>
                </c:pt>
                <c:pt idx="25">
                  <c:v>100.905614147941</c:v>
                </c:pt>
                <c:pt idx="26">
                  <c:v>101.834705134452</c:v>
                </c:pt>
                <c:pt idx="27">
                  <c:v>102.750456402939</c:v>
                </c:pt>
                <c:pt idx="28">
                  <c:v>103.652867953401</c:v>
                </c:pt>
                <c:pt idx="29">
                  <c:v>104.541939785837</c:v>
                </c:pt>
                <c:pt idx="30">
                  <c:v>105.417671900249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"Ensayo"</c:f>
              <c:strCache>
                <c:ptCount val="1"/>
                <c:pt idx="0">
                  <c:v>Ensayo</c:v>
                </c:pt>
              </c:strCache>
            </c:strRef>
          </c:tx>
          <c:spPr>
            <a:solidFill>
              <a:srgbClr val="000080"/>
            </a:solidFill>
            <a:ln w="28440">
              <a:noFill/>
            </a:ln>
          </c:spPr>
          <c:marker>
            <c:symbol val="diamond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Diseno_Marshall!$B$17:$B$21</c:f>
              <c:numCache>
                <c:formatCode>0.0</c:formatCode>
                <c:ptCount val="5"/>
                <c:pt idx="0">
                  <c:v>5.5</c:v>
                </c:pt>
                <c:pt idx="1">
                  <c:v>6</c:v>
                </c:pt>
                <c:pt idx="2">
                  <c:v>6.5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Diseno_Marshall!$T$17:$T$21</c:f>
              <c:numCache>
                <c:formatCode>0.0</c:formatCode>
                <c:ptCount val="5"/>
                <c:pt idx="0">
                  <c:v>77.4984990994597</c:v>
                </c:pt>
                <c:pt idx="1">
                  <c:v>71.6311931041457</c:v>
                </c:pt>
                <c:pt idx="2">
                  <c:v>81.545833691486</c:v>
                </c:pt>
                <c:pt idx="3">
                  <c:v>94.9654580965457</c:v>
                </c:pt>
                <c:pt idx="4">
                  <c:v>104.771893976603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"Lectura"</c:f>
              <c:strCache>
                <c:ptCount val="1"/>
                <c:pt idx="0">
                  <c:v>Lectura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Pt>
            <c:idx val="2"/>
            <c:marker>
              <c:symbol val="none"/>
            </c:marker>
          </c:dPt>
          <c:dLbls>
            <c:dLbl>
              <c:idx val="2"/>
              <c:numFmt formatCode="0.0" sourceLinked="1"/>
              <c:spPr>
                <a:solidFill>
                  <a:srgbClr val="FFFFFF"/>
                </a:solidFill>
                <a:ln w="9360">
                  <a:solidFill>
                    <a:srgbClr val="0"/>
                  </a:solidFill>
                </a:ln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Datos_Graficas!$N$43:$N$45</c:f>
              <c:numCache>
                <c:formatCode>0.0</c:formatCode>
                <c:ptCount val="3"/>
                <c:pt idx="0">
                  <c:v>6</c:v>
                </c:pt>
                <c:pt idx="1">
                  <c:v>6</c:v>
                </c:pt>
                <c:pt idx="2">
                  <c:v>5</c:v>
                </c:pt>
              </c:numCache>
            </c:numRef>
          </c:xVal>
          <c:yVal>
            <c:numRef>
              <c:f>Datos_Graficas!$O$43:$O$45</c:f>
              <c:numCache>
                <c:formatCode>0.0</c:formatCode>
                <c:ptCount val="3"/>
                <c:pt idx="0">
                  <c:v>60</c:v>
                </c:pt>
                <c:pt idx="1">
                  <c:v>77.4996675696305</c:v>
                </c:pt>
                <c:pt idx="2">
                  <c:v>77.4996675696305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Datos_Graficas!$N$46</c:f>
              <c:strCache>
                <c:ptCount val="1"/>
                <c:pt idx="0">
                  <c:v>6.0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spPr>
                <a:solidFill>
                  <a:srgbClr val="FFFFFF"/>
                </a:solidFill>
                <a:ln w="9360">
                  <a:solidFill>
                    <a:srgbClr val="0"/>
                  </a:solidFill>
                </a:ln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Datos_Graficas!$N$43</c:f>
              <c:numCache>
                <c:formatCode>0.0</c:formatCode>
                <c:ptCount val="1"/>
                <c:pt idx="0">
                  <c:v>6</c:v>
                </c:pt>
              </c:numCache>
            </c:numRef>
          </c:xVal>
          <c:yVal>
            <c:numRef>
              <c:f>Datos_Graficas!$O$43</c:f>
              <c:numCache>
                <c:formatCode>0.0</c:formatCode>
                <c:ptCount val="1"/>
                <c:pt idx="0">
                  <c:v>60</c:v>
                </c:pt>
              </c:numCache>
            </c:numRef>
          </c:yVal>
          <c:smooth val="0"/>
        </c:ser>
        <c:axId val="35338463"/>
        <c:axId val="27781627"/>
      </c:scatterChart>
      <c:valAx>
        <c:axId val="35338463"/>
        <c:scaling>
          <c:orientation val="minMax"/>
          <c:max val="10.5"/>
          <c:min val="5"/>
        </c:scaling>
        <c:delete val="0"/>
        <c:axPos val="b"/>
        <c:majorGridlines>
          <c:spPr>
            <a:ln w="6480">
              <a:solidFill>
                <a:srgbClr val="000000"/>
              </a:solidFill>
              <a:round/>
            </a:ln>
          </c:spPr>
        </c:majorGridlines>
        <c:minorGridlines>
          <c:spPr>
            <a:ln w="3240">
              <a:solidFill>
                <a:srgbClr val="000000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b="1" sz="85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850" spc="-1" strike="noStrike">
                    <a:solidFill>
                      <a:srgbClr val="000000"/>
                    </a:solidFill>
                    <a:latin typeface="Arial"/>
                  </a:rPr>
                  <a:t>ASFALTO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7781627"/>
        <c:crosses val="min"/>
        <c:crossBetween val="midCat"/>
        <c:majorUnit val="0.5"/>
      </c:valAx>
      <c:valAx>
        <c:axId val="27781627"/>
        <c:scaling>
          <c:orientation val="minMax"/>
          <c:max val="110"/>
          <c:min val="60"/>
        </c:scaling>
        <c:delete val="0"/>
        <c:axPos val="l"/>
        <c:majorGridlines>
          <c:spPr>
            <a:ln w="648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85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850" spc="-1" strike="noStrike">
                    <a:solidFill>
                      <a:srgbClr val="000000"/>
                    </a:solidFill>
                    <a:latin typeface="Arial"/>
                  </a:rPr>
                  <a:t>VACÍOS LLENOS VFA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5338463"/>
        <c:crosses val="min"/>
        <c:crossBetween val="midCat"/>
        <c:majorUnit val="10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000000"/>
                </a:solidFill>
                <a:latin typeface="Arial"/>
              </a:defRPr>
            </a:pPr>
            <a:r>
              <a:rPr b="1" sz="1000" spc="-1" strike="noStrike">
                <a:solidFill>
                  <a:srgbClr val="000000"/>
                </a:solidFill>
                <a:latin typeface="Arial"/>
              </a:rPr>
              <a:t>% VACÍOS DEL AGREGADO MINERAL  VS. % DE ASFALTO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"Ajuste"</c:f>
              <c:strCache>
                <c:ptCount val="1"/>
                <c:pt idx="0">
                  <c:v>Ajuste</c:v>
                </c:pt>
              </c:strCache>
            </c:strRef>
          </c:tx>
          <c:spPr>
            <a:solidFill>
              <a:srgbClr val="000000"/>
            </a:solidFill>
            <a:ln w="126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Datos_Graficas!$A$4:$A$34</c:f>
              <c:numCache>
                <c:formatCode>0.00</c:formatCode>
                <c:ptCount val="31"/>
                <c:pt idx="0">
                  <c:v>5.5</c:v>
                </c:pt>
                <c:pt idx="1">
                  <c:v>5.65</c:v>
                </c:pt>
                <c:pt idx="2">
                  <c:v>5.8</c:v>
                </c:pt>
                <c:pt idx="3">
                  <c:v>5.95</c:v>
                </c:pt>
                <c:pt idx="4">
                  <c:v>6.1</c:v>
                </c:pt>
                <c:pt idx="5">
                  <c:v>6.25</c:v>
                </c:pt>
                <c:pt idx="6">
                  <c:v>6.4</c:v>
                </c:pt>
                <c:pt idx="7">
                  <c:v>6.55</c:v>
                </c:pt>
                <c:pt idx="8">
                  <c:v>6.7</c:v>
                </c:pt>
                <c:pt idx="9">
                  <c:v>6.85</c:v>
                </c:pt>
                <c:pt idx="10">
                  <c:v>7</c:v>
                </c:pt>
                <c:pt idx="11">
                  <c:v>7.15</c:v>
                </c:pt>
                <c:pt idx="12">
                  <c:v>7.3</c:v>
                </c:pt>
                <c:pt idx="13">
                  <c:v>7.45</c:v>
                </c:pt>
                <c:pt idx="14">
                  <c:v>7.6</c:v>
                </c:pt>
                <c:pt idx="15">
                  <c:v>7.75</c:v>
                </c:pt>
                <c:pt idx="16">
                  <c:v>7.9</c:v>
                </c:pt>
                <c:pt idx="17">
                  <c:v>8.05</c:v>
                </c:pt>
                <c:pt idx="18">
                  <c:v>8.2</c:v>
                </c:pt>
                <c:pt idx="19">
                  <c:v>8.35</c:v>
                </c:pt>
                <c:pt idx="20">
                  <c:v>8.5</c:v>
                </c:pt>
                <c:pt idx="21">
                  <c:v>8.65</c:v>
                </c:pt>
                <c:pt idx="22">
                  <c:v>8.8</c:v>
                </c:pt>
                <c:pt idx="23">
                  <c:v>8.95</c:v>
                </c:pt>
                <c:pt idx="24">
                  <c:v>9.1</c:v>
                </c:pt>
                <c:pt idx="25">
                  <c:v>9.25</c:v>
                </c:pt>
                <c:pt idx="26">
                  <c:v>9.4</c:v>
                </c:pt>
                <c:pt idx="27">
                  <c:v>9.55</c:v>
                </c:pt>
                <c:pt idx="28">
                  <c:v>9.7</c:v>
                </c:pt>
                <c:pt idx="29">
                  <c:v>9.85</c:v>
                </c:pt>
                <c:pt idx="30">
                  <c:v>10</c:v>
                </c:pt>
              </c:numCache>
            </c:numRef>
          </c:xVal>
          <c:yVal>
            <c:numRef>
              <c:f>Datos_Graficas!$Q$4:$Q$34</c:f>
              <c:numCache>
                <c:formatCode>0.0</c:formatCode>
                <c:ptCount val="31"/>
                <c:pt idx="0">
                  <c:v>14.8795112559337</c:v>
                </c:pt>
                <c:pt idx="1">
                  <c:v>15.0470055443678</c:v>
                </c:pt>
                <c:pt idx="2">
                  <c:v>15.213275017413</c:v>
                </c:pt>
                <c:pt idx="3">
                  <c:v>15.3783196750692</c:v>
                </c:pt>
                <c:pt idx="4">
                  <c:v>15.5421395173365</c:v>
                </c:pt>
                <c:pt idx="5">
                  <c:v>15.704734544215</c:v>
                </c:pt>
                <c:pt idx="6">
                  <c:v>15.8661047557044</c:v>
                </c:pt>
                <c:pt idx="7">
                  <c:v>16.026250151805</c:v>
                </c:pt>
                <c:pt idx="8">
                  <c:v>16.1851707325167</c:v>
                </c:pt>
                <c:pt idx="9">
                  <c:v>16.3428664978394</c:v>
                </c:pt>
                <c:pt idx="10">
                  <c:v>16.4993374477732</c:v>
                </c:pt>
                <c:pt idx="11">
                  <c:v>16.6545835823181</c:v>
                </c:pt>
                <c:pt idx="12">
                  <c:v>16.8086049014741</c:v>
                </c:pt>
                <c:pt idx="13">
                  <c:v>16.9614014052411</c:v>
                </c:pt>
                <c:pt idx="14">
                  <c:v>17.1129730936192</c:v>
                </c:pt>
                <c:pt idx="15">
                  <c:v>17.2633199666084</c:v>
                </c:pt>
                <c:pt idx="16">
                  <c:v>17.4124420242087</c:v>
                </c:pt>
                <c:pt idx="17">
                  <c:v>17.5603392664201</c:v>
                </c:pt>
                <c:pt idx="18">
                  <c:v>17.7070116932425</c:v>
                </c:pt>
                <c:pt idx="19">
                  <c:v>17.8524593046761</c:v>
                </c:pt>
                <c:pt idx="20">
                  <c:v>17.9966821007207</c:v>
                </c:pt>
                <c:pt idx="21">
                  <c:v>18.1396800813763</c:v>
                </c:pt>
                <c:pt idx="22">
                  <c:v>18.2814532466431</c:v>
                </c:pt>
                <c:pt idx="23">
                  <c:v>18.422001596521</c:v>
                </c:pt>
                <c:pt idx="24">
                  <c:v>18.5613251310099</c:v>
                </c:pt>
                <c:pt idx="25">
                  <c:v>18.6994238501099</c:v>
                </c:pt>
                <c:pt idx="26">
                  <c:v>18.836297753821</c:v>
                </c:pt>
                <c:pt idx="27">
                  <c:v>18.9719468421431</c:v>
                </c:pt>
                <c:pt idx="28">
                  <c:v>19.1063711150764</c:v>
                </c:pt>
                <c:pt idx="29">
                  <c:v>19.2395705726207</c:v>
                </c:pt>
                <c:pt idx="30">
                  <c:v>19.3715452147761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"Ensayo"</c:f>
              <c:strCache>
                <c:ptCount val="1"/>
                <c:pt idx="0">
                  <c:v>Ensayo</c:v>
                </c:pt>
              </c:strCache>
            </c:strRef>
          </c:tx>
          <c:spPr>
            <a:solidFill>
              <a:srgbClr val="000080"/>
            </a:solidFill>
            <a:ln w="28440">
              <a:noFill/>
            </a:ln>
          </c:spPr>
          <c:marker>
            <c:symbol val="diamond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Diseno_Marshall!$B$17:$B$21</c:f>
              <c:numCache>
                <c:formatCode>0.0</c:formatCode>
                <c:ptCount val="5"/>
                <c:pt idx="0">
                  <c:v>5.5</c:v>
                </c:pt>
                <c:pt idx="1">
                  <c:v>6</c:v>
                </c:pt>
                <c:pt idx="2">
                  <c:v>6.5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Diseno_Marshall!$S$17:$S$21</c:f>
              <c:numCache>
                <c:formatCode>0.00</c:formatCode>
                <c:ptCount val="5"/>
                <c:pt idx="0">
                  <c:v>14.1580534022394</c:v>
                </c:pt>
                <c:pt idx="1">
                  <c:v>16.4652538118223</c:v>
                </c:pt>
                <c:pt idx="2">
                  <c:v>15.9461224241872</c:v>
                </c:pt>
                <c:pt idx="3">
                  <c:v>17.1171171171171</c:v>
                </c:pt>
                <c:pt idx="4">
                  <c:v>19.4817528150862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"Lectura"</c:f>
              <c:strCache>
                <c:ptCount val="1"/>
                <c:pt idx="0">
                  <c:v>Lectura</c:v>
                </c:pt>
              </c:strCache>
            </c:strRef>
          </c:tx>
          <c:spPr>
            <a:solidFill>
              <a:srgbClr val="c55a11"/>
            </a:solidFill>
            <a:ln w="19080">
              <a:solidFill>
                <a:srgbClr val="c55a11"/>
              </a:solidFill>
              <a:round/>
            </a:ln>
          </c:spPr>
          <c:marker>
            <c:symbol val="none"/>
          </c:marker>
          <c:dPt>
            <c:idx val="2"/>
            <c:marker>
              <c:symbol val="none"/>
            </c:marker>
          </c:dPt>
          <c:dLbls>
            <c:dLbl>
              <c:idx val="2"/>
              <c:numFmt formatCode="0.0" sourceLinked="1"/>
              <c:spPr>
                <a:solidFill>
                  <a:srgbClr val="FFFFFF"/>
                </a:solidFill>
                <a:ln w="9360">
                  <a:solidFill>
                    <a:srgbClr val="0"/>
                  </a:solidFill>
                </a:ln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Datos_Graficas!$Q$43:$Q$45</c:f>
              <c:numCache>
                <c:formatCode>0.0</c:formatCode>
                <c:ptCount val="3"/>
                <c:pt idx="0">
                  <c:v>6</c:v>
                </c:pt>
                <c:pt idx="1">
                  <c:v>6</c:v>
                </c:pt>
                <c:pt idx="2">
                  <c:v>5</c:v>
                </c:pt>
              </c:numCache>
            </c:numRef>
          </c:xVal>
          <c:yVal>
            <c:numRef>
              <c:f>Datos_Graficas!$R$43:$R$45</c:f>
              <c:numCache>
                <c:formatCode>0.0</c:formatCode>
                <c:ptCount val="3"/>
                <c:pt idx="0">
                  <c:v>12</c:v>
                </c:pt>
                <c:pt idx="1">
                  <c:v>15.4330623797571</c:v>
                </c:pt>
                <c:pt idx="2">
                  <c:v>15.4330623797571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Datos_Graficas!$Q$46</c:f>
              <c:strCache>
                <c:ptCount val="1"/>
                <c:pt idx="0">
                  <c:v>6.0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spPr>
                <a:solidFill>
                  <a:srgbClr val="FFFFFF"/>
                </a:solidFill>
                <a:ln w="9360">
                  <a:solidFill>
                    <a:srgbClr val="0"/>
                  </a:solidFill>
                </a:ln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Datos_Graficas!$Q$43</c:f>
              <c:numCache>
                <c:formatCode>0.0</c:formatCode>
                <c:ptCount val="1"/>
                <c:pt idx="0">
                  <c:v>6</c:v>
                </c:pt>
              </c:numCache>
            </c:numRef>
          </c:xVal>
          <c:yVal>
            <c:numRef>
              <c:f>Datos_Graficas!$R$43</c:f>
              <c:numCache>
                <c:formatCode>0.0</c:formatCode>
                <c:ptCount val="1"/>
                <c:pt idx="0">
                  <c:v>12</c:v>
                </c:pt>
              </c:numCache>
            </c:numRef>
          </c:yVal>
          <c:smooth val="0"/>
        </c:ser>
        <c:axId val="48650961"/>
        <c:axId val="98925791"/>
      </c:scatterChart>
      <c:valAx>
        <c:axId val="48650961"/>
        <c:scaling>
          <c:orientation val="minMax"/>
          <c:max val="10.5"/>
          <c:min val="5"/>
        </c:scaling>
        <c:delete val="0"/>
        <c:axPos val="b"/>
        <c:majorGridlines>
          <c:spPr>
            <a:ln w="6480">
              <a:solidFill>
                <a:srgbClr val="000000"/>
              </a:solidFill>
              <a:round/>
            </a:ln>
          </c:spPr>
        </c:majorGridlines>
        <c:minorGridlines>
          <c:spPr>
            <a:ln w="3240">
              <a:solidFill>
                <a:srgbClr val="000000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b="1" sz="85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850" spc="-1" strike="noStrike">
                    <a:solidFill>
                      <a:srgbClr val="000000"/>
                    </a:solidFill>
                    <a:latin typeface="Arial"/>
                  </a:rPr>
                  <a:t>ASFALTO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8925791"/>
        <c:crosses val="min"/>
        <c:crossBetween val="midCat"/>
        <c:majorUnit val="0.5"/>
      </c:valAx>
      <c:valAx>
        <c:axId val="98925791"/>
        <c:scaling>
          <c:orientation val="minMax"/>
          <c:max val="21"/>
          <c:min val="12"/>
        </c:scaling>
        <c:delete val="0"/>
        <c:axPos val="l"/>
        <c:majorGridlines>
          <c:spPr>
            <a:ln w="648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85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850" spc="-1" strike="noStrike">
                    <a:solidFill>
                      <a:srgbClr val="000000"/>
                    </a:solidFill>
                    <a:latin typeface="Arial"/>
                  </a:rPr>
                  <a:t>VMA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8650961"/>
        <c:crosses val="min"/>
        <c:crossBetween val="midCat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131040</xdr:rowOff>
    </xdr:from>
    <xdr:to>
      <xdr:col>5</xdr:col>
      <xdr:colOff>719640</xdr:colOff>
      <xdr:row>22</xdr:row>
      <xdr:rowOff>119880</xdr:rowOff>
    </xdr:to>
    <xdr:graphicFrame>
      <xdr:nvGraphicFramePr>
        <xdr:cNvPr id="0" name="Chart 1"/>
        <xdr:cNvGraphicFramePr/>
      </xdr:nvGraphicFramePr>
      <xdr:xfrm>
        <a:off x="0" y="950040"/>
        <a:ext cx="4513680" cy="341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4</xdr:row>
      <xdr:rowOff>131040</xdr:rowOff>
    </xdr:from>
    <xdr:to>
      <xdr:col>12</xdr:col>
      <xdr:colOff>719640</xdr:colOff>
      <xdr:row>22</xdr:row>
      <xdr:rowOff>119880</xdr:rowOff>
    </xdr:to>
    <xdr:graphicFrame>
      <xdr:nvGraphicFramePr>
        <xdr:cNvPr id="1" name="Chart 2"/>
        <xdr:cNvGraphicFramePr/>
      </xdr:nvGraphicFramePr>
      <xdr:xfrm>
        <a:off x="5311800" y="950040"/>
        <a:ext cx="4513680" cy="341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</xdr:row>
      <xdr:rowOff>131040</xdr:rowOff>
    </xdr:from>
    <xdr:to>
      <xdr:col>19</xdr:col>
      <xdr:colOff>719280</xdr:colOff>
      <xdr:row>22</xdr:row>
      <xdr:rowOff>119880</xdr:rowOff>
    </xdr:to>
    <xdr:graphicFrame>
      <xdr:nvGraphicFramePr>
        <xdr:cNvPr id="2" name="Chart 3"/>
        <xdr:cNvGraphicFramePr/>
      </xdr:nvGraphicFramePr>
      <xdr:xfrm>
        <a:off x="10623600" y="950040"/>
        <a:ext cx="4513320" cy="341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24</xdr:row>
      <xdr:rowOff>130680</xdr:rowOff>
    </xdr:from>
    <xdr:to>
      <xdr:col>5</xdr:col>
      <xdr:colOff>719640</xdr:colOff>
      <xdr:row>42</xdr:row>
      <xdr:rowOff>119520</xdr:rowOff>
    </xdr:to>
    <xdr:graphicFrame>
      <xdr:nvGraphicFramePr>
        <xdr:cNvPr id="3" name="Chart 4"/>
        <xdr:cNvGraphicFramePr/>
      </xdr:nvGraphicFramePr>
      <xdr:xfrm>
        <a:off x="0" y="4759920"/>
        <a:ext cx="4513680" cy="341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24</xdr:row>
      <xdr:rowOff>130680</xdr:rowOff>
    </xdr:from>
    <xdr:to>
      <xdr:col>12</xdr:col>
      <xdr:colOff>719640</xdr:colOff>
      <xdr:row>42</xdr:row>
      <xdr:rowOff>119520</xdr:rowOff>
    </xdr:to>
    <xdr:graphicFrame>
      <xdr:nvGraphicFramePr>
        <xdr:cNvPr id="4" name="Chart 5"/>
        <xdr:cNvGraphicFramePr/>
      </xdr:nvGraphicFramePr>
      <xdr:xfrm>
        <a:off x="5311800" y="4759920"/>
        <a:ext cx="4513680" cy="341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0</xdr:colOff>
      <xdr:row>24</xdr:row>
      <xdr:rowOff>130680</xdr:rowOff>
    </xdr:from>
    <xdr:to>
      <xdr:col>19</xdr:col>
      <xdr:colOff>719280</xdr:colOff>
      <xdr:row>42</xdr:row>
      <xdr:rowOff>119520</xdr:rowOff>
    </xdr:to>
    <xdr:graphicFrame>
      <xdr:nvGraphicFramePr>
        <xdr:cNvPr id="5" name="Chart 6"/>
        <xdr:cNvGraphicFramePr/>
      </xdr:nvGraphicFramePr>
      <xdr:xfrm>
        <a:off x="10623600" y="4759920"/>
        <a:ext cx="4513320" cy="341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7"/>
    <col collapsed="false" customWidth="true" hidden="false" outlineLevel="0" max="6" min="4" style="1" width="6"/>
    <col collapsed="false" customWidth="true" hidden="false" outlineLevel="0" max="7" min="7" style="1" width="9"/>
    <col collapsed="false" customWidth="true" hidden="false" outlineLevel="0" max="8" min="8" style="1" width="8"/>
    <col collapsed="false" customWidth="true" hidden="false" outlineLevel="0" max="9" min="9" style="1" width="12"/>
    <col collapsed="false" customWidth="true" hidden="false" outlineLevel="0" max="14" min="10" style="1" width="10"/>
    <col collapsed="false" customWidth="true" hidden="false" outlineLevel="0" max="15" min="15" style="1" width="9"/>
    <col collapsed="false" customWidth="true" hidden="false" outlineLevel="0" max="17" min="16" style="1" width="8"/>
    <col collapsed="false" customWidth="true" hidden="false" outlineLevel="0" max="21" min="18" style="1" width="7"/>
    <col collapsed="false" customWidth="true" hidden="false" outlineLevel="0" max="22" min="22" style="1" width="9"/>
    <col collapsed="false" customWidth="true" hidden="false" outlineLevel="0" max="23" min="23" style="1" width="10"/>
    <col collapsed="false" customWidth="true" hidden="false" outlineLevel="0" max="24" min="24" style="1" width="9"/>
    <col collapsed="false" customWidth="true" hidden="false" outlineLevel="0" max="25" min="25" style="1" width="7"/>
    <col collapsed="false" customWidth="true" hidden="false" outlineLevel="0" max="28" min="26" style="1" width="9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4" t="s">
        <v>2</v>
      </c>
      <c r="C3" s="1" t="s">
        <v>3</v>
      </c>
    </row>
    <row r="4" customFormat="false" ht="15" hidden="false" customHeight="true" outlineLevel="0" collapsed="false">
      <c r="A4" s="4" t="s">
        <v>4</v>
      </c>
      <c r="C4" s="1" t="s">
        <v>5</v>
      </c>
    </row>
    <row r="5" customFormat="false" ht="15" hidden="false" customHeight="true" outlineLevel="0" collapsed="false">
      <c r="A5" s="4" t="s">
        <v>6</v>
      </c>
      <c r="C5" s="1" t="s">
        <v>7</v>
      </c>
    </row>
    <row r="6" customFormat="false" ht="15" hidden="false" customHeight="true" outlineLevel="0" collapsed="false">
      <c r="A6" s="4" t="s">
        <v>8</v>
      </c>
      <c r="C6" s="1" t="s">
        <v>9</v>
      </c>
    </row>
    <row r="8" customFormat="false" ht="15" hidden="false" customHeight="true" outlineLevel="0" collapsed="false">
      <c r="A8" s="4" t="s">
        <v>10</v>
      </c>
      <c r="G8" s="4" t="s">
        <v>11</v>
      </c>
      <c r="J8" s="5" t="s">
        <v>12</v>
      </c>
      <c r="K8" s="5" t="s">
        <v>13</v>
      </c>
    </row>
    <row r="9" customFormat="false" ht="15" hidden="false" customHeight="true" outlineLevel="0" collapsed="false">
      <c r="A9" s="6" t="s">
        <v>14</v>
      </c>
      <c r="B9" s="6"/>
      <c r="C9" s="6"/>
      <c r="D9" s="7" t="n">
        <v>1.023</v>
      </c>
      <c r="G9" s="6" t="s">
        <v>15</v>
      </c>
      <c r="H9" s="6"/>
      <c r="I9" s="6"/>
      <c r="J9" s="8" t="n">
        <v>5.44</v>
      </c>
    </row>
    <row r="10" customFormat="false" ht="15" hidden="false" customHeight="true" outlineLevel="0" collapsed="false">
      <c r="A10" s="6" t="s">
        <v>16</v>
      </c>
      <c r="B10" s="6"/>
      <c r="C10" s="6"/>
      <c r="D10" s="7" t="n">
        <v>2.43</v>
      </c>
      <c r="G10" s="6" t="s">
        <v>17</v>
      </c>
      <c r="H10" s="6"/>
      <c r="I10" s="6"/>
      <c r="J10" s="8" t="n">
        <v>2</v>
      </c>
      <c r="K10" s="8" t="n">
        <v>4</v>
      </c>
    </row>
    <row r="11" customFormat="false" ht="15" hidden="false" customHeight="true" outlineLevel="0" collapsed="false">
      <c r="A11" s="6" t="s">
        <v>18</v>
      </c>
      <c r="B11" s="6"/>
      <c r="C11" s="6"/>
      <c r="D11" s="9" t="n">
        <f aca="false">(100-E15)/(100/D15-E15/D9)</f>
        <v>2.45561029411765</v>
      </c>
      <c r="G11" s="6" t="s">
        <v>19</v>
      </c>
      <c r="H11" s="6"/>
      <c r="I11" s="6"/>
      <c r="J11" s="8" t="n">
        <v>3</v>
      </c>
      <c r="K11" s="8" t="n">
        <v>5</v>
      </c>
    </row>
    <row r="12" customFormat="false" ht="15" hidden="false" customHeight="true" outlineLevel="0" collapsed="false">
      <c r="A12" s="6" t="s">
        <v>20</v>
      </c>
      <c r="B12" s="6"/>
      <c r="C12" s="6"/>
      <c r="D12" s="10" t="n">
        <f aca="false">100*D9*(D11-D10)/(D10*D11)</f>
        <v>0.439060614499203</v>
      </c>
      <c r="G12" s="6" t="s">
        <v>21</v>
      </c>
      <c r="H12" s="6"/>
      <c r="I12" s="6"/>
      <c r="J12" s="8" t="n">
        <v>14</v>
      </c>
    </row>
    <row r="13" customFormat="false" ht="15" hidden="false" customHeight="true" outlineLevel="0" collapsed="false">
      <c r="A13" s="6" t="s">
        <v>22</v>
      </c>
      <c r="B13" s="6"/>
      <c r="C13" s="6"/>
      <c r="D13" s="7" t="n">
        <v>10.16</v>
      </c>
      <c r="G13" s="6" t="s">
        <v>23</v>
      </c>
      <c r="H13" s="6"/>
      <c r="I13" s="6"/>
      <c r="J13" s="8" t="n">
        <v>65</v>
      </c>
      <c r="K13" s="8" t="n">
        <v>78</v>
      </c>
    </row>
    <row r="14" customFormat="false" ht="15" hidden="false" customHeight="true" outlineLevel="0" collapsed="false">
      <c r="A14" s="6" t="s">
        <v>24</v>
      </c>
      <c r="B14" s="6"/>
      <c r="C14" s="6"/>
      <c r="D14" s="11" t="n">
        <v>2</v>
      </c>
      <c r="G14" s="6" t="s">
        <v>25</v>
      </c>
      <c r="H14" s="6"/>
      <c r="I14" s="6"/>
      <c r="J14" s="8" t="n">
        <v>4</v>
      </c>
    </row>
    <row r="15" customFormat="false" ht="15" hidden="false" customHeight="true" outlineLevel="0" collapsed="false">
      <c r="A15" s="6" t="s">
        <v>26</v>
      </c>
      <c r="B15" s="6"/>
      <c r="C15" s="6"/>
      <c r="D15" s="7" t="n">
        <v>2.28</v>
      </c>
      <c r="E15" s="11" t="n">
        <v>5.5</v>
      </c>
      <c r="G15" s="6" t="s">
        <v>27</v>
      </c>
      <c r="H15" s="6"/>
      <c r="I15" s="6"/>
      <c r="J15" s="8" t="n">
        <v>1700</v>
      </c>
      <c r="K15" s="8" t="n">
        <v>4000</v>
      </c>
    </row>
    <row r="16" customFormat="false" ht="42" hidden="false" customHeight="true" outlineLevel="0" collapsed="false">
      <c r="A16" s="12" t="s">
        <v>28</v>
      </c>
      <c r="B16" s="12" t="s">
        <v>29</v>
      </c>
      <c r="C16" s="12" t="s">
        <v>30</v>
      </c>
      <c r="D16" s="12" t="s">
        <v>31</v>
      </c>
      <c r="E16" s="12" t="s">
        <v>32</v>
      </c>
      <c r="F16" s="12" t="s">
        <v>33</v>
      </c>
      <c r="G16" s="12" t="s">
        <v>34</v>
      </c>
      <c r="H16" s="12" t="s">
        <v>35</v>
      </c>
      <c r="I16" s="12" t="s">
        <v>36</v>
      </c>
      <c r="J16" s="12" t="s">
        <v>37</v>
      </c>
      <c r="K16" s="12" t="s">
        <v>38</v>
      </c>
      <c r="L16" s="12" t="s">
        <v>39</v>
      </c>
      <c r="M16" s="12" t="s">
        <v>40</v>
      </c>
      <c r="N16" s="12" t="s">
        <v>41</v>
      </c>
      <c r="O16" s="12" t="s">
        <v>42</v>
      </c>
      <c r="P16" s="12" t="s">
        <v>43</v>
      </c>
      <c r="Q16" s="12" t="s">
        <v>44</v>
      </c>
      <c r="R16" s="12" t="s">
        <v>45</v>
      </c>
      <c r="S16" s="12" t="s">
        <v>46</v>
      </c>
      <c r="T16" s="12" t="s">
        <v>47</v>
      </c>
      <c r="U16" s="12" t="s">
        <v>48</v>
      </c>
      <c r="V16" s="12" t="s">
        <v>49</v>
      </c>
      <c r="W16" s="12" t="s">
        <v>50</v>
      </c>
      <c r="X16" s="12" t="s">
        <v>51</v>
      </c>
      <c r="Y16" s="12" t="s">
        <v>52</v>
      </c>
      <c r="Z16" s="12" t="s">
        <v>53</v>
      </c>
      <c r="AA16" s="12" t="s">
        <v>54</v>
      </c>
      <c r="AB16" s="12" t="s">
        <v>55</v>
      </c>
    </row>
    <row r="17" customFormat="false" ht="15" hidden="false" customHeight="true" outlineLevel="0" collapsed="false">
      <c r="A17" s="13" t="s">
        <v>56</v>
      </c>
      <c r="B17" s="14" t="n">
        <v>5.5</v>
      </c>
      <c r="C17" s="15" t="n">
        <f aca="false">100-B17</f>
        <v>94.5</v>
      </c>
      <c r="D17" s="13" t="n">
        <v>6.7</v>
      </c>
      <c r="E17" s="13" t="n">
        <v>6.4</v>
      </c>
      <c r="F17" s="13" t="n">
        <v>6.3</v>
      </c>
      <c r="G17" s="13" t="n">
        <v>6.6</v>
      </c>
      <c r="H17" s="16" t="n">
        <f aca="false">AVERAGE(D17:G17)</f>
        <v>6.5</v>
      </c>
      <c r="I17" s="17" t="n">
        <f aca="false">IFERROR(INDEX(Factor_Altura!$B$2:$B$34,MATCH(H17*10,Factor_Altura!$A$2:$A$34,1))+(H17*10-INDEX(Factor_Altura!$A$2:$A$34,MATCH(H17*10,Factor_Altura!$A$2:$A$34,1)))*(INDEX(Factor_Altura!$B$2:$B$34,MATCH(H17*10,Factor_Altura!$A$2:$A$34,1)+1)-INDEX(Factor_Altura!$B$2:$B$34,MATCH(H17*10,Factor_Altura!$A$2:$A$34,1)))/(INDEX(Factor_Altura!$A$2:$A$34,MATCH(H17*10,Factor_Altura!$A$2:$A$34,1)+1)-INDEX(Factor_Altura!$A$2:$A$34,MATCH(H17*10,Factor_Altura!$A$2:$A$34,1))),NA())</f>
        <v>0.9625</v>
      </c>
      <c r="J17" s="13" t="n">
        <v>1139</v>
      </c>
      <c r="K17" s="13" t="n">
        <v>1142</v>
      </c>
      <c r="L17" s="18" t="n">
        <f aca="false">ROUND(K17-J17/(AA17*AVERAGE(P18/AA18,P19/AA19,P20/AA20,P21/AA21)),0)</f>
        <v>626</v>
      </c>
      <c r="M17" s="18" t="n">
        <f aca="false">ROUND(K17-J17/(AA17*AVERAGE(P18/AA18,P19/AA19,P20/AA20,P21/AA21)),0)</f>
        <v>626</v>
      </c>
      <c r="N17" s="15" t="n">
        <f aca="false">AVERAGE(L17:M17)</f>
        <v>626</v>
      </c>
      <c r="O17" s="15" t="n">
        <f aca="false">K17-N17</f>
        <v>516</v>
      </c>
      <c r="P17" s="17" t="n">
        <f aca="false">J17/O17</f>
        <v>2.20736434108527</v>
      </c>
      <c r="Q17" s="17" t="n">
        <f aca="false">100/(B17/$D$9+C17/$D$11)</f>
        <v>2.28</v>
      </c>
      <c r="R17" s="16" t="n">
        <f aca="false">100*(Q17-P17)/Q17</f>
        <v>3.18577451380388</v>
      </c>
      <c r="S17" s="16" t="n">
        <f aca="false">100-P17*C17/$D$10</f>
        <v>14.1580534022394</v>
      </c>
      <c r="T17" s="15" t="n">
        <f aca="false">100*(S17-R17)/S17</f>
        <v>77.4984990994597</v>
      </c>
      <c r="U17" s="16" t="n">
        <f aca="false">B17-$D$12*C17/100</f>
        <v>5.08508771929825</v>
      </c>
      <c r="V17" s="13" t="n">
        <v>523</v>
      </c>
      <c r="W17" s="15" t="n">
        <f aca="false">V17*I17</f>
        <v>503.3875</v>
      </c>
      <c r="X17" s="16" t="n">
        <f aca="false">W17*9.80665/1000</f>
        <v>4.936545026875</v>
      </c>
      <c r="Y17" s="14" t="n">
        <v>3.5</v>
      </c>
      <c r="Z17" s="19" t="n">
        <f aca="false">W17/(Y17/10)</f>
        <v>1438.25</v>
      </c>
      <c r="AA17" s="17" t="n">
        <f aca="false">J17/(PI()*$D$13^2/4*H17)</f>
        <v>2.16138966340692</v>
      </c>
      <c r="AB17" s="16" t="n">
        <f aca="false">100*(K17-J17)/O17</f>
        <v>0.581395348837209</v>
      </c>
    </row>
    <row r="18" customFormat="false" ht="15" hidden="false" customHeight="true" outlineLevel="0" collapsed="false">
      <c r="A18" s="13" t="s">
        <v>57</v>
      </c>
      <c r="B18" s="14" t="n">
        <v>6</v>
      </c>
      <c r="C18" s="15" t="n">
        <f aca="false">100-B18</f>
        <v>94</v>
      </c>
      <c r="D18" s="13" t="n">
        <v>6.8</v>
      </c>
      <c r="E18" s="13" t="n">
        <v>6.7</v>
      </c>
      <c r="F18" s="13" t="n">
        <v>6.6</v>
      </c>
      <c r="G18" s="13" t="n">
        <v>6.6</v>
      </c>
      <c r="H18" s="16" t="n">
        <f aca="false">AVERAGE(D18:G18)</f>
        <v>6.675</v>
      </c>
      <c r="I18" s="17" t="n">
        <f aca="false">IFERROR(INDEX(Factor_Altura!$B$2:$B$34,MATCH(H18*10,Factor_Altura!$A$2:$A$34,1))+(H18*10-INDEX(Factor_Altura!$A$2:$A$34,MATCH(H18*10,Factor_Altura!$A$2:$A$34,1)))*(INDEX(Factor_Altura!$B$2:$B$34,MATCH(H18*10,Factor_Altura!$A$2:$A$34,1)+1)-INDEX(Factor_Altura!$B$2:$B$34,MATCH(H18*10,Factor_Altura!$A$2:$A$34,1)))/(INDEX(Factor_Altura!$A$2:$A$34,MATCH(H18*10,Factor_Altura!$A$2:$A$34,1)+1)-INDEX(Factor_Altura!$A$2:$A$34,MATCH(H18*10,Factor_Altura!$A$2:$A$34,1))),NA())</f>
        <v>0.92875</v>
      </c>
      <c r="J18" s="13" t="n">
        <v>1124</v>
      </c>
      <c r="K18" s="13" t="n">
        <v>1132</v>
      </c>
      <c r="L18" s="13" t="n">
        <v>609</v>
      </c>
      <c r="M18" s="13" t="n">
        <v>614</v>
      </c>
      <c r="N18" s="15" t="n">
        <f aca="false">AVERAGE(L18:M18)</f>
        <v>611.5</v>
      </c>
      <c r="O18" s="15" t="n">
        <f aca="false">K18-N18</f>
        <v>520.5</v>
      </c>
      <c r="P18" s="17" t="n">
        <f aca="false">J18/O18</f>
        <v>2.15946205571566</v>
      </c>
      <c r="Q18" s="17" t="n">
        <f aca="false">100/(B18/$D$9+C18/$D$11)</f>
        <v>2.26527286181168</v>
      </c>
      <c r="R18" s="16" t="n">
        <f aca="false">100*(Q18-P18)/Q18</f>
        <v>4.67099605878815</v>
      </c>
      <c r="S18" s="16" t="n">
        <f aca="false">100-P18*C18/$D$10</f>
        <v>16.4652538118223</v>
      </c>
      <c r="T18" s="15" t="n">
        <f aca="false">100*(S18-R18)/S18</f>
        <v>71.6311931041457</v>
      </c>
      <c r="U18" s="16" t="n">
        <f aca="false">B18-$D$12*C18/100</f>
        <v>5.58728302237075</v>
      </c>
      <c r="V18" s="13" t="n">
        <v>772</v>
      </c>
      <c r="W18" s="15" t="n">
        <f aca="false">V18*I18</f>
        <v>716.995</v>
      </c>
      <c r="X18" s="16" t="n">
        <f aca="false">W18*9.80665/1000</f>
        <v>7.03131901675</v>
      </c>
      <c r="Y18" s="14" t="n">
        <v>3.5</v>
      </c>
      <c r="Z18" s="19" t="n">
        <f aca="false">W18/(Y18/10)</f>
        <v>2048.55714285714</v>
      </c>
      <c r="AA18" s="17" t="n">
        <f aca="false">J18/(PI()*$D$13^2/4*H18)</f>
        <v>2.07700596565762</v>
      </c>
      <c r="AB18" s="16" t="n">
        <f aca="false">100*(K18-J18)/O18</f>
        <v>1.53698366954851</v>
      </c>
    </row>
    <row r="19" customFormat="false" ht="15" hidden="false" customHeight="true" outlineLevel="0" collapsed="false">
      <c r="A19" s="13" t="s">
        <v>58</v>
      </c>
      <c r="B19" s="14" t="n">
        <v>6.5</v>
      </c>
      <c r="C19" s="15" t="n">
        <f aca="false">100-B19</f>
        <v>93.5</v>
      </c>
      <c r="D19" s="13" t="n">
        <v>6.5</v>
      </c>
      <c r="E19" s="13" t="n">
        <v>6.9</v>
      </c>
      <c r="F19" s="13" t="n">
        <v>7</v>
      </c>
      <c r="G19" s="13" t="n">
        <v>6.8</v>
      </c>
      <c r="H19" s="16" t="n">
        <f aca="false">AVERAGE(D19:G19)</f>
        <v>6.8</v>
      </c>
      <c r="I19" s="17" t="n">
        <f aca="false">IFERROR(INDEX(Factor_Altura!$B$2:$B$34,MATCH(H19*10,Factor_Altura!$A$2:$A$34,1))+(H19*10-INDEX(Factor_Altura!$A$2:$A$34,MATCH(H19*10,Factor_Altura!$A$2:$A$34,1)))*(INDEX(Factor_Altura!$B$2:$B$34,MATCH(H19*10,Factor_Altura!$A$2:$A$34,1)+1)-INDEX(Factor_Altura!$B$2:$B$34,MATCH(H19*10,Factor_Altura!$A$2:$A$34,1)))/(INDEX(Factor_Altura!$A$2:$A$34,MATCH(H19*10,Factor_Altura!$A$2:$A$34,1)+1)-INDEX(Factor_Altura!$A$2:$A$34,MATCH(H19*10,Factor_Altura!$A$2:$A$34,1))),NA())</f>
        <v>0.8975</v>
      </c>
      <c r="J19" s="13" t="n">
        <v>1184</v>
      </c>
      <c r="K19" s="13" t="n">
        <v>1184</v>
      </c>
      <c r="L19" s="13" t="n">
        <v>641</v>
      </c>
      <c r="M19" s="13" t="n">
        <v>643</v>
      </c>
      <c r="N19" s="15" t="n">
        <f aca="false">AVERAGE(L19:M19)</f>
        <v>642</v>
      </c>
      <c r="O19" s="15" t="n">
        <f aca="false">K19-N19</f>
        <v>542</v>
      </c>
      <c r="P19" s="17" t="n">
        <f aca="false">J19/O19</f>
        <v>2.18450184501845</v>
      </c>
      <c r="Q19" s="17" t="n">
        <f aca="false">100/(B19/$D$9+C19/$D$11)</f>
        <v>2.25073475577067</v>
      </c>
      <c r="R19" s="16" t="n">
        <f aca="false">100*(Q19-P19)/Q19</f>
        <v>2.94272395191875</v>
      </c>
      <c r="S19" s="16" t="n">
        <f aca="false">100-P19*C19/$D$10</f>
        <v>15.9461224241872</v>
      </c>
      <c r="T19" s="15" t="n">
        <f aca="false">100*(S19-R19)/S19</f>
        <v>81.545833691486</v>
      </c>
      <c r="U19" s="16" t="n">
        <f aca="false">B19-$D$12*C19/100</f>
        <v>6.08947832544325</v>
      </c>
      <c r="V19" s="13" t="n">
        <v>669.7</v>
      </c>
      <c r="W19" s="15" t="n">
        <f aca="false">V19*I19</f>
        <v>601.05575</v>
      </c>
      <c r="X19" s="16" t="n">
        <f aca="false">W19*9.80665/1000</f>
        <v>5.8943433707375</v>
      </c>
      <c r="Y19" s="14" t="n">
        <v>3.5</v>
      </c>
      <c r="Z19" s="19" t="n">
        <f aca="false">W19/(Y19/10)</f>
        <v>1717.30214285714</v>
      </c>
      <c r="AA19" s="17" t="n">
        <f aca="false">J19/(PI()*$D$13^2/4*H19)</f>
        <v>2.14765982151263</v>
      </c>
      <c r="AB19" s="16" t="n">
        <f aca="false">100*(K19-J19)/O19</f>
        <v>0</v>
      </c>
    </row>
    <row r="20" customFormat="false" ht="15" hidden="false" customHeight="true" outlineLevel="0" collapsed="false">
      <c r="A20" s="13" t="s">
        <v>59</v>
      </c>
      <c r="B20" s="14" t="n">
        <v>8</v>
      </c>
      <c r="C20" s="15" t="n">
        <f aca="false">100-B20</f>
        <v>92</v>
      </c>
      <c r="D20" s="13" t="n">
        <v>6.5</v>
      </c>
      <c r="E20" s="13" t="n">
        <v>6.6</v>
      </c>
      <c r="F20" s="13" t="n">
        <v>6.4</v>
      </c>
      <c r="G20" s="13" t="n">
        <v>6.4</v>
      </c>
      <c r="H20" s="16" t="n">
        <f aca="false">AVERAGE(D20:G20)</f>
        <v>6.475</v>
      </c>
      <c r="I20" s="17" t="n">
        <f aca="false">IFERROR(INDEX(Factor_Altura!$B$2:$B$34,MATCH(H20*10,Factor_Altura!$A$2:$A$34,1))+(H20*10-INDEX(Factor_Altura!$A$2:$A$34,MATCH(H20*10,Factor_Altura!$A$2:$A$34,1)))*(INDEX(Factor_Altura!$B$2:$B$34,MATCH(H20*10,Factor_Altura!$A$2:$A$34,1)+1)-INDEX(Factor_Altura!$B$2:$B$34,MATCH(H20*10,Factor_Altura!$A$2:$A$34,1)))/(INDEX(Factor_Altura!$A$2:$A$34,MATCH(H20*10,Factor_Altura!$A$2:$A$34,1)+1)-INDEX(Factor_Altura!$A$2:$A$34,MATCH(H20*10,Factor_Altura!$A$2:$A$34,1))),NA())</f>
        <v>0.96875</v>
      </c>
      <c r="J20" s="13" t="n">
        <v>1134</v>
      </c>
      <c r="K20" s="13" t="n">
        <v>1136</v>
      </c>
      <c r="L20" s="13" t="n">
        <v>617</v>
      </c>
      <c r="M20" s="13" t="n">
        <v>619</v>
      </c>
      <c r="N20" s="15" t="n">
        <f aca="false">AVERAGE(L20:M20)</f>
        <v>618</v>
      </c>
      <c r="O20" s="15" t="n">
        <f aca="false">K20-N20</f>
        <v>518</v>
      </c>
      <c r="P20" s="17" t="n">
        <f aca="false">J20/O20</f>
        <v>2.18918918918919</v>
      </c>
      <c r="Q20" s="17" t="n">
        <f aca="false">100/(B20/$D$9+C20/$D$11)</f>
        <v>2.20821892281798</v>
      </c>
      <c r="R20" s="16" t="n">
        <f aca="false">100*(Q20-P20)/Q20</f>
        <v>0.861768433924621</v>
      </c>
      <c r="S20" s="16" t="n">
        <f aca="false">100-P20*C20/$D$10</f>
        <v>17.1171171171171</v>
      </c>
      <c r="T20" s="15" t="n">
        <f aca="false">100*(S20-R20)/S20</f>
        <v>94.9654580965457</v>
      </c>
      <c r="U20" s="16" t="n">
        <f aca="false">B20-$D$12*C20/100</f>
        <v>7.59606423466073</v>
      </c>
      <c r="V20" s="13" t="n">
        <v>883.9</v>
      </c>
      <c r="W20" s="15" t="n">
        <f aca="false">V20*I20</f>
        <v>856.278125</v>
      </c>
      <c r="X20" s="16" t="n">
        <f aca="false">W20*9.80665/1000</f>
        <v>8.39721987453125</v>
      </c>
      <c r="Y20" s="14" t="n">
        <v>3.5</v>
      </c>
      <c r="Z20" s="19" t="n">
        <f aca="false">W20/(Y20/10)</f>
        <v>2446.50892857143</v>
      </c>
      <c r="AA20" s="17" t="n">
        <f aca="false">J20/(PI()*$D$13^2/4*H20)</f>
        <v>2.16021006152147</v>
      </c>
      <c r="AB20" s="16" t="n">
        <f aca="false">100*(K20-J20)/O20</f>
        <v>0.386100386100386</v>
      </c>
    </row>
    <row r="21" customFormat="false" ht="15" hidden="false" customHeight="true" outlineLevel="0" collapsed="false">
      <c r="A21" s="13" t="s">
        <v>60</v>
      </c>
      <c r="B21" s="14" t="n">
        <v>10</v>
      </c>
      <c r="C21" s="15" t="n">
        <f aca="false">100-B21</f>
        <v>90</v>
      </c>
      <c r="D21" s="13" t="n">
        <v>6.9</v>
      </c>
      <c r="E21" s="13" t="n">
        <v>6.9</v>
      </c>
      <c r="F21" s="13" t="n">
        <v>6.8</v>
      </c>
      <c r="G21" s="13" t="n">
        <v>6.8</v>
      </c>
      <c r="H21" s="16" t="n">
        <f aca="false">AVERAGE(D21:G21)</f>
        <v>6.85</v>
      </c>
      <c r="I21" s="17" t="n">
        <f aca="false">IFERROR(INDEX(Factor_Altura!$B$2:$B$34,MATCH(H21*10,Factor_Altura!$A$2:$A$34,1))+(H21*10-INDEX(Factor_Altura!$A$2:$A$34,MATCH(H21*10,Factor_Altura!$A$2:$A$34,1)))*(INDEX(Factor_Altura!$B$2:$B$34,MATCH(H21*10,Factor_Altura!$A$2:$A$34,1)+1)-INDEX(Factor_Altura!$B$2:$B$34,MATCH(H21*10,Factor_Altura!$A$2:$A$34,1)))/(INDEX(Factor_Altura!$A$2:$A$34,MATCH(H21*10,Factor_Altura!$A$2:$A$34,1)+1)-INDEX(Factor_Altura!$A$2:$A$34,MATCH(H21*10,Factor_Altura!$A$2:$A$34,1))),NA())</f>
        <v>0.88625</v>
      </c>
      <c r="J21" s="13" t="n">
        <v>1187</v>
      </c>
      <c r="K21" s="13" t="n">
        <v>1187</v>
      </c>
      <c r="L21" s="13" t="n">
        <v>640</v>
      </c>
      <c r="M21" s="13" t="n">
        <v>642</v>
      </c>
      <c r="N21" s="15" t="n">
        <f aca="false">AVERAGE(L21:M21)</f>
        <v>641</v>
      </c>
      <c r="O21" s="15" t="n">
        <f aca="false">K21-N21</f>
        <v>546</v>
      </c>
      <c r="P21" s="17" t="n">
        <f aca="false">J21/O21</f>
        <v>2.17399267399267</v>
      </c>
      <c r="Q21" s="17" t="n">
        <f aca="false">100/(B21/$D$9+C21/$D$11)</f>
        <v>2.15396833773087</v>
      </c>
      <c r="R21" s="16" t="n">
        <f aca="false">100*(Q21-P21)/Q21</f>
        <v>-0.92964858911984</v>
      </c>
      <c r="S21" s="16" t="n">
        <f aca="false">100-P21*C21/$D$10</f>
        <v>19.4817528150862</v>
      </c>
      <c r="T21" s="15" t="n">
        <f aca="false">100*(S21-R21)/S21</f>
        <v>104.771893976603</v>
      </c>
      <c r="U21" s="16" t="n">
        <f aca="false">B21-$D$12*C21/100</f>
        <v>9.60484544695072</v>
      </c>
      <c r="V21" s="13" t="n">
        <v>707.3</v>
      </c>
      <c r="W21" s="15" t="n">
        <f aca="false">V21*I21</f>
        <v>626.844625</v>
      </c>
      <c r="X21" s="16" t="n">
        <f aca="false">W21*9.80665/1000</f>
        <v>6.14724584175625</v>
      </c>
      <c r="Y21" s="14" t="n">
        <v>3.5</v>
      </c>
      <c r="Z21" s="19" t="n">
        <f aca="false">W21/(Y21/10)</f>
        <v>1790.98464285714</v>
      </c>
      <c r="AA21" s="17" t="n">
        <f aca="false">J21/(PI()*$D$13^2/4*H21)</f>
        <v>2.13738545760029</v>
      </c>
      <c r="AB21" s="16" t="n">
        <f aca="false">100*(K21-J21)/O21</f>
        <v>0</v>
      </c>
    </row>
    <row r="23" customFormat="false" ht="15" hidden="false" customHeight="true" outlineLevel="0" collapsed="false">
      <c r="A23" s="4" t="s">
        <v>61</v>
      </c>
    </row>
    <row r="24" customFormat="false" ht="41.25" hidden="false" customHeight="true" outlineLevel="0" collapsed="false">
      <c r="A24" s="12" t="s">
        <v>28</v>
      </c>
      <c r="B24" s="12" t="s">
        <v>62</v>
      </c>
      <c r="C24" s="12" t="str">
        <f aca="false">"Va "&amp;$J$11&amp;"-"&amp;$K$11&amp;" %"</f>
        <v>Va 3-5 %</v>
      </c>
      <c r="D24" s="12" t="s">
        <v>63</v>
      </c>
      <c r="E24" s="12" t="str">
        <f aca="false">"VFA "&amp;$J$13&amp;"-"&amp;$K$13&amp;" %"</f>
        <v>VFA 65-78 %</v>
      </c>
      <c r="F24" s="12" t="s">
        <v>64</v>
      </c>
      <c r="G24" s="12" t="str">
        <f aca="false">"Flujo "&amp;$J$10&amp;"-"&amp;$K$10&amp;" mm"</f>
        <v>Flujo 2-4 mm</v>
      </c>
      <c r="H24" s="12" t="s">
        <v>65</v>
      </c>
      <c r="I24" s="12" t="str">
        <f aca="false">"Est/Flujo "&amp;$J$15&amp;"-"&amp;$K$15</f>
        <v>Est/Flujo 1700-4000</v>
      </c>
      <c r="J24" s="12" t="str">
        <f aca="false">"Absorción ≤ "&amp;$D$14&amp;" %"</f>
        <v>Absorción ≤ 2 %</v>
      </c>
    </row>
    <row r="25" customFormat="false" ht="27.75" hidden="false" customHeight="true" outlineLevel="0" collapsed="false">
      <c r="A25" s="20" t="str">
        <f aca="false">A17</f>
        <v>M1</v>
      </c>
      <c r="B25" s="15" t="n">
        <f aca="false">B17</f>
        <v>5.5</v>
      </c>
      <c r="C25" s="20" t="str">
        <f aca="false">IF(AND(R17&gt;=$J$11,R17&lt;=$K$11),"CUMPLE","NO")</f>
        <v>CUMPLE</v>
      </c>
      <c r="D25" s="20" t="str">
        <f aca="false">IF(S17&gt;=$J$12,"CUMPLE","NO")</f>
        <v>CUMPLE</v>
      </c>
      <c r="E25" s="20" t="str">
        <f aca="false">IF(AND(T17&gt;=$J$13,T17&lt;=$K$13),"CUMPLE","NO")</f>
        <v>CUMPLE</v>
      </c>
      <c r="F25" s="20" t="str">
        <f aca="false">IF(X17&gt;=$J$9,"CUMPLE","NO")</f>
        <v>NO</v>
      </c>
      <c r="G25" s="20" t="str">
        <f aca="false">IF(AND(Y17&gt;=$J$10,Y17&lt;=$K$10),"CUMPLE","NO")</f>
        <v>CUMPLE</v>
      </c>
      <c r="H25" s="20" t="str">
        <f aca="false">IF(COUNTIF(C25:G25,"NO")+COUNTIF(I25:J25,"NO")=0,"CUMPLE","NO CUMPLE")</f>
        <v>NO CUMPLE</v>
      </c>
      <c r="I25" s="20" t="str">
        <f aca="false">IF(AND(Z17&gt;=$J$15,Z17&lt;=$K$15),"CUMPLE","NO")</f>
        <v>NO</v>
      </c>
      <c r="J25" s="20" t="str">
        <f aca="false">IF(AB17&lt;=$D$14,"CUMPLE","NO")</f>
        <v>CUMPLE</v>
      </c>
    </row>
    <row r="26" customFormat="false" ht="27.75" hidden="false" customHeight="true" outlineLevel="0" collapsed="false">
      <c r="A26" s="20" t="str">
        <f aca="false">A18</f>
        <v>M2</v>
      </c>
      <c r="B26" s="15" t="n">
        <f aca="false">B18</f>
        <v>6</v>
      </c>
      <c r="C26" s="20" t="str">
        <f aca="false">IF(AND(R18&gt;=$J$11,R18&lt;=$K$11),"CUMPLE","NO")</f>
        <v>CUMPLE</v>
      </c>
      <c r="D26" s="20" t="str">
        <f aca="false">IF(S18&gt;=$J$12,"CUMPLE","NO")</f>
        <v>CUMPLE</v>
      </c>
      <c r="E26" s="20" t="str">
        <f aca="false">IF(AND(T18&gt;=$J$13,T18&lt;=$K$13),"CUMPLE","NO")</f>
        <v>CUMPLE</v>
      </c>
      <c r="F26" s="20" t="str">
        <f aca="false">IF(X18&gt;=$J$9,"CUMPLE","NO")</f>
        <v>CUMPLE</v>
      </c>
      <c r="G26" s="20" t="str">
        <f aca="false">IF(AND(Y18&gt;=$J$10,Y18&lt;=$K$10),"CUMPLE","NO")</f>
        <v>CUMPLE</v>
      </c>
      <c r="H26" s="20" t="str">
        <f aca="false">IF(COUNTIF(C26:G26,"NO")+COUNTIF(I26:J26,"NO")=0,"CUMPLE","NO CUMPLE")</f>
        <v>CUMPLE</v>
      </c>
      <c r="I26" s="20" t="str">
        <f aca="false">IF(AND(Z18&gt;=$J$15,Z18&lt;=$K$15),"CUMPLE","NO")</f>
        <v>CUMPLE</v>
      </c>
      <c r="J26" s="20" t="str">
        <f aca="false">IF(AB18&lt;=$D$14,"CUMPLE","NO")</f>
        <v>CUMPLE</v>
      </c>
    </row>
    <row r="27" customFormat="false" ht="27.75" hidden="false" customHeight="true" outlineLevel="0" collapsed="false">
      <c r="A27" s="20" t="str">
        <f aca="false">A19</f>
        <v>M3</v>
      </c>
      <c r="B27" s="15" t="n">
        <f aca="false">B19</f>
        <v>6.5</v>
      </c>
      <c r="C27" s="20" t="str">
        <f aca="false">IF(AND(R19&gt;=$J$11,R19&lt;=$K$11),"CUMPLE","NO")</f>
        <v>NO</v>
      </c>
      <c r="D27" s="20" t="str">
        <f aca="false">IF(S19&gt;=$J$12,"CUMPLE","NO")</f>
        <v>CUMPLE</v>
      </c>
      <c r="E27" s="20" t="str">
        <f aca="false">IF(AND(T19&gt;=$J$13,T19&lt;=$K$13),"CUMPLE","NO")</f>
        <v>NO</v>
      </c>
      <c r="F27" s="20" t="str">
        <f aca="false">IF(X19&gt;=$J$9,"CUMPLE","NO")</f>
        <v>CUMPLE</v>
      </c>
      <c r="G27" s="20" t="str">
        <f aca="false">IF(AND(Y19&gt;=$J$10,Y19&lt;=$K$10),"CUMPLE","NO")</f>
        <v>CUMPLE</v>
      </c>
      <c r="H27" s="20" t="str">
        <f aca="false">IF(COUNTIF(C27:G27,"NO")+COUNTIF(I27:J27,"NO")=0,"CUMPLE","NO CUMPLE")</f>
        <v>NO CUMPLE</v>
      </c>
      <c r="I27" s="20" t="str">
        <f aca="false">IF(AND(Z19&gt;=$J$15,Z19&lt;=$K$15),"CUMPLE","NO")</f>
        <v>CUMPLE</v>
      </c>
      <c r="J27" s="20" t="str">
        <f aca="false">IF(AB19&lt;=$D$14,"CUMPLE","NO")</f>
        <v>CUMPLE</v>
      </c>
    </row>
    <row r="28" customFormat="false" ht="27.75" hidden="false" customHeight="true" outlineLevel="0" collapsed="false">
      <c r="A28" s="20" t="str">
        <f aca="false">A20</f>
        <v>M4</v>
      </c>
      <c r="B28" s="15" t="n">
        <f aca="false">B20</f>
        <v>8</v>
      </c>
      <c r="C28" s="20" t="str">
        <f aca="false">IF(AND(R20&gt;=$J$11,R20&lt;=$K$11),"CUMPLE","NO")</f>
        <v>NO</v>
      </c>
      <c r="D28" s="20" t="str">
        <f aca="false">IF(S20&gt;=$J$12,"CUMPLE","NO")</f>
        <v>CUMPLE</v>
      </c>
      <c r="E28" s="20" t="str">
        <f aca="false">IF(AND(T20&gt;=$J$13,T20&lt;=$K$13),"CUMPLE","NO")</f>
        <v>NO</v>
      </c>
      <c r="F28" s="20" t="str">
        <f aca="false">IF(X20&gt;=$J$9,"CUMPLE","NO")</f>
        <v>CUMPLE</v>
      </c>
      <c r="G28" s="20" t="str">
        <f aca="false">IF(AND(Y20&gt;=$J$10,Y20&lt;=$K$10),"CUMPLE","NO")</f>
        <v>CUMPLE</v>
      </c>
      <c r="H28" s="20" t="str">
        <f aca="false">IF(COUNTIF(C28:G28,"NO")+COUNTIF(I28:J28,"NO")=0,"CUMPLE","NO CUMPLE")</f>
        <v>NO CUMPLE</v>
      </c>
      <c r="I28" s="20" t="str">
        <f aca="false">IF(AND(Z20&gt;=$J$15,Z20&lt;=$K$15),"CUMPLE","NO")</f>
        <v>CUMPLE</v>
      </c>
      <c r="J28" s="20" t="str">
        <f aca="false">IF(AB20&lt;=$D$14,"CUMPLE","NO")</f>
        <v>CUMPLE</v>
      </c>
    </row>
    <row r="29" customFormat="false" ht="27.75" hidden="false" customHeight="true" outlineLevel="0" collapsed="false">
      <c r="A29" s="20" t="str">
        <f aca="false">A21</f>
        <v>M5</v>
      </c>
      <c r="B29" s="15" t="n">
        <f aca="false">B21</f>
        <v>10</v>
      </c>
      <c r="C29" s="20" t="str">
        <f aca="false">IF(AND(R21&gt;=$J$11,R21&lt;=$K$11),"CUMPLE","NO")</f>
        <v>NO</v>
      </c>
      <c r="D29" s="20" t="str">
        <f aca="false">IF(S21&gt;=$J$12,"CUMPLE","NO")</f>
        <v>CUMPLE</v>
      </c>
      <c r="E29" s="20" t="str">
        <f aca="false">IF(AND(T21&gt;=$J$13,T21&lt;=$K$13),"CUMPLE","NO")</f>
        <v>NO</v>
      </c>
      <c r="F29" s="20" t="str">
        <f aca="false">IF(X21&gt;=$J$9,"CUMPLE","NO")</f>
        <v>CUMPLE</v>
      </c>
      <c r="G29" s="20" t="str">
        <f aca="false">IF(AND(Y21&gt;=$J$10,Y21&lt;=$K$10),"CUMPLE","NO")</f>
        <v>CUMPLE</v>
      </c>
      <c r="H29" s="20" t="str">
        <f aca="false">IF(COUNTIF(C29:G29,"NO")+COUNTIF(I29:J29,"NO")=0,"CUMPLE","NO CUMPLE")</f>
        <v>NO CUMPLE</v>
      </c>
      <c r="I29" s="20" t="str">
        <f aca="false">IF(AND(Z21&gt;=$J$15,Z21&lt;=$K$15),"CUMPLE","NO")</f>
        <v>CUMPLE</v>
      </c>
      <c r="J29" s="20" t="str">
        <f aca="false">IF(AB21&lt;=$D$14,"CUMPLE","NO")</f>
        <v>CUMPLE</v>
      </c>
    </row>
    <row r="31" customFormat="false" ht="15" hidden="false" customHeight="true" outlineLevel="0" collapsed="false">
      <c r="A31" s="4" t="s">
        <v>66</v>
      </c>
    </row>
    <row r="32" customFormat="false" ht="41.25" hidden="false" customHeight="true" outlineLevel="0" collapsed="false">
      <c r="A32" s="12" t="s">
        <v>67</v>
      </c>
      <c r="B32" s="12" t="s">
        <v>68</v>
      </c>
      <c r="C32" s="12" t="s">
        <v>69</v>
      </c>
      <c r="D32" s="12" t="s">
        <v>70</v>
      </c>
      <c r="E32" s="12" t="s">
        <v>71</v>
      </c>
      <c r="F32" s="12" t="s">
        <v>72</v>
      </c>
      <c r="G32" s="12" t="s">
        <v>73</v>
      </c>
    </row>
    <row r="33" customFormat="false" ht="15" hidden="false" customHeight="true" outlineLevel="0" collapsed="false">
      <c r="A33" s="21" t="s">
        <v>43</v>
      </c>
      <c r="B33" s="22" t="n">
        <f aca="false">INDEX(LINEST($P$17:$P$21,$B$17:$B$21^{1,2}),1,1)</f>
        <v>0.000629344612208408</v>
      </c>
      <c r="C33" s="22" t="n">
        <f aca="false">INDEX(LINEST($P$17:$P$21,$B$17:$B$21^{1,2}),1,2)</f>
        <v>-0.0123886191287946</v>
      </c>
      <c r="D33" s="9" t="n">
        <f aca="false">INDEX(LINEST($P$17:$P$21,$B$17:$B$21^{1,2}),1,3)</f>
        <v>2.23780079736221</v>
      </c>
      <c r="E33" s="9" t="n">
        <f aca="false">INDEX(LINEST($P$17:$P$21,$B$17:$B$21^{1,2},TRUE(),TRUE()),3,1)</f>
        <v>0.0764562482328959</v>
      </c>
      <c r="F33" s="23" t="n">
        <f aca="false">IF(AND(B33&lt;0,-C33/(2*B33)&gt;=MIN($B$17:$B$21),-C33/(2*B33)&lt;=MAX($B$17:$B$21)),-C33/(2*B33),INDEX($B$17:$B$21,MATCH(MAX($P$17:$P$21),$P$17:$P$21,0)))</f>
        <v>5.5</v>
      </c>
      <c r="G33" s="21" t="str">
        <f aca="false">IF(AND(B33&lt;0,-C33/(2*B33)&gt;=MIN($B$17:$B$21),-C33/(2*B33)&lt;=MAX($B$17:$B$21)),"Máximo de la parábola","Sin máximo interior: se toma el mayor Gmb medido")</f>
        <v>Sin máximo interior: se toma el mayor Gmb medido</v>
      </c>
    </row>
    <row r="34" customFormat="false" ht="15" hidden="false" customHeight="true" outlineLevel="0" collapsed="false">
      <c r="A34" s="21" t="s">
        <v>74</v>
      </c>
      <c r="B34" s="22" t="n">
        <f aca="false">INDEX(LINEST($R$17:$R$21,$B$17:$B$21^{1,2}),1,1)</f>
        <v>-0.0238007545461593</v>
      </c>
      <c r="C34" s="22" t="n">
        <f aca="false">INDEX(LINEST($R$17:$R$21,$B$17:$B$21^{1,2}),1,2)</f>
        <v>-0.756974723435819</v>
      </c>
      <c r="D34" s="9" t="n">
        <f aca="false">INDEX(LINEST($R$17:$R$21,$B$17:$B$21^{1,2}),1,3)</f>
        <v>8.89368200536669</v>
      </c>
      <c r="E34" s="9" t="n">
        <f aca="false">INDEX(LINEST($R$17:$R$21,$B$17:$B$21^{1,2},TRUE(),TRUE()),3,1)</f>
        <v>0.881013256952054</v>
      </c>
      <c r="F34" s="23" t="n">
        <f aca="false">IFERROR(IF((C34^2-4*B34*(D34-$J$14))&lt;0,"N/A",IF(AND(((-C34+SQRT((C34^2-4*B34*(D34-$J$14))))/(2*B34))&gt;=MIN($B$17:$B$21),((-C34+SQRT((C34^2-4*B34*(D34-$J$14))))/(2*B34))&lt;=MAX($B$17:$B$21)),((-C34+SQRT((C34^2-4*B34*(D34-$J$14))))/(2*B34)),IF(AND(((-C34-SQRT((C34^2-4*B34*(D34-$J$14))))/(2*B34))&gt;=MIN($B$17:$B$21),((-C34-SQRT((C34^2-4*B34*(D34-$J$14))))/(2*B34))&lt;=MAX($B$17:$B$21)),((-C34-SQRT((C34^2-4*B34*(D34-$J$14))))/(2*B34)),"N/A"))),"N/A")</f>
        <v>5.51015500531332</v>
      </c>
      <c r="G34" s="21" t="str">
        <f aca="false">IF(ISNUMBER(F34),"Pb para Va objetivo","Va objetivo NO se alcanza en el rango ensayado (Va mín. medido = "&amp;TEXT(MIN($R$17:$R$21),"0.0")&amp;" %)")</f>
        <v>Pb para Va objetivo</v>
      </c>
    </row>
    <row r="35" customFormat="false" ht="15" hidden="false" customHeight="true" outlineLevel="0" collapsed="false">
      <c r="A35" s="21" t="s">
        <v>75</v>
      </c>
      <c r="B35" s="22" t="n">
        <f aca="false">INDEX(LINEST($S$17:$S$21,$B$17:$B$21^{1,2}),1,1)</f>
        <v>-0.0272181197537832</v>
      </c>
      <c r="C35" s="22" t="n">
        <f aca="false">INDEX(LINEST($S$17:$S$21,$B$17:$B$21^{1,2}),1,2)</f>
        <v>1.42011062481528</v>
      </c>
      <c r="D35" s="9" t="n">
        <f aca="false">INDEX(LINEST($S$17:$S$21,$B$17:$B$21^{1,2}),1,3)</f>
        <v>7.89225094200161</v>
      </c>
      <c r="E35" s="9" t="n">
        <f aca="false">INDEX(LINEST($S$17:$S$21,$B$17:$B$21^{1,2},TRUE(),TRUE()),3,1)</f>
        <v>0.882867143136164</v>
      </c>
      <c r="F35" s="23" t="str">
        <f aca="false">IFERROR(IF(AND(B35&gt;0,AND(-C35/(2*B35)&gt;=MIN($B$17:$B$21),-C35/(2*B35)&lt;=MAX($B$17:$B$21))),-C35/(2*B35),"N/A"),"N/A")</f>
        <v>N/A</v>
      </c>
      <c r="G35" s="21" t="str">
        <f aca="false">IF(ISNUMBER(F35),"Mínimo de VMA (informativo: el óptimo debe quedar en o a la izquierda)","Sin mínimo interior de VMA")</f>
        <v>Sin mínimo interior de VMA</v>
      </c>
    </row>
    <row r="36" customFormat="false" ht="15" hidden="false" customHeight="true" outlineLevel="0" collapsed="false">
      <c r="A36" s="21" t="s">
        <v>76</v>
      </c>
      <c r="B36" s="22" t="n">
        <f aca="false">INDEX(LINEST($T$17:$T$21,$B$17:$B$21^{1,2}),1,1)</f>
        <v>-0.296438178331416</v>
      </c>
      <c r="C36" s="22" t="n">
        <f aca="false">INDEX(LINEST($T$17:$T$21,$B$17:$B$21^{1,2}),1,2)</f>
        <v>11.7225119359573</v>
      </c>
      <c r="D36" s="9" t="n">
        <f aca="false">INDEX(LINEST($T$17:$T$21,$B$17:$B$21^{1,2}),1,3)</f>
        <v>17.8363703738176</v>
      </c>
      <c r="E36" s="9" t="n">
        <f aca="false">INDEX(LINEST($T$17:$T$21,$B$17:$B$21^{1,2},TRUE(),TRUE()),3,1)</f>
        <v>0.921355347571009</v>
      </c>
      <c r="F36" s="23" t="str">
        <f aca="false">IFERROR(IF(AND((-C36+SQRT(C36^2-4*B36*(D36-($J$13+$K$13)/2)))/(2*B36)&gt;=MIN($B$17:$B$21),(-C36+SQRT(C36^2-4*B36*(D36-($J$13+$K$13)/2)))/(2*B36)&lt;=MAX($B$17:$B$21)),(-C36+SQRT(C36^2-4*B36*(D36-($J$13+$K$13)/2)))/(2*B36),IF(AND((-C36-SQRT(C36^2-4*B36*(D36-($J$13+$K$13)/2)))/(2*B36)&gt;=MIN($B$17:$B$21),(-C36-SQRT(C36^2-4*B36*(D36-($J$13+$K$13)/2)))/(2*B36)&lt;=MAX($B$17:$B$21)),(-C36-SQRT(C36^2-4*B36*(D36-($J$13+$K$13)/2)))/(2*B36),"N/A")),"N/A")</f>
        <v>N/A</v>
      </c>
      <c r="G36" s="21" t="str">
        <f aca="false">IF(ISNUMBER(F36),"Pb para VFA medio del rango (informativo)","Fuera del rango ensayado")</f>
        <v>Fuera del rango ensayado</v>
      </c>
    </row>
    <row r="37" customFormat="false" ht="15" hidden="false" customHeight="true" outlineLevel="0" collapsed="false">
      <c r="A37" s="21" t="s">
        <v>77</v>
      </c>
      <c r="B37" s="22" t="n">
        <f aca="false">INDEX(LINEST($X$17:$X$21,$B$17:$B$21^{1,2}),1,1)</f>
        <v>-0.460417959735731</v>
      </c>
      <c r="C37" s="22" t="n">
        <f aca="false">INDEX(LINEST($X$17:$X$21,$B$17:$B$21^{1,2}),1,2)</f>
        <v>7.38953625537858</v>
      </c>
      <c r="D37" s="9" t="n">
        <f aca="false">INDEX(LINEST($X$17:$X$21,$B$17:$B$21^{1,2}),1,3)</f>
        <v>-21.6305476069984</v>
      </c>
      <c r="E37" s="9" t="n">
        <f aca="false">INDEX(LINEST($X$17:$X$21,$B$17:$B$21^{1,2},TRUE(),TRUE()),3,1)</f>
        <v>0.693073401138715</v>
      </c>
      <c r="F37" s="23" t="n">
        <f aca="false">IF(AND(B37&lt;0,-C37/(2*B37)&gt;=MIN($B$17:$B$21),-C37/(2*B37)&lt;=MAX($B$17:$B$21)),-C37/(2*B37),INDEX($B$17:$B$21,MATCH(MAX($X$17:$X$21),$X$17:$X$21,0)))</f>
        <v>8.02481321495364</v>
      </c>
      <c r="G37" s="21" t="str">
        <f aca="false">IF(AND(B37&lt;0,-C37/(2*B37)&gt;=MIN($B$17:$B$21),-C37/(2*B37)&lt;=MAX($B$17:$B$21)),"Máximo de la parábola","Sin máximo interior: se toma la mayor estabilidad medida")</f>
        <v>Máximo de la parábola</v>
      </c>
    </row>
    <row r="38" customFormat="false" ht="15" hidden="false" customHeight="true" outlineLevel="0" collapsed="false">
      <c r="A38" s="21" t="s">
        <v>17</v>
      </c>
      <c r="B38" s="22" t="n">
        <f aca="false">INDEX(LINEST($Y$17:$Y$21,$B$17:$B$21^{1,2}),1,1)</f>
        <v>0</v>
      </c>
      <c r="C38" s="22" t="n">
        <f aca="false">INDEX(LINEST($Y$17:$Y$21,$B$17:$B$21^{1,2}),1,2)</f>
        <v>0</v>
      </c>
      <c r="D38" s="9" t="n">
        <f aca="false">INDEX(LINEST($Y$17:$Y$21,$B$17:$B$21^{1,2}),1,3)</f>
        <v>3.5</v>
      </c>
      <c r="E38" s="9" t="n">
        <f aca="false">IFERROR(INDEX(LINEST($Y$17:$Y$21,$B$17:$B$21^{1,2},TRUE(),TRUE()),3,1),"-")</f>
        <v>1</v>
      </c>
      <c r="F38" s="23" t="str">
        <f aca="false">IFERROR(IF(AND((-C38+SQRT(C38^2-4*B38*(D38-$K$10)))/(2*B38)&gt;=MIN($B$17:$B$21),(-C38+SQRT(C38^2-4*B38*(D38-$K$10)))/(2*B38)&lt;=MAX($B$17:$B$21)),(-C38+SQRT(C38^2-4*B38*(D38-$K$10)))/(2*B38),IF(AND((-C38-SQRT(C38^2-4*B38*(D38-$K$10)))/(2*B38)&gt;=MIN($B$17:$B$21),(-C38-SQRT(C38^2-4*B38*(D38-$K$10)))/(2*B38)&lt;=MAX($B$17:$B$21)),(-C38-SQRT(C38^2-4*B38*(D38-$K$10)))/(2*B38),"N/A")),"N/A")</f>
        <v>N/A</v>
      </c>
      <c r="G38" s="21" t="str">
        <f aca="false">IF(ISNUMBER(F38),"Pb para flujo máximo (límite superior de Pb)","Fuera del rango ensayado")</f>
        <v>Fuera del rango ensayado</v>
      </c>
    </row>
    <row r="40" customFormat="false" ht="15" hidden="false" customHeight="true" outlineLevel="0" collapsed="false">
      <c r="A40" s="4" t="s">
        <v>78</v>
      </c>
      <c r="F40" s="24" t="n">
        <f aca="false">AVERAGE(F33,F37,F34)</f>
        <v>6.34498940675566</v>
      </c>
      <c r="G40" s="1" t="str">
        <f aca="false">IF(ISNUMBER(F34),"Promedio de 3 criterios","PROVISIONAL: solo promedio de máx. Gmb y máx. estabilidad")</f>
        <v>Promedio de 3 criterios</v>
      </c>
    </row>
    <row r="41" customFormat="false" ht="15" hidden="false" customHeight="true" outlineLevel="0" collapsed="false">
      <c r="A41" s="4" t="s">
        <v>79</v>
      </c>
      <c r="F41" s="25" t="n">
        <v>6</v>
      </c>
      <c r="G41" s="1" t="s">
        <v>80</v>
      </c>
    </row>
    <row r="43" customFormat="false" ht="15" hidden="false" customHeight="true" outlineLevel="0" collapsed="false">
      <c r="A43" s="4" t="s">
        <v>81</v>
      </c>
    </row>
    <row r="44" customFormat="false" ht="41.25" hidden="false" customHeight="true" outlineLevel="0" collapsed="false">
      <c r="A44" s="12" t="s">
        <v>67</v>
      </c>
      <c r="B44" s="12" t="s">
        <v>82</v>
      </c>
      <c r="C44" s="12" t="s">
        <v>83</v>
      </c>
      <c r="D44" s="12" t="s">
        <v>84</v>
      </c>
    </row>
    <row r="45" customFormat="false" ht="15" hidden="false" customHeight="true" outlineLevel="0" collapsed="false">
      <c r="A45" s="20" t="s">
        <v>43</v>
      </c>
      <c r="B45" s="17" t="n">
        <f aca="false">B33*$F$41^2+C33*$F$41+D33</f>
        <v>2.18612548862895</v>
      </c>
      <c r="C45" s="20" t="s">
        <v>85</v>
      </c>
      <c r="D45" s="20" t="str">
        <f aca="false">"-"</f>
        <v>-</v>
      </c>
    </row>
    <row r="46" customFormat="false" ht="41.25" hidden="false" customHeight="true" outlineLevel="0" collapsed="false">
      <c r="A46" s="20" t="s">
        <v>74</v>
      </c>
      <c r="B46" s="15" t="n">
        <f aca="false">B34*$F$41^2+C34*$F$41+D34</f>
        <v>3.49500650109004</v>
      </c>
      <c r="C46" s="20" t="str">
        <f aca="false">TEXT($J$11,"0")&amp;" - "&amp;TEXT($K$11,"0")&amp;" %"</f>
        <v>3 - 5 %</v>
      </c>
      <c r="D46" s="20" t="str">
        <f aca="false">IF(AND(ROUND(B46,1)&gt;=$J$11,ROUND(B46,1)&lt;=$K$11),"CUMPLE","NO CUMPLE")</f>
        <v>CUMPLE</v>
      </c>
    </row>
    <row r="47" customFormat="false" ht="27.75" hidden="false" customHeight="true" outlineLevel="0" collapsed="false">
      <c r="A47" s="20" t="s">
        <v>75</v>
      </c>
      <c r="B47" s="15" t="n">
        <f aca="false">B35*$F$41^2+C35*$F$41+D35</f>
        <v>15.4330623797571</v>
      </c>
      <c r="C47" s="20" t="str">
        <f aca="false">"≥ "&amp;TEXT($J$12,"0")&amp;" %"</f>
        <v>≥ 14 %</v>
      </c>
      <c r="D47" s="20" t="str">
        <f aca="false">IF(ROUND(B47,1)&gt;=$J$12,"CUMPLE","NO CUMPLE")</f>
        <v>CUMPLE</v>
      </c>
    </row>
    <row r="48" customFormat="false" ht="41.25" hidden="false" customHeight="true" outlineLevel="0" collapsed="false">
      <c r="A48" s="20" t="s">
        <v>76</v>
      </c>
      <c r="B48" s="15" t="n">
        <f aca="false">B36*$F$41^2+C36*$F$41+D36</f>
        <v>77.4996675696305</v>
      </c>
      <c r="C48" s="20" t="str">
        <f aca="false">TEXT($J$13,"0")&amp;" - "&amp;TEXT($K$13,"0")&amp;" %"</f>
        <v>65 - 78 %</v>
      </c>
      <c r="D48" s="20" t="str">
        <f aca="false">IF(AND(ROUND(B48,1)&gt;=$J$13,ROUND(B48,1)&lt;=$K$13),"CUMPLE","NO CUMPLE")</f>
        <v>CUMPLE</v>
      </c>
    </row>
    <row r="49" customFormat="false" ht="27.75" hidden="false" customHeight="true" outlineLevel="0" collapsed="false">
      <c r="A49" s="20" t="s">
        <v>77</v>
      </c>
      <c r="B49" s="16" t="n">
        <f aca="false">B37*$F$41^2+C37*$F$41+D37</f>
        <v>6.13162337478673</v>
      </c>
      <c r="C49" s="20" t="str">
        <f aca="false">"≥ "&amp;TEXT($J$9,"0.00")&amp;" kN"</f>
        <v>≥ 5.44 kN</v>
      </c>
      <c r="D49" s="20" t="str">
        <f aca="false">IF(ROUND(B49,2)&gt;=$J$9,"CUMPLE","NO CUMPLE")</f>
        <v>CUMPLE</v>
      </c>
    </row>
    <row r="50" customFormat="false" ht="41.25" hidden="false" customHeight="true" outlineLevel="0" collapsed="false">
      <c r="A50" s="20" t="s">
        <v>17</v>
      </c>
      <c r="B50" s="15" t="n">
        <f aca="false">B38*$F$41^2+C38*$F$41+D38</f>
        <v>3.5</v>
      </c>
      <c r="C50" s="20" t="str">
        <f aca="false">TEXT($J$10,"0")&amp;" - "&amp;TEXT($K$10,"0")&amp;" mm"</f>
        <v>2 - 4 mm</v>
      </c>
      <c r="D50" s="20" t="str">
        <f aca="false">IF(AND(ROUND(B50,1)&gt;=$J$10,ROUND(B50,1)&lt;=$K$10),"CUMPLE","NO CUMPLE")</f>
        <v>CUMPLE</v>
      </c>
    </row>
    <row r="51" customFormat="false" ht="41.25" hidden="false" customHeight="true" outlineLevel="0" collapsed="false">
      <c r="A51" s="20" t="s">
        <v>27</v>
      </c>
      <c r="B51" s="19" t="n">
        <f aca="false">B49*1000/9.80665/(B50/10)</f>
        <v>1786.43307632699</v>
      </c>
      <c r="C51" s="20" t="str">
        <f aca="false">TEXT($J$15,"0")&amp;" - "&amp;TEXT($K$15,"0")&amp;" kg/cm"</f>
        <v>1700 - 4000 kg/cm</v>
      </c>
      <c r="D51" s="20" t="str">
        <f aca="false">IF(AND(B51&gt;=$J$15,B51&lt;=$K$15),"CUMPLE","NO CUMPLE")</f>
        <v>CUMPLE</v>
      </c>
    </row>
    <row r="52" customFormat="false" ht="41.25" hidden="false" customHeight="true" outlineLevel="0" collapsed="false">
      <c r="A52" s="26" t="s">
        <v>86</v>
      </c>
      <c r="B52" s="16"/>
      <c r="C52" s="20"/>
      <c r="D52" s="20" t="str">
        <f aca="false">IF(COUNTIF(D46:D50,"NO CUMPLE")=0,IF(D51="CUMPLE","CUMPLE","CUMPLE (*)"),"NO CUMPLE")</f>
        <v>CUMPLE</v>
      </c>
    </row>
    <row r="54" customFormat="false" ht="15" hidden="false" customHeight="true" outlineLevel="0" collapsed="false">
      <c r="A54" s="27" t="s">
        <v>87</v>
      </c>
    </row>
    <row r="55" customFormat="false" ht="15" hidden="false" customHeight="true" outlineLevel="0" collapsed="false">
      <c r="A55" s="1" t="s">
        <v>88</v>
      </c>
    </row>
    <row r="56" customFormat="false" ht="15" hidden="false" customHeight="true" outlineLevel="0" collapsed="false">
      <c r="A56" s="1" t="s">
        <v>89</v>
      </c>
    </row>
    <row r="57" customFormat="false" ht="15" hidden="false" customHeight="true" outlineLevel="0" collapsed="false">
      <c r="A57" s="1" t="s">
        <v>90</v>
      </c>
    </row>
    <row r="58" customFormat="false" ht="15" hidden="false" customHeight="true" outlineLevel="0" collapsed="false">
      <c r="A58" s="1" t="s">
        <v>91</v>
      </c>
    </row>
    <row r="59" customFormat="false" ht="15" hidden="false" customHeight="true" outlineLevel="0" collapsed="false">
      <c r="A59" s="1" t="s">
        <v>92</v>
      </c>
    </row>
    <row r="60" customFormat="false" ht="15" hidden="false" customHeight="true" outlineLevel="0" collapsed="false">
      <c r="A60" s="1" t="s">
        <v>93</v>
      </c>
    </row>
    <row r="61" customFormat="false" ht="15" hidden="false" customHeight="true" outlineLevel="0" collapsed="false">
      <c r="A61" s="1" t="s">
        <v>94</v>
      </c>
    </row>
    <row r="62" customFormat="false" ht="15" hidden="false" customHeight="true" outlineLevel="0" collapsed="false">
      <c r="A62" s="1" t="s">
        <v>95</v>
      </c>
    </row>
    <row r="63" customFormat="false" ht="15" hidden="false" customHeight="true" outlineLevel="0" collapsed="false">
      <c r="A63" s="1" t="s">
        <v>96</v>
      </c>
    </row>
    <row r="64" customFormat="false" ht="15" hidden="false" customHeight="true" outlineLevel="0" collapsed="false">
      <c r="A64" s="1" t="s">
        <v>97</v>
      </c>
    </row>
    <row r="65" customFormat="false" ht="15" hidden="false" customHeight="true" outlineLevel="0" collapsed="false">
      <c r="A65" s="1" t="s">
        <v>98</v>
      </c>
    </row>
  </sheetData>
  <mergeCells count="16">
    <mergeCell ref="A1:Z1"/>
    <mergeCell ref="A2:Z2"/>
    <mergeCell ref="A9:C9"/>
    <mergeCell ref="G9:I9"/>
    <mergeCell ref="A10:C10"/>
    <mergeCell ref="G10:I10"/>
    <mergeCell ref="A11:C11"/>
    <mergeCell ref="G11:I11"/>
    <mergeCell ref="A12:C12"/>
    <mergeCell ref="G12:I12"/>
    <mergeCell ref="A13:C13"/>
    <mergeCell ref="G13:I13"/>
    <mergeCell ref="A14:C14"/>
    <mergeCell ref="G14:I14"/>
    <mergeCell ref="A15:C15"/>
    <mergeCell ref="G15:I15"/>
  </mergeCells>
  <conditionalFormatting sqref="C25:J29">
    <cfRule type="cellIs" priority="2" operator="equal" aboveAverage="0" equalAverage="0" bottom="0" percent="0" rank="0" text="" dxfId="0">
      <formula>"CUMPLE"</formula>
    </cfRule>
    <cfRule type="cellIs" priority="3" operator="notEqual" aboveAverage="0" equalAverage="0" bottom="0" percent="0" rank="0" text="" dxfId="1">
      <formula>"CUMPLE"</formula>
    </cfRule>
  </conditionalFormatting>
  <conditionalFormatting sqref="D46:D51">
    <cfRule type="cellIs" priority="4" operator="equal" aboveAverage="0" equalAverage="0" bottom="0" percent="0" rank="0" text="" dxfId="0">
      <formula>"CUMPLE"</formula>
    </cfRule>
    <cfRule type="cellIs" priority="5" operator="notEqual" aboveAverage="0" equalAverage="0" bottom="0" percent="0" rank="0" text="" dxfId="1">
      <formula>"CUMPLE"</formula>
    </cfRule>
  </conditionalFormatting>
  <conditionalFormatting sqref="D45">
    <cfRule type="cellIs" priority="6" operator="equal" aboveAverage="0" equalAverage="0" bottom="0" percent="0" rank="0" text="" dxfId="2">
      <formula>"-"</formula>
    </cfRule>
  </conditionalFormatting>
  <conditionalFormatting sqref="D52">
    <cfRule type="expression" priority="7" aboveAverage="0" equalAverage="0" bottom="0" percent="0" rank="0" text="" dxfId="3">
      <formula>D52="CUMPLE"</formula>
    </cfRule>
    <cfRule type="expression" priority="8" aboveAverage="0" equalAverage="0" bottom="0" percent="0" rank="0" text="" dxfId="4">
      <formula>LEFT(D52,7)="CUMPLE "</formula>
    </cfRule>
    <cfRule type="expression" priority="9" aboveAverage="0" equalAverage="0" bottom="0" percent="0" rank="0" text="" dxfId="5">
      <formula>D52="NO CUMPLE"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U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7.25" hidden="false" customHeight="true" outlineLevel="0" collapsed="false">
      <c r="A2" s="28" t="s">
        <v>99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customFormat="false" ht="17.25" hidden="false" customHeight="true" outlineLevel="0" collapsed="false">
      <c r="A3" s="28" t="s">
        <v>100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customFormat="false" ht="15" hidden="false" customHeight="true" outlineLevel="0" collapsed="false">
      <c r="A4" s="29" t="str">
        <f aca="false">Diseno_Marshall!C4&amp;"  -  C.A. "&amp;Diseno_Marshall!C5&amp;"  -  "&amp;Diseno_Marshall!C6</f>
        <v>MAC-2 fina (huso MAC-2, MTC EG-2013)  -  C.A. PEN 120-150  -  50 golpes por cara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</row>
    <row r="47" customFormat="false" ht="15" hidden="false" customHeight="true" outlineLevel="0" collapsed="false">
      <c r="G47" s="30" t="str">
        <f aca="false">"RESUMEN DE DISEÑO  -  CONTENIDO ÓPTIMO DE ASFALTO = "&amp;TEXT(Diseno_Marshall!F41,"0.0")&amp;" %"</f>
        <v>RESUMEN DE DISEÑO  -  CONTENIDO ÓPTIMO DE ASFALTO = 6.0 %</v>
      </c>
      <c r="H47" s="30"/>
      <c r="I47" s="30"/>
      <c r="J47" s="30"/>
      <c r="K47" s="30"/>
      <c r="L47" s="30"/>
      <c r="M47" s="30"/>
      <c r="N47" s="30"/>
      <c r="O47" s="30"/>
    </row>
    <row r="48" customFormat="false" ht="15" hidden="false" customHeight="true" outlineLevel="0" collapsed="false">
      <c r="G48" s="31" t="s">
        <v>101</v>
      </c>
      <c r="H48" s="31"/>
      <c r="I48" s="31"/>
      <c r="J48" s="31" t="s">
        <v>102</v>
      </c>
      <c r="K48" s="31"/>
      <c r="L48" s="31" t="s">
        <v>103</v>
      </c>
      <c r="M48" s="31"/>
      <c r="N48" s="31" t="s">
        <v>104</v>
      </c>
      <c r="O48" s="31"/>
    </row>
    <row r="49" customFormat="false" ht="15" hidden="false" customHeight="true" outlineLevel="0" collapsed="false">
      <c r="G49" s="32" t="str">
        <f aca="false">Diseno_Marshall!A45</f>
        <v>Gmb</v>
      </c>
      <c r="H49" s="32"/>
      <c r="I49" s="32"/>
      <c r="J49" s="33" t="n">
        <f aca="false">Diseno_Marshall!B45</f>
        <v>2.18612548862895</v>
      </c>
      <c r="K49" s="33"/>
      <c r="L49" s="34" t="str">
        <f aca="false">Diseno_Marshall!C45</f>
        <v>-</v>
      </c>
      <c r="M49" s="34"/>
      <c r="N49" s="34" t="str">
        <f aca="false">Diseno_Marshall!D45</f>
        <v>-</v>
      </c>
      <c r="O49" s="34"/>
    </row>
    <row r="50" customFormat="false" ht="15" hidden="false" customHeight="true" outlineLevel="0" collapsed="false">
      <c r="G50" s="32" t="str">
        <f aca="false">Diseno_Marshall!A46</f>
        <v>Va (%)</v>
      </c>
      <c r="H50" s="32"/>
      <c r="I50" s="32"/>
      <c r="J50" s="35" t="n">
        <f aca="false">Diseno_Marshall!B46</f>
        <v>3.49500650109004</v>
      </c>
      <c r="K50" s="35"/>
      <c r="L50" s="34" t="str">
        <f aca="false">Diseno_Marshall!C46</f>
        <v>3 - 5 %</v>
      </c>
      <c r="M50" s="34"/>
      <c r="N50" s="34" t="str">
        <f aca="false">Diseno_Marshall!D46</f>
        <v>CUMPLE</v>
      </c>
      <c r="O50" s="34"/>
    </row>
    <row r="51" customFormat="false" ht="15" hidden="false" customHeight="true" outlineLevel="0" collapsed="false">
      <c r="G51" s="32" t="str">
        <f aca="false">Diseno_Marshall!A47</f>
        <v>VMA (%)</v>
      </c>
      <c r="H51" s="32"/>
      <c r="I51" s="32"/>
      <c r="J51" s="35" t="n">
        <f aca="false">Diseno_Marshall!B47</f>
        <v>15.4330623797571</v>
      </c>
      <c r="K51" s="35"/>
      <c r="L51" s="34" t="str">
        <f aca="false">Diseno_Marshall!C47</f>
        <v>≥ 14 %</v>
      </c>
      <c r="M51" s="34"/>
      <c r="N51" s="34" t="str">
        <f aca="false">Diseno_Marshall!D47</f>
        <v>CUMPLE</v>
      </c>
      <c r="O51" s="34"/>
    </row>
    <row r="52" customFormat="false" ht="15" hidden="false" customHeight="true" outlineLevel="0" collapsed="false">
      <c r="G52" s="32" t="str">
        <f aca="false">Diseno_Marshall!A48</f>
        <v>VFA (%)</v>
      </c>
      <c r="H52" s="32"/>
      <c r="I52" s="32"/>
      <c r="J52" s="35" t="n">
        <f aca="false">Diseno_Marshall!B48</f>
        <v>77.4996675696305</v>
      </c>
      <c r="K52" s="35"/>
      <c r="L52" s="34" t="str">
        <f aca="false">Diseno_Marshall!C48</f>
        <v>65 - 78 %</v>
      </c>
      <c r="M52" s="34"/>
      <c r="N52" s="34" t="str">
        <f aca="false">Diseno_Marshall!D48</f>
        <v>CUMPLE</v>
      </c>
      <c r="O52" s="34"/>
    </row>
    <row r="53" customFormat="false" ht="15" hidden="false" customHeight="true" outlineLevel="0" collapsed="false">
      <c r="G53" s="32" t="str">
        <f aca="false">Diseno_Marshall!A49</f>
        <v>Estabilidad (kN)</v>
      </c>
      <c r="H53" s="32"/>
      <c r="I53" s="32"/>
      <c r="J53" s="36" t="n">
        <f aca="false">Diseno_Marshall!B49</f>
        <v>6.13162337478673</v>
      </c>
      <c r="K53" s="36"/>
      <c r="L53" s="34" t="str">
        <f aca="false">Diseno_Marshall!C49</f>
        <v>≥ 5.44 kN</v>
      </c>
      <c r="M53" s="34"/>
      <c r="N53" s="34" t="str">
        <f aca="false">Diseno_Marshall!D49</f>
        <v>CUMPLE</v>
      </c>
      <c r="O53" s="34"/>
    </row>
    <row r="54" customFormat="false" ht="15" hidden="false" customHeight="true" outlineLevel="0" collapsed="false">
      <c r="G54" s="32" t="str">
        <f aca="false">Diseno_Marshall!A50</f>
        <v>Flujo (mm)</v>
      </c>
      <c r="H54" s="32"/>
      <c r="I54" s="32"/>
      <c r="J54" s="35" t="n">
        <f aca="false">Diseno_Marshall!B50</f>
        <v>3.5</v>
      </c>
      <c r="K54" s="35"/>
      <c r="L54" s="34" t="str">
        <f aca="false">Diseno_Marshall!C50</f>
        <v>2 - 4 mm</v>
      </c>
      <c r="M54" s="34"/>
      <c r="N54" s="34" t="str">
        <f aca="false">Diseno_Marshall!D50</f>
        <v>CUMPLE</v>
      </c>
      <c r="O54" s="34"/>
    </row>
    <row r="55" customFormat="false" ht="15" hidden="false" customHeight="true" outlineLevel="0" collapsed="false">
      <c r="G55" s="32" t="str">
        <f aca="false">Diseno_Marshall!A51</f>
        <v>Estab./Flujo (kg/cm)</v>
      </c>
      <c r="H55" s="32"/>
      <c r="I55" s="32"/>
      <c r="J55" s="37" t="n">
        <f aca="false">Diseno_Marshall!B51</f>
        <v>1786.43307632699</v>
      </c>
      <c r="K55" s="37"/>
      <c r="L55" s="34" t="str">
        <f aca="false">Diseno_Marshall!C51</f>
        <v>1700 - 4000 kg/cm</v>
      </c>
      <c r="M55" s="34"/>
      <c r="N55" s="34" t="str">
        <f aca="false">Diseno_Marshall!D51</f>
        <v>CUMPLE</v>
      </c>
      <c r="O55" s="34"/>
    </row>
    <row r="56" customFormat="false" ht="15" hidden="false" customHeight="true" outlineLevel="0" collapsed="false">
      <c r="G56" s="38" t="s">
        <v>105</v>
      </c>
      <c r="H56" s="38"/>
      <c r="I56" s="38"/>
      <c r="J56" s="38"/>
      <c r="K56" s="38"/>
      <c r="L56" s="38"/>
      <c r="M56" s="38"/>
      <c r="N56" s="39" t="str">
        <f aca="false">Diseno_Marshall!D52</f>
        <v>CUMPLE</v>
      </c>
      <c r="O56" s="39"/>
    </row>
    <row r="58" customFormat="false" ht="15" hidden="false" customHeight="true" outlineLevel="0" collapsed="false">
      <c r="A58" s="40" t="s">
        <v>106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</row>
  </sheetData>
  <mergeCells count="39">
    <mergeCell ref="A2:U2"/>
    <mergeCell ref="A3:U3"/>
    <mergeCell ref="A4:U4"/>
    <mergeCell ref="G47:O47"/>
    <mergeCell ref="G48:I48"/>
    <mergeCell ref="J48:K48"/>
    <mergeCell ref="L48:M48"/>
    <mergeCell ref="N48:O48"/>
    <mergeCell ref="G49:I49"/>
    <mergeCell ref="J49:K49"/>
    <mergeCell ref="L49:M49"/>
    <mergeCell ref="N49:O49"/>
    <mergeCell ref="G50:I50"/>
    <mergeCell ref="J50:K50"/>
    <mergeCell ref="L50:M50"/>
    <mergeCell ref="N50:O50"/>
    <mergeCell ref="G51:I51"/>
    <mergeCell ref="J51:K51"/>
    <mergeCell ref="L51:M51"/>
    <mergeCell ref="N51:O51"/>
    <mergeCell ref="G52:I52"/>
    <mergeCell ref="J52:K52"/>
    <mergeCell ref="L52:M52"/>
    <mergeCell ref="N52:O52"/>
    <mergeCell ref="G53:I53"/>
    <mergeCell ref="J53:K53"/>
    <mergeCell ref="L53:M53"/>
    <mergeCell ref="N53:O53"/>
    <mergeCell ref="G54:I54"/>
    <mergeCell ref="J54:K54"/>
    <mergeCell ref="L54:M54"/>
    <mergeCell ref="N54:O54"/>
    <mergeCell ref="G55:I55"/>
    <mergeCell ref="J55:K55"/>
    <mergeCell ref="L55:M55"/>
    <mergeCell ref="N55:O55"/>
    <mergeCell ref="G56:M56"/>
    <mergeCell ref="N56:O56"/>
    <mergeCell ref="A58:U58"/>
  </mergeCells>
  <conditionalFormatting sqref="N49:O56">
    <cfRule type="cellIs" priority="2" operator="equal" aboveAverage="0" equalAverage="0" bottom="0" percent="0" rank="0" text="" dxfId="3">
      <formula>"CUMPLE"</formula>
    </cfRule>
    <cfRule type="cellIs" priority="3" operator="equal" aboveAverage="0" equalAverage="0" bottom="0" percent="0" rank="0" text="" dxfId="5">
      <formula>"NO CUMPLE"</formula>
    </cfRule>
  </conditionalFormatting>
  <conditionalFormatting sqref="N56">
    <cfRule type="expression" priority="4" aboveAverage="0" equalAverage="0" bottom="0" percent="0" rank="0" text="" dxfId="4">
      <formula>LEFT(N56,7)="CUMPLE 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</cols>
  <sheetData>
    <row r="1" customFormat="false" ht="15" hidden="false" customHeight="true" outlineLevel="0" collapsed="false">
      <c r="A1" s="41" t="s">
        <v>107</v>
      </c>
      <c r="B1" s="41" t="s">
        <v>108</v>
      </c>
      <c r="D1" s="1" t="s">
        <v>109</v>
      </c>
    </row>
    <row r="2" customFormat="false" ht="15" hidden="false" customHeight="true" outlineLevel="0" collapsed="false">
      <c r="A2" s="21" t="n">
        <v>25.4</v>
      </c>
      <c r="B2" s="21" t="n">
        <v>5.56</v>
      </c>
    </row>
    <row r="3" customFormat="false" ht="15" hidden="false" customHeight="true" outlineLevel="0" collapsed="false">
      <c r="A3" s="21" t="n">
        <v>27</v>
      </c>
      <c r="B3" s="21" t="n">
        <v>5</v>
      </c>
    </row>
    <row r="4" customFormat="false" ht="15" hidden="false" customHeight="true" outlineLevel="0" collapsed="false">
      <c r="A4" s="21" t="n">
        <v>28.6</v>
      </c>
      <c r="B4" s="21" t="n">
        <v>4.55</v>
      </c>
    </row>
    <row r="5" customFormat="false" ht="15" hidden="false" customHeight="true" outlineLevel="0" collapsed="false">
      <c r="A5" s="21" t="n">
        <v>30.2</v>
      </c>
      <c r="B5" s="21" t="n">
        <v>4.17</v>
      </c>
    </row>
    <row r="6" customFormat="false" ht="15" hidden="false" customHeight="true" outlineLevel="0" collapsed="false">
      <c r="A6" s="21" t="n">
        <v>31.8</v>
      </c>
      <c r="B6" s="21" t="n">
        <v>3.85</v>
      </c>
    </row>
    <row r="7" customFormat="false" ht="15" hidden="false" customHeight="true" outlineLevel="0" collapsed="false">
      <c r="A7" s="21" t="n">
        <v>33.3</v>
      </c>
      <c r="B7" s="21" t="n">
        <v>3.57</v>
      </c>
    </row>
    <row r="8" customFormat="false" ht="15" hidden="false" customHeight="true" outlineLevel="0" collapsed="false">
      <c r="A8" s="21" t="n">
        <v>34.9</v>
      </c>
      <c r="B8" s="21" t="n">
        <v>3.33</v>
      </c>
    </row>
    <row r="9" customFormat="false" ht="15" hidden="false" customHeight="true" outlineLevel="0" collapsed="false">
      <c r="A9" s="21" t="n">
        <v>36.5</v>
      </c>
      <c r="B9" s="21" t="n">
        <v>3.03</v>
      </c>
    </row>
    <row r="10" customFormat="false" ht="15" hidden="false" customHeight="true" outlineLevel="0" collapsed="false">
      <c r="A10" s="21" t="n">
        <v>38.1</v>
      </c>
      <c r="B10" s="21" t="n">
        <v>2.78</v>
      </c>
    </row>
    <row r="11" customFormat="false" ht="15" hidden="false" customHeight="true" outlineLevel="0" collapsed="false">
      <c r="A11" s="21" t="n">
        <v>39.7</v>
      </c>
      <c r="B11" s="21" t="n">
        <v>2.5</v>
      </c>
    </row>
    <row r="12" customFormat="false" ht="15" hidden="false" customHeight="true" outlineLevel="0" collapsed="false">
      <c r="A12" s="21" t="n">
        <v>41.3</v>
      </c>
      <c r="B12" s="21" t="n">
        <v>2.27</v>
      </c>
    </row>
    <row r="13" customFormat="false" ht="15" hidden="false" customHeight="true" outlineLevel="0" collapsed="false">
      <c r="A13" s="21" t="n">
        <v>42.9</v>
      </c>
      <c r="B13" s="21" t="n">
        <v>2.08</v>
      </c>
    </row>
    <row r="14" customFormat="false" ht="15" hidden="false" customHeight="true" outlineLevel="0" collapsed="false">
      <c r="A14" s="21" t="n">
        <v>44.4</v>
      </c>
      <c r="B14" s="21" t="n">
        <v>1.92</v>
      </c>
    </row>
    <row r="15" customFormat="false" ht="15" hidden="false" customHeight="true" outlineLevel="0" collapsed="false">
      <c r="A15" s="21" t="n">
        <v>46</v>
      </c>
      <c r="B15" s="21" t="n">
        <v>1.79</v>
      </c>
    </row>
    <row r="16" customFormat="false" ht="15" hidden="false" customHeight="true" outlineLevel="0" collapsed="false">
      <c r="A16" s="21" t="n">
        <v>47.6</v>
      </c>
      <c r="B16" s="21" t="n">
        <v>1.67</v>
      </c>
    </row>
    <row r="17" customFormat="false" ht="15" hidden="false" customHeight="true" outlineLevel="0" collapsed="false">
      <c r="A17" s="21" t="n">
        <v>49.2</v>
      </c>
      <c r="B17" s="21" t="n">
        <v>1.56</v>
      </c>
    </row>
    <row r="18" customFormat="false" ht="15" hidden="false" customHeight="true" outlineLevel="0" collapsed="false">
      <c r="A18" s="21" t="n">
        <v>50.8</v>
      </c>
      <c r="B18" s="21" t="n">
        <v>1.47</v>
      </c>
    </row>
    <row r="19" customFormat="false" ht="15" hidden="false" customHeight="true" outlineLevel="0" collapsed="false">
      <c r="A19" s="21" t="n">
        <v>52.4</v>
      </c>
      <c r="B19" s="21" t="n">
        <v>1.39</v>
      </c>
    </row>
    <row r="20" customFormat="false" ht="15" hidden="false" customHeight="true" outlineLevel="0" collapsed="false">
      <c r="A20" s="21" t="n">
        <v>54</v>
      </c>
      <c r="B20" s="21" t="n">
        <v>1.32</v>
      </c>
    </row>
    <row r="21" customFormat="false" ht="15" hidden="false" customHeight="true" outlineLevel="0" collapsed="false">
      <c r="A21" s="21" t="n">
        <v>55.6</v>
      </c>
      <c r="B21" s="21" t="n">
        <v>1.25</v>
      </c>
    </row>
    <row r="22" customFormat="false" ht="15" hidden="false" customHeight="true" outlineLevel="0" collapsed="false">
      <c r="A22" s="21" t="n">
        <v>57.2</v>
      </c>
      <c r="B22" s="21" t="n">
        <v>1.19</v>
      </c>
    </row>
    <row r="23" customFormat="false" ht="15" hidden="false" customHeight="true" outlineLevel="0" collapsed="false">
      <c r="A23" s="21" t="n">
        <v>58.7</v>
      </c>
      <c r="B23" s="21" t="n">
        <v>1.14</v>
      </c>
    </row>
    <row r="24" customFormat="false" ht="15" hidden="false" customHeight="true" outlineLevel="0" collapsed="false">
      <c r="A24" s="21" t="n">
        <v>60.3</v>
      </c>
      <c r="B24" s="21" t="n">
        <v>1.09</v>
      </c>
    </row>
    <row r="25" customFormat="false" ht="15" hidden="false" customHeight="true" outlineLevel="0" collapsed="false">
      <c r="A25" s="21" t="n">
        <v>61.9</v>
      </c>
      <c r="B25" s="21" t="n">
        <v>1.04</v>
      </c>
    </row>
    <row r="26" customFormat="false" ht="15" hidden="false" customHeight="true" outlineLevel="0" collapsed="false">
      <c r="A26" s="21" t="n">
        <v>63.5</v>
      </c>
      <c r="B26" s="21" t="n">
        <v>1</v>
      </c>
    </row>
    <row r="27" customFormat="false" ht="15" hidden="false" customHeight="true" outlineLevel="0" collapsed="false">
      <c r="A27" s="21" t="n">
        <v>65.1</v>
      </c>
      <c r="B27" s="21" t="n">
        <v>0.96</v>
      </c>
    </row>
    <row r="28" customFormat="false" ht="15" hidden="false" customHeight="true" outlineLevel="0" collapsed="false">
      <c r="A28" s="21" t="n">
        <v>66.7</v>
      </c>
      <c r="B28" s="21" t="n">
        <v>0.93</v>
      </c>
    </row>
    <row r="29" customFormat="false" ht="15" hidden="false" customHeight="true" outlineLevel="0" collapsed="false">
      <c r="A29" s="21" t="n">
        <v>68.3</v>
      </c>
      <c r="B29" s="21" t="n">
        <v>0.89</v>
      </c>
    </row>
    <row r="30" customFormat="false" ht="15" hidden="false" customHeight="true" outlineLevel="0" collapsed="false">
      <c r="A30" s="21" t="n">
        <v>69.9</v>
      </c>
      <c r="B30" s="21" t="n">
        <v>0.86</v>
      </c>
    </row>
    <row r="31" customFormat="false" ht="15" hidden="false" customHeight="true" outlineLevel="0" collapsed="false">
      <c r="A31" s="21" t="n">
        <v>71.4</v>
      </c>
      <c r="B31" s="21" t="n">
        <v>0.83</v>
      </c>
    </row>
    <row r="32" customFormat="false" ht="15" hidden="false" customHeight="true" outlineLevel="0" collapsed="false">
      <c r="A32" s="21" t="n">
        <v>73</v>
      </c>
      <c r="B32" s="21" t="n">
        <v>0.81</v>
      </c>
    </row>
    <row r="33" customFormat="false" ht="15" hidden="false" customHeight="true" outlineLevel="0" collapsed="false">
      <c r="A33" s="21" t="n">
        <v>74.6</v>
      </c>
      <c r="B33" s="21" t="n">
        <v>0.78</v>
      </c>
    </row>
    <row r="34" customFormat="false" ht="15" hidden="false" customHeight="true" outlineLevel="0" collapsed="false">
      <c r="A34" s="21" t="n">
        <v>76.2</v>
      </c>
      <c r="B34" s="21" t="n">
        <v>0.76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true" outlineLevel="0" collapsed="false">
      <c r="A1" s="42" t="s">
        <v>110</v>
      </c>
    </row>
    <row r="3" customFormat="false" ht="15" hidden="false" customHeight="true" outlineLevel="0" collapsed="false">
      <c r="A3" s="1" t="s">
        <v>62</v>
      </c>
      <c r="B3" s="42" t="s">
        <v>111</v>
      </c>
      <c r="E3" s="42" t="s">
        <v>112</v>
      </c>
      <c r="H3" s="42" t="s">
        <v>113</v>
      </c>
      <c r="K3" s="42" t="s">
        <v>114</v>
      </c>
      <c r="N3" s="42" t="s">
        <v>115</v>
      </c>
      <c r="Q3" s="42" t="s">
        <v>116</v>
      </c>
    </row>
    <row r="4" customFormat="false" ht="15" hidden="false" customHeight="true" outlineLevel="0" collapsed="false">
      <c r="A4" s="43" t="n">
        <f aca="false">MIN(Diseno_Marshall!$B$17:$B$21)+0*(MAX(Diseno_Marshall!$B$17:$B$21)-MIN(Diseno_Marshall!$B$17:$B$21))/30</f>
        <v>5.5</v>
      </c>
      <c r="B4" s="44" t="n">
        <f aca="false">Diseno_Marshall!$B$33*A4^2+Diseno_Marshall!$C$33*A4+Diseno_Marshall!$D$33</f>
        <v>2.18870106667315</v>
      </c>
      <c r="E4" s="43" t="n">
        <f aca="false">Diseno_Marshall!$B$37*A4^2+Diseno_Marshall!$C$37*A4+Diseno_Marshall!$D$37</f>
        <v>5.08425851557789</v>
      </c>
      <c r="H4" s="45" t="n">
        <f aca="false">Diseno_Marshall!$B$38*A4^2+Diseno_Marshall!$C$38*A4+Diseno_Marshall!$D$38</f>
        <v>3.5</v>
      </c>
      <c r="K4" s="45" t="n">
        <f aca="false">Diseno_Marshall!$B$34*A4^2+Diseno_Marshall!$C$34*A4+Diseno_Marshall!$D$34</f>
        <v>4.01034820144837</v>
      </c>
      <c r="N4" s="45" t="n">
        <f aca="false">Diseno_Marshall!$B$36*A4^2+Diseno_Marshall!$C$36*A4+Diseno_Marshall!$D$36</f>
        <v>73.3429311270575</v>
      </c>
      <c r="Q4" s="45" t="n">
        <f aca="false">Diseno_Marshall!$B$35*A4^2+Diseno_Marshall!$C$35*A4+Diseno_Marshall!$D$35</f>
        <v>14.8795112559337</v>
      </c>
    </row>
    <row r="5" customFormat="false" ht="15" hidden="false" customHeight="true" outlineLevel="0" collapsed="false">
      <c r="A5" s="43" t="n">
        <f aca="false">MIN(Diseno_Marshall!$B$17:$B$21)+1*(MAX(Diseno_Marshall!$B$17:$B$21)-MIN(Diseno_Marshall!$B$17:$B$21))/30</f>
        <v>5.65</v>
      </c>
      <c r="B5" s="44" t="n">
        <f aca="false">Diseno_Marshall!$B$33*A5^2+Diseno_Marshall!$C$33*A5+Diseno_Marshall!$D$33</f>
        <v>2.18789535266774</v>
      </c>
      <c r="E5" s="43" t="n">
        <f aca="false">Diseno_Marshall!$B$37*A5^2+Diseno_Marshall!$C$37*A5+Diseno_Marshall!$D$37</f>
        <v>5.42263991622667</v>
      </c>
      <c r="H5" s="45" t="n">
        <f aca="false">Diseno_Marshall!$B$38*A5^2+Diseno_Marshall!$C$38*A5+Diseno_Marshall!$D$38</f>
        <v>3.5</v>
      </c>
      <c r="K5" s="45" t="n">
        <f aca="false">Diseno_Marshall!$B$34*A5^2+Diseno_Marshall!$C$34*A5+Diseno_Marshall!$D$34</f>
        <v>3.85699523095454</v>
      </c>
      <c r="N5" s="45" t="n">
        <f aca="false">Diseno_Marshall!$B$36*A5^2+Diseno_Marshall!$C$36*A5+Diseno_Marshall!$D$36</f>
        <v>74.6055150641918</v>
      </c>
      <c r="Q5" s="45" t="n">
        <f aca="false">Diseno_Marshall!$B$35*A5^2+Diseno_Marshall!$C$35*A5+Diseno_Marshall!$D$35</f>
        <v>15.0470055443678</v>
      </c>
    </row>
    <row r="6" customFormat="false" ht="15" hidden="false" customHeight="true" outlineLevel="0" collapsed="false">
      <c r="A6" s="43" t="n">
        <f aca="false">MIN(Diseno_Marshall!$B$17:$B$21)+2*(MAX(Diseno_Marshall!$B$17:$B$21)-MIN(Diseno_Marshall!$B$17:$B$21))/30</f>
        <v>5.8</v>
      </c>
      <c r="B6" s="44" t="n">
        <f aca="false">Diseno_Marshall!$B$33*A6^2+Diseno_Marshall!$C$33*A6+Diseno_Marshall!$D$33</f>
        <v>2.18711795916989</v>
      </c>
      <c r="E6" s="43" t="n">
        <f aca="false">Diseno_Marshall!$B$37*A6^2+Diseno_Marshall!$C$37*A6+Diseno_Marshall!$D$37</f>
        <v>5.74030250868734</v>
      </c>
      <c r="H6" s="45" t="n">
        <f aca="false">Diseno_Marshall!$B$38*A6^2+Diseno_Marshall!$C$38*A6+Diseno_Marshall!$D$38</f>
        <v>3.5</v>
      </c>
      <c r="K6" s="45" t="n">
        <f aca="false">Diseno_Marshall!$B$34*A6^2+Diseno_Marshall!$C$34*A6+Diseno_Marshall!$D$34</f>
        <v>3.70257122650614</v>
      </c>
      <c r="N6" s="45" t="n">
        <f aca="false">Diseno_Marshall!$B$36*A6^2+Diseno_Marshall!$C$36*A6+Diseno_Marshall!$D$36</f>
        <v>75.8547592833012</v>
      </c>
      <c r="Q6" s="45" t="n">
        <f aca="false">Diseno_Marshall!$B$35*A6^2+Diseno_Marshall!$C$35*A6+Diseno_Marshall!$D$35</f>
        <v>15.213275017413</v>
      </c>
    </row>
    <row r="7" customFormat="false" ht="15" hidden="false" customHeight="true" outlineLevel="0" collapsed="false">
      <c r="A7" s="43" t="n">
        <f aca="false">MIN(Diseno_Marshall!$B$17:$B$21)+3*(MAX(Diseno_Marshall!$B$17:$B$21)-MIN(Diseno_Marshall!$B$17:$B$21))/30</f>
        <v>5.95</v>
      </c>
      <c r="B7" s="44" t="n">
        <f aca="false">Diseno_Marshall!$B$33*A7^2+Diseno_Marshall!$C$33*A7+Diseno_Marshall!$D$33</f>
        <v>2.18636888617959</v>
      </c>
      <c r="E7" s="43" t="n">
        <f aca="false">Diseno_Marshall!$B$37*A7^2+Diseno_Marshall!$C$37*A7+Diseno_Marshall!$D$37</f>
        <v>6.0372462929599</v>
      </c>
      <c r="H7" s="45" t="n">
        <f aca="false">Diseno_Marshall!$B$38*A7^2+Diseno_Marshall!$C$38*A7+Diseno_Marshall!$D$38</f>
        <v>3.5</v>
      </c>
      <c r="K7" s="45" t="n">
        <f aca="false">Diseno_Marshall!$B$34*A7^2+Diseno_Marshall!$C$34*A7+Diseno_Marshall!$D$34</f>
        <v>3.54707618810316</v>
      </c>
      <c r="N7" s="45" t="n">
        <f aca="false">Diseno_Marshall!$B$36*A7^2+Diseno_Marshall!$C$36*A7+Diseno_Marshall!$D$36</f>
        <v>77.0906637843856</v>
      </c>
      <c r="Q7" s="45" t="n">
        <f aca="false">Diseno_Marshall!$B$35*A7^2+Diseno_Marshall!$C$35*A7+Diseno_Marshall!$D$35</f>
        <v>15.3783196750692</v>
      </c>
    </row>
    <row r="8" customFormat="false" ht="15" hidden="false" customHeight="true" outlineLevel="0" collapsed="false">
      <c r="A8" s="43" t="n">
        <f aca="false">MIN(Diseno_Marshall!$B$17:$B$21)+4*(MAX(Diseno_Marshall!$B$17:$B$21)-MIN(Diseno_Marshall!$B$17:$B$21))/30</f>
        <v>6.1</v>
      </c>
      <c r="B8" s="44" t="n">
        <f aca="false">Diseno_Marshall!$B$33*A8^2+Diseno_Marshall!$C$33*A8+Diseno_Marshall!$D$33</f>
        <v>2.18564813369684</v>
      </c>
      <c r="E8" s="43" t="n">
        <f aca="false">Diseno_Marshall!$B$37*A8^2+Diseno_Marshall!$C$37*A8+Diseno_Marshall!$D$37</f>
        <v>6.31347126904435</v>
      </c>
      <c r="H8" s="45" t="n">
        <f aca="false">Diseno_Marshall!$B$38*A8^2+Diseno_Marshall!$C$38*A8+Diseno_Marshall!$D$38</f>
        <v>3.5</v>
      </c>
      <c r="K8" s="45" t="n">
        <f aca="false">Diseno_Marshall!$B$34*A8^2+Diseno_Marshall!$C$34*A8+Diseno_Marshall!$D$34</f>
        <v>3.39051011574561</v>
      </c>
      <c r="N8" s="45" t="n">
        <f aca="false">Diseno_Marshall!$B$36*A8^2+Diseno_Marshall!$C$36*A8+Diseno_Marshall!$D$36</f>
        <v>78.3132285674452</v>
      </c>
      <c r="Q8" s="45" t="n">
        <f aca="false">Diseno_Marshall!$B$35*A8^2+Diseno_Marshall!$C$35*A8+Diseno_Marshall!$D$35</f>
        <v>15.5421395173365</v>
      </c>
    </row>
    <row r="9" customFormat="false" ht="15" hidden="false" customHeight="true" outlineLevel="0" collapsed="false">
      <c r="A9" s="43" t="n">
        <f aca="false">MIN(Diseno_Marshall!$B$17:$B$21)+5*(MAX(Diseno_Marshall!$B$17:$B$21)-MIN(Diseno_Marshall!$B$17:$B$21))/30</f>
        <v>6.25</v>
      </c>
      <c r="B9" s="44" t="n">
        <f aca="false">Diseno_Marshall!$B$33*A9^2+Diseno_Marshall!$C$33*A9+Diseno_Marshall!$D$33</f>
        <v>2.18495570172164</v>
      </c>
      <c r="E9" s="43" t="n">
        <f aca="false">Diseno_Marshall!$B$37*A9^2+Diseno_Marshall!$C$37*A9+Diseno_Marshall!$D$37</f>
        <v>6.5689774369407</v>
      </c>
      <c r="H9" s="45" t="n">
        <f aca="false">Diseno_Marshall!$B$38*A9^2+Diseno_Marshall!$C$38*A9+Diseno_Marshall!$D$38</f>
        <v>3.5</v>
      </c>
      <c r="K9" s="45" t="n">
        <f aca="false">Diseno_Marshall!$B$34*A9^2+Diseno_Marshall!$C$34*A9+Diseno_Marshall!$D$34</f>
        <v>3.23287300943348</v>
      </c>
      <c r="N9" s="45" t="n">
        <f aca="false">Diseno_Marshall!$B$36*A9^2+Diseno_Marshall!$C$36*A9+Diseno_Marshall!$D$36</f>
        <v>79.5224536324798</v>
      </c>
      <c r="Q9" s="45" t="n">
        <f aca="false">Diseno_Marshall!$B$35*A9^2+Diseno_Marshall!$C$35*A9+Diseno_Marshall!$D$35</f>
        <v>15.704734544215</v>
      </c>
    </row>
    <row r="10" customFormat="false" ht="15" hidden="false" customHeight="true" outlineLevel="0" collapsed="false">
      <c r="A10" s="43" t="n">
        <f aca="false">MIN(Diseno_Marshall!$B$17:$B$21)+6*(MAX(Diseno_Marshall!$B$17:$B$21)-MIN(Diseno_Marshall!$B$17:$B$21))/30</f>
        <v>6.4</v>
      </c>
      <c r="B10" s="44" t="n">
        <f aca="false">Diseno_Marshall!$B$33*A10^2+Diseno_Marshall!$C$33*A10+Diseno_Marshall!$D$33</f>
        <v>2.18429159025398</v>
      </c>
      <c r="E10" s="43" t="n">
        <f aca="false">Diseno_Marshall!$B$37*A10^2+Diseno_Marshall!$C$37*A10+Diseno_Marshall!$D$37</f>
        <v>6.80376479664893</v>
      </c>
      <c r="H10" s="45" t="n">
        <f aca="false">Diseno_Marshall!$B$38*A10^2+Diseno_Marshall!$C$38*A10+Diseno_Marshall!$D$38</f>
        <v>3.5</v>
      </c>
      <c r="K10" s="45" t="n">
        <f aca="false">Diseno_Marshall!$B$34*A10^2+Diseno_Marshall!$C$34*A10+Diseno_Marshall!$D$34</f>
        <v>3.07416486916676</v>
      </c>
      <c r="N10" s="45" t="n">
        <f aca="false">Diseno_Marshall!$B$36*A10^2+Diseno_Marshall!$C$36*A10+Diseno_Marshall!$D$36</f>
        <v>80.7183389794896</v>
      </c>
      <c r="Q10" s="45" t="n">
        <f aca="false">Diseno_Marshall!$B$35*A10^2+Diseno_Marshall!$C$35*A10+Diseno_Marshall!$D$35</f>
        <v>15.8661047557044</v>
      </c>
    </row>
    <row r="11" customFormat="false" ht="15" hidden="false" customHeight="true" outlineLevel="0" collapsed="false">
      <c r="A11" s="43" t="n">
        <f aca="false">MIN(Diseno_Marshall!$B$17:$B$21)+7*(MAX(Diseno_Marshall!$B$17:$B$21)-MIN(Diseno_Marshall!$B$17:$B$21))/30</f>
        <v>6.55</v>
      </c>
      <c r="B11" s="44" t="n">
        <f aca="false">Diseno_Marshall!$B$33*A11^2+Diseno_Marshall!$C$33*A11+Diseno_Marshall!$D$33</f>
        <v>2.18365579929388</v>
      </c>
      <c r="E11" s="43" t="n">
        <f aca="false">Diseno_Marshall!$B$37*A11^2+Diseno_Marshall!$C$37*A11+Diseno_Marshall!$D$37</f>
        <v>7.01783334816906</v>
      </c>
      <c r="H11" s="45" t="n">
        <f aca="false">Diseno_Marshall!$B$38*A11^2+Diseno_Marshall!$C$38*A11+Diseno_Marshall!$D$38</f>
        <v>3.5</v>
      </c>
      <c r="K11" s="45" t="n">
        <f aca="false">Diseno_Marshall!$B$34*A11^2+Diseno_Marshall!$C$34*A11+Diseno_Marshall!$D$34</f>
        <v>2.91438569494548</v>
      </c>
      <c r="N11" s="45" t="n">
        <f aca="false">Diseno_Marshall!$B$36*A11^2+Diseno_Marshall!$C$36*A11+Diseno_Marshall!$D$36</f>
        <v>81.9008846084744</v>
      </c>
      <c r="Q11" s="45" t="n">
        <f aca="false">Diseno_Marshall!$B$35*A11^2+Diseno_Marshall!$C$35*A11+Diseno_Marshall!$D$35</f>
        <v>16.026250151805</v>
      </c>
    </row>
    <row r="12" customFormat="false" ht="15" hidden="false" customHeight="true" outlineLevel="0" collapsed="false">
      <c r="A12" s="43" t="n">
        <f aca="false">MIN(Diseno_Marshall!$B$17:$B$21)+8*(MAX(Diseno_Marshall!$B$17:$B$21)-MIN(Diseno_Marshall!$B$17:$B$21))/30</f>
        <v>6.7</v>
      </c>
      <c r="B12" s="44" t="n">
        <f aca="false">Diseno_Marshall!$B$33*A12^2+Diseno_Marshall!$C$33*A12+Diseno_Marshall!$D$33</f>
        <v>2.18304832884132</v>
      </c>
      <c r="E12" s="43" t="n">
        <f aca="false">Diseno_Marshall!$B$37*A12^2+Diseno_Marshall!$C$37*A12+Diseno_Marshall!$D$37</f>
        <v>7.21118309150108</v>
      </c>
      <c r="H12" s="45" t="n">
        <f aca="false">Diseno_Marshall!$B$38*A12^2+Diseno_Marshall!$C$38*A12+Diseno_Marshall!$D$38</f>
        <v>3.5</v>
      </c>
      <c r="K12" s="45" t="n">
        <f aca="false">Diseno_Marshall!$B$34*A12^2+Diseno_Marshall!$C$34*A12+Diseno_Marshall!$D$34</f>
        <v>2.75353548676961</v>
      </c>
      <c r="N12" s="45" t="n">
        <f aca="false">Diseno_Marshall!$B$36*A12^2+Diseno_Marshall!$C$36*A12+Diseno_Marshall!$D$36</f>
        <v>83.0700905194343</v>
      </c>
      <c r="Q12" s="45" t="n">
        <f aca="false">Diseno_Marshall!$B$35*A12^2+Diseno_Marshall!$C$35*A12+Diseno_Marshall!$D$35</f>
        <v>16.1851707325167</v>
      </c>
    </row>
    <row r="13" customFormat="false" ht="15" hidden="false" customHeight="true" outlineLevel="0" collapsed="false">
      <c r="A13" s="43" t="n">
        <f aca="false">MIN(Diseno_Marshall!$B$17:$B$21)+9*(MAX(Diseno_Marshall!$B$17:$B$21)-MIN(Diseno_Marshall!$B$17:$B$21))/30</f>
        <v>6.85</v>
      </c>
      <c r="B13" s="44" t="n">
        <f aca="false">Diseno_Marshall!$B$33*A13^2+Diseno_Marshall!$C$33*A13+Diseno_Marshall!$D$33</f>
        <v>2.18246917889632</v>
      </c>
      <c r="E13" s="43" t="n">
        <f aca="false">Diseno_Marshall!$B$37*A13^2+Diseno_Marshall!$C$37*A13+Diseno_Marshall!$D$37</f>
        <v>7.383814026645</v>
      </c>
      <c r="H13" s="45" t="n">
        <f aca="false">Diseno_Marshall!$B$38*A13^2+Diseno_Marshall!$C$38*A13+Diseno_Marshall!$D$38</f>
        <v>3.5</v>
      </c>
      <c r="K13" s="45" t="n">
        <f aca="false">Diseno_Marshall!$B$34*A13^2+Diseno_Marshall!$C$34*A13+Diseno_Marshall!$D$34</f>
        <v>2.59161424463917</v>
      </c>
      <c r="N13" s="45" t="n">
        <f aca="false">Diseno_Marshall!$B$36*A13^2+Diseno_Marshall!$C$36*A13+Diseno_Marshall!$D$36</f>
        <v>84.2259567123693</v>
      </c>
      <c r="Q13" s="45" t="n">
        <f aca="false">Diseno_Marshall!$B$35*A13^2+Diseno_Marshall!$C$35*A13+Diseno_Marshall!$D$35</f>
        <v>16.3428664978394</v>
      </c>
    </row>
    <row r="14" customFormat="false" ht="15" hidden="false" customHeight="true" outlineLevel="0" collapsed="false">
      <c r="A14" s="43" t="n">
        <f aca="false">MIN(Diseno_Marshall!$B$17:$B$21)+10*(MAX(Diseno_Marshall!$B$17:$B$21)-MIN(Diseno_Marshall!$B$17:$B$21))/30</f>
        <v>7</v>
      </c>
      <c r="B14" s="44" t="n">
        <f aca="false">Diseno_Marshall!$B$33*A14^2+Diseno_Marshall!$C$33*A14+Diseno_Marshall!$D$33</f>
        <v>2.18191834945886</v>
      </c>
      <c r="E14" s="43" t="n">
        <f aca="false">Diseno_Marshall!$B$37*A14^2+Diseno_Marshall!$C$37*A14+Diseno_Marshall!$D$37</f>
        <v>7.5357261536008</v>
      </c>
      <c r="H14" s="45" t="n">
        <f aca="false">Diseno_Marshall!$B$38*A14^2+Diseno_Marshall!$C$38*A14+Diseno_Marshall!$D$38</f>
        <v>3.5</v>
      </c>
      <c r="K14" s="45" t="n">
        <f aca="false">Diseno_Marshall!$B$34*A14^2+Diseno_Marshall!$C$34*A14+Diseno_Marshall!$D$34</f>
        <v>2.42862196855415</v>
      </c>
      <c r="N14" s="45" t="n">
        <f aca="false">Diseno_Marshall!$B$36*A14^2+Diseno_Marshall!$C$36*A14+Diseno_Marshall!$D$36</f>
        <v>85.3684831872794</v>
      </c>
      <c r="Q14" s="45" t="n">
        <f aca="false">Diseno_Marshall!$B$35*A14^2+Diseno_Marshall!$C$35*A14+Diseno_Marshall!$D$35</f>
        <v>16.4993374477732</v>
      </c>
    </row>
    <row r="15" customFormat="false" ht="15" hidden="false" customHeight="true" outlineLevel="0" collapsed="false">
      <c r="A15" s="43" t="n">
        <f aca="false">MIN(Diseno_Marshall!$B$17:$B$21)+11*(MAX(Diseno_Marshall!$B$17:$B$21)-MIN(Diseno_Marshall!$B$17:$B$21))/30</f>
        <v>7.15</v>
      </c>
      <c r="B15" s="44" t="n">
        <f aca="false">Diseno_Marshall!$B$33*A15^2+Diseno_Marshall!$C$33*A15+Diseno_Marshall!$D$33</f>
        <v>2.18139584052895</v>
      </c>
      <c r="E15" s="43" t="n">
        <f aca="false">Diseno_Marshall!$B$37*A15^2+Diseno_Marshall!$C$37*A15+Diseno_Marshall!$D$37</f>
        <v>7.6669194723685</v>
      </c>
      <c r="H15" s="45" t="n">
        <f aca="false">Diseno_Marshall!$B$38*A15^2+Diseno_Marshall!$C$38*A15+Diseno_Marshall!$D$38</f>
        <v>3.5</v>
      </c>
      <c r="K15" s="45" t="n">
        <f aca="false">Diseno_Marshall!$B$34*A15^2+Diseno_Marshall!$C$34*A15+Diseno_Marshall!$D$34</f>
        <v>2.26455865851456</v>
      </c>
      <c r="N15" s="45" t="n">
        <f aca="false">Diseno_Marshall!$B$36*A15^2+Diseno_Marshall!$C$36*A15+Diseno_Marshall!$D$36</f>
        <v>86.4976699441645</v>
      </c>
      <c r="Q15" s="45" t="n">
        <f aca="false">Diseno_Marshall!$B$35*A15^2+Diseno_Marshall!$C$35*A15+Diseno_Marshall!$D$35</f>
        <v>16.6545835823181</v>
      </c>
    </row>
    <row r="16" customFormat="false" ht="15" hidden="false" customHeight="true" outlineLevel="0" collapsed="false">
      <c r="A16" s="43" t="n">
        <f aca="false">MIN(Diseno_Marshall!$B$17:$B$21)+12*(MAX(Diseno_Marshall!$B$17:$B$21)-MIN(Diseno_Marshall!$B$17:$B$21))/30</f>
        <v>7.3</v>
      </c>
      <c r="B16" s="44" t="n">
        <f aca="false">Diseno_Marshall!$B$33*A16^2+Diseno_Marshall!$C$33*A16+Diseno_Marshall!$D$33</f>
        <v>2.1809016521066</v>
      </c>
      <c r="E16" s="43" t="n">
        <f aca="false">Diseno_Marshall!$B$37*A16^2+Diseno_Marshall!$C$37*A16+Diseno_Marshall!$D$37</f>
        <v>7.77739398294808</v>
      </c>
      <c r="H16" s="45" t="n">
        <f aca="false">Diseno_Marshall!$B$38*A16^2+Diseno_Marshall!$C$38*A16+Diseno_Marshall!$D$38</f>
        <v>3.5</v>
      </c>
      <c r="K16" s="45" t="n">
        <f aca="false">Diseno_Marshall!$B$34*A16^2+Diseno_Marshall!$C$34*A16+Diseno_Marshall!$D$34</f>
        <v>2.09942431452038</v>
      </c>
      <c r="N16" s="45" t="n">
        <f aca="false">Diseno_Marshall!$B$36*A16^2+Diseno_Marshall!$C$36*A16+Diseno_Marshall!$D$36</f>
        <v>87.6135169830248</v>
      </c>
      <c r="Q16" s="45" t="n">
        <f aca="false">Diseno_Marshall!$B$35*A16^2+Diseno_Marshall!$C$35*A16+Diseno_Marshall!$D$35</f>
        <v>16.8086049014741</v>
      </c>
    </row>
    <row r="17" customFormat="false" ht="15" hidden="false" customHeight="true" outlineLevel="0" collapsed="false">
      <c r="A17" s="43" t="n">
        <f aca="false">MIN(Diseno_Marshall!$B$17:$B$21)+13*(MAX(Diseno_Marshall!$B$17:$B$21)-MIN(Diseno_Marshall!$B$17:$B$21))/30</f>
        <v>7.45</v>
      </c>
      <c r="B17" s="44" t="n">
        <f aca="false">Diseno_Marshall!$B$33*A17^2+Diseno_Marshall!$C$33*A17+Diseno_Marshall!$D$33</f>
        <v>2.18043578419179</v>
      </c>
      <c r="E17" s="43" t="n">
        <f aca="false">Diseno_Marshall!$B$37*A17^2+Diseno_Marshall!$C$37*A17+Diseno_Marshall!$D$37</f>
        <v>7.86714968533957</v>
      </c>
      <c r="H17" s="45" t="n">
        <f aca="false">Diseno_Marshall!$B$38*A17^2+Diseno_Marshall!$C$38*A17+Diseno_Marshall!$D$38</f>
        <v>3.5</v>
      </c>
      <c r="K17" s="45" t="n">
        <f aca="false">Diseno_Marshall!$B$34*A17^2+Diseno_Marshall!$C$34*A17+Diseno_Marshall!$D$34</f>
        <v>1.93321893657163</v>
      </c>
      <c r="N17" s="45" t="n">
        <f aca="false">Diseno_Marshall!$B$36*A17^2+Diseno_Marshall!$C$36*A17+Diseno_Marshall!$D$36</f>
        <v>88.7160243038601</v>
      </c>
      <c r="Q17" s="45" t="n">
        <f aca="false">Diseno_Marshall!$B$35*A17^2+Diseno_Marshall!$C$35*A17+Diseno_Marshall!$D$35</f>
        <v>16.9614014052411</v>
      </c>
    </row>
    <row r="18" customFormat="false" ht="15" hidden="false" customHeight="true" outlineLevel="0" collapsed="false">
      <c r="A18" s="43" t="n">
        <f aca="false">MIN(Diseno_Marshall!$B$17:$B$21)+14*(MAX(Diseno_Marshall!$B$17:$B$21)-MIN(Diseno_Marshall!$B$17:$B$21))/30</f>
        <v>7.6</v>
      </c>
      <c r="B18" s="44" t="n">
        <f aca="false">Diseno_Marshall!$B$33*A18^2+Diseno_Marshall!$C$33*A18+Diseno_Marshall!$D$33</f>
        <v>2.17999823678453</v>
      </c>
      <c r="E18" s="43" t="n">
        <f aca="false">Diseno_Marshall!$B$37*A18^2+Diseno_Marshall!$C$37*A18+Diseno_Marshall!$D$37</f>
        <v>7.93618657954294</v>
      </c>
      <c r="H18" s="45" t="n">
        <f aca="false">Diseno_Marshall!$B$38*A18^2+Diseno_Marshall!$C$38*A18+Diseno_Marshall!$D$38</f>
        <v>3.5</v>
      </c>
      <c r="K18" s="45" t="n">
        <f aca="false">Diseno_Marshall!$B$34*A18^2+Diseno_Marshall!$C$34*A18+Diseno_Marshall!$D$34</f>
        <v>1.76594252466831</v>
      </c>
      <c r="N18" s="45" t="n">
        <f aca="false">Diseno_Marshall!$B$36*A18^2+Diseno_Marshall!$C$36*A18+Diseno_Marshall!$D$36</f>
        <v>89.8051919066706</v>
      </c>
      <c r="Q18" s="45" t="n">
        <f aca="false">Diseno_Marshall!$B$35*A18^2+Diseno_Marshall!$C$35*A18+Diseno_Marshall!$D$35</f>
        <v>17.1129730936192</v>
      </c>
    </row>
    <row r="19" customFormat="false" ht="15" hidden="false" customHeight="true" outlineLevel="0" collapsed="false">
      <c r="A19" s="43" t="n">
        <f aca="false">MIN(Diseno_Marshall!$B$17:$B$21)+15*(MAX(Diseno_Marshall!$B$17:$B$21)-MIN(Diseno_Marshall!$B$17:$B$21))/30</f>
        <v>7.75</v>
      </c>
      <c r="B19" s="44" t="n">
        <f aca="false">Diseno_Marshall!$B$33*A19^2+Diseno_Marshall!$C$33*A19+Diseno_Marshall!$D$33</f>
        <v>2.17958900988482</v>
      </c>
      <c r="E19" s="43" t="n">
        <f aca="false">Diseno_Marshall!$B$37*A19^2+Diseno_Marshall!$C$37*A19+Diseno_Marshall!$D$37</f>
        <v>7.98450466555821</v>
      </c>
      <c r="H19" s="45" t="n">
        <f aca="false">Diseno_Marshall!$B$38*A19^2+Diseno_Marshall!$C$38*A19+Diseno_Marshall!$D$38</f>
        <v>3.5</v>
      </c>
      <c r="K19" s="45" t="n">
        <f aca="false">Diseno_Marshall!$B$34*A19^2+Diseno_Marshall!$C$34*A19+Diseno_Marshall!$D$34</f>
        <v>1.5975950788104</v>
      </c>
      <c r="N19" s="45" t="n">
        <f aca="false">Diseno_Marshall!$B$36*A19^2+Diseno_Marshall!$C$36*A19+Diseno_Marshall!$D$36</f>
        <v>90.8810197914561</v>
      </c>
      <c r="Q19" s="45" t="n">
        <f aca="false">Diseno_Marshall!$B$35*A19^2+Diseno_Marshall!$C$35*A19+Diseno_Marshall!$D$35</f>
        <v>17.2633199666084</v>
      </c>
    </row>
    <row r="20" customFormat="false" ht="15" hidden="false" customHeight="true" outlineLevel="0" collapsed="false">
      <c r="A20" s="43" t="n">
        <f aca="false">MIN(Diseno_Marshall!$B$17:$B$21)+16*(MAX(Diseno_Marshall!$B$17:$B$21)-MIN(Diseno_Marshall!$B$17:$B$21))/30</f>
        <v>7.9</v>
      </c>
      <c r="B20" s="44" t="n">
        <f aca="false">Diseno_Marshall!$B$33*A20^2+Diseno_Marshall!$C$33*A20+Diseno_Marshall!$D$33</f>
        <v>2.17920810349266</v>
      </c>
      <c r="E20" s="43" t="n">
        <f aca="false">Diseno_Marshall!$B$37*A20^2+Diseno_Marshall!$C$37*A20+Diseno_Marshall!$D$37</f>
        <v>8.01210394338537</v>
      </c>
      <c r="H20" s="45" t="n">
        <f aca="false">Diseno_Marshall!$B$38*A20^2+Diseno_Marshall!$C$38*A20+Diseno_Marshall!$D$38</f>
        <v>3.5</v>
      </c>
      <c r="K20" s="45" t="n">
        <f aca="false">Diseno_Marshall!$B$34*A20^2+Diseno_Marshall!$C$34*A20+Diseno_Marshall!$D$34</f>
        <v>1.42817659899792</v>
      </c>
      <c r="N20" s="45" t="n">
        <f aca="false">Diseno_Marshall!$B$36*A20^2+Diseno_Marshall!$C$36*A20+Diseno_Marshall!$D$36</f>
        <v>91.9435079582167</v>
      </c>
      <c r="Q20" s="45" t="n">
        <f aca="false">Diseno_Marshall!$B$35*A20^2+Diseno_Marshall!$C$35*A20+Diseno_Marshall!$D$35</f>
        <v>17.4124420242087</v>
      </c>
    </row>
    <row r="21" customFormat="false" ht="15" hidden="false" customHeight="true" outlineLevel="0" collapsed="false">
      <c r="A21" s="43" t="n">
        <f aca="false">MIN(Diseno_Marshall!$B$17:$B$21)+17*(MAX(Diseno_Marshall!$B$17:$B$21)-MIN(Diseno_Marshall!$B$17:$B$21))/30</f>
        <v>8.05</v>
      </c>
      <c r="B21" s="44" t="n">
        <f aca="false">Diseno_Marshall!$B$33*A21^2+Diseno_Marshall!$C$33*A21+Diseno_Marshall!$D$33</f>
        <v>2.17885551760805</v>
      </c>
      <c r="E21" s="43" t="n">
        <f aca="false">Diseno_Marshall!$B$37*A21^2+Diseno_Marshall!$C$37*A21+Diseno_Marshall!$D$37</f>
        <v>8.01898441302442</v>
      </c>
      <c r="H21" s="45" t="n">
        <f aca="false">Diseno_Marshall!$B$38*A21^2+Diseno_Marshall!$C$38*A21+Diseno_Marshall!$D$38</f>
        <v>3.5</v>
      </c>
      <c r="K21" s="45" t="n">
        <f aca="false">Diseno_Marshall!$B$34*A21^2+Diseno_Marshall!$C$34*A21+Diseno_Marshall!$D$34</f>
        <v>1.25768708523086</v>
      </c>
      <c r="N21" s="45" t="n">
        <f aca="false">Diseno_Marshall!$B$36*A21^2+Diseno_Marshall!$C$36*A21+Diseno_Marshall!$D$36</f>
        <v>92.9926564069524</v>
      </c>
      <c r="Q21" s="45" t="n">
        <f aca="false">Diseno_Marshall!$B$35*A21^2+Diseno_Marshall!$C$35*A21+Diseno_Marshall!$D$35</f>
        <v>17.5603392664201</v>
      </c>
    </row>
    <row r="22" customFormat="false" ht="15" hidden="false" customHeight="true" outlineLevel="0" collapsed="false">
      <c r="A22" s="43" t="n">
        <f aca="false">MIN(Diseno_Marshall!$B$17:$B$21)+18*(MAX(Diseno_Marshall!$B$17:$B$21)-MIN(Diseno_Marshall!$B$17:$B$21))/30</f>
        <v>8.2</v>
      </c>
      <c r="B22" s="44" t="n">
        <f aca="false">Diseno_Marshall!$B$33*A22^2+Diseno_Marshall!$C$33*A22+Diseno_Marshall!$D$33</f>
        <v>2.17853125223099</v>
      </c>
      <c r="E22" s="43" t="n">
        <f aca="false">Diseno_Marshall!$B$37*A22^2+Diseno_Marshall!$C$37*A22+Diseno_Marshall!$D$37</f>
        <v>8.00514607447536</v>
      </c>
      <c r="H22" s="45" t="n">
        <f aca="false">Diseno_Marshall!$B$38*A22^2+Diseno_Marshall!$C$38*A22+Diseno_Marshall!$D$38</f>
        <v>3.5</v>
      </c>
      <c r="K22" s="45" t="n">
        <f aca="false">Diseno_Marshall!$B$34*A22^2+Diseno_Marshall!$C$34*A22+Diseno_Marshall!$D$34</f>
        <v>1.08612653750923</v>
      </c>
      <c r="N22" s="45" t="n">
        <f aca="false">Diseno_Marshall!$B$36*A22^2+Diseno_Marshall!$C$36*A22+Diseno_Marshall!$D$36</f>
        <v>94.0284651376631</v>
      </c>
      <c r="Q22" s="45" t="n">
        <f aca="false">Diseno_Marshall!$B$35*A22^2+Diseno_Marshall!$C$35*A22+Diseno_Marshall!$D$35</f>
        <v>17.7070116932425</v>
      </c>
    </row>
    <row r="23" customFormat="false" ht="15" hidden="false" customHeight="true" outlineLevel="0" collapsed="false">
      <c r="A23" s="43" t="n">
        <f aca="false">MIN(Diseno_Marshall!$B$17:$B$21)+19*(MAX(Diseno_Marshall!$B$17:$B$21)-MIN(Diseno_Marshall!$B$17:$B$21))/30</f>
        <v>8.35</v>
      </c>
      <c r="B23" s="44" t="n">
        <f aca="false">Diseno_Marshall!$B$33*A23^2+Diseno_Marshall!$C$33*A23+Diseno_Marshall!$D$33</f>
        <v>2.17823530736148</v>
      </c>
      <c r="E23" s="43" t="n">
        <f aca="false">Diseno_Marshall!$B$37*A23^2+Diseno_Marshall!$C$37*A23+Diseno_Marshall!$D$37</f>
        <v>7.97058892773819</v>
      </c>
      <c r="H23" s="45" t="n">
        <f aca="false">Diseno_Marshall!$B$38*A23^2+Diseno_Marshall!$C$38*A23+Diseno_Marshall!$D$38</f>
        <v>3.5</v>
      </c>
      <c r="K23" s="45" t="n">
        <f aca="false">Diseno_Marshall!$B$34*A23^2+Diseno_Marshall!$C$34*A23+Diseno_Marshall!$D$34</f>
        <v>0.913494955833012</v>
      </c>
      <c r="N23" s="45" t="n">
        <f aca="false">Diseno_Marshall!$B$36*A23^2+Diseno_Marshall!$C$36*A23+Diseno_Marshall!$D$36</f>
        <v>95.050934150349</v>
      </c>
      <c r="Q23" s="45" t="n">
        <f aca="false">Diseno_Marshall!$B$35*A23^2+Diseno_Marshall!$C$35*A23+Diseno_Marshall!$D$35</f>
        <v>17.8524593046761</v>
      </c>
    </row>
    <row r="24" customFormat="false" ht="15" hidden="false" customHeight="true" outlineLevel="0" collapsed="false">
      <c r="A24" s="43" t="n">
        <f aca="false">MIN(Diseno_Marshall!$B$17:$B$21)+20*(MAX(Diseno_Marshall!$B$17:$B$21)-MIN(Diseno_Marshall!$B$17:$B$21))/30</f>
        <v>8.5</v>
      </c>
      <c r="B24" s="44" t="n">
        <f aca="false">Diseno_Marshall!$B$33*A24^2+Diseno_Marshall!$C$33*A24+Diseno_Marshall!$D$33</f>
        <v>2.17796768299951</v>
      </c>
      <c r="E24" s="43" t="n">
        <f aca="false">Diseno_Marshall!$B$37*A24^2+Diseno_Marshall!$C$37*A24+Diseno_Marshall!$D$37</f>
        <v>7.91531297281292</v>
      </c>
      <c r="H24" s="45" t="n">
        <f aca="false">Diseno_Marshall!$B$38*A24^2+Diseno_Marshall!$C$38*A24+Diseno_Marshall!$D$38</f>
        <v>3.5</v>
      </c>
      <c r="K24" s="45" t="n">
        <f aca="false">Diseno_Marshall!$B$34*A24^2+Diseno_Marshall!$C$34*A24+Diseno_Marshall!$D$34</f>
        <v>0.739792340202222</v>
      </c>
      <c r="N24" s="45" t="n">
        <f aca="false">Diseno_Marshall!$B$36*A24^2+Diseno_Marshall!$C$36*A24+Diseno_Marshall!$D$36</f>
        <v>96.0600634450099</v>
      </c>
      <c r="Q24" s="45" t="n">
        <f aca="false">Diseno_Marshall!$B$35*A24^2+Diseno_Marshall!$C$35*A24+Diseno_Marshall!$D$35</f>
        <v>17.9966821007207</v>
      </c>
    </row>
    <row r="25" customFormat="false" ht="15" hidden="false" customHeight="true" outlineLevel="0" collapsed="false">
      <c r="A25" s="43" t="n">
        <f aca="false">MIN(Diseno_Marshall!$B$17:$B$21)+21*(MAX(Diseno_Marshall!$B$17:$B$21)-MIN(Diseno_Marshall!$B$17:$B$21))/30</f>
        <v>8.65</v>
      </c>
      <c r="B25" s="44" t="n">
        <f aca="false">Diseno_Marshall!$B$33*A25^2+Diseno_Marshall!$C$33*A25+Diseno_Marshall!$D$33</f>
        <v>2.1777283791451</v>
      </c>
      <c r="E25" s="43" t="n">
        <f aca="false">Diseno_Marshall!$B$37*A25^2+Diseno_Marshall!$C$37*A25+Diseno_Marshall!$D$37</f>
        <v>7.83931820969954</v>
      </c>
      <c r="H25" s="45" t="n">
        <f aca="false">Diseno_Marshall!$B$38*A25^2+Diseno_Marshall!$C$38*A25+Diseno_Marshall!$D$38</f>
        <v>3.5</v>
      </c>
      <c r="K25" s="45" t="n">
        <f aca="false">Diseno_Marshall!$B$34*A25^2+Diseno_Marshall!$C$34*A25+Diseno_Marshall!$D$34</f>
        <v>0.565018690616853</v>
      </c>
      <c r="N25" s="45" t="n">
        <f aca="false">Diseno_Marshall!$B$36*A25^2+Diseno_Marshall!$C$36*A25+Diseno_Marshall!$D$36</f>
        <v>97.055853021646</v>
      </c>
      <c r="Q25" s="45" t="n">
        <f aca="false">Diseno_Marshall!$B$35*A25^2+Diseno_Marshall!$C$35*A25+Diseno_Marshall!$D$35</f>
        <v>18.1396800813763</v>
      </c>
    </row>
    <row r="26" customFormat="false" ht="15" hidden="false" customHeight="true" outlineLevel="0" collapsed="false">
      <c r="A26" s="43" t="n">
        <f aca="false">MIN(Diseno_Marshall!$B$17:$B$21)+22*(MAX(Diseno_Marshall!$B$17:$B$21)-MIN(Diseno_Marshall!$B$17:$B$21))/30</f>
        <v>8.8</v>
      </c>
      <c r="B26" s="44" t="n">
        <f aca="false">Diseno_Marshall!$B$33*A26^2+Diseno_Marshall!$C$33*A26+Diseno_Marshall!$D$33</f>
        <v>2.17751739579824</v>
      </c>
      <c r="E26" s="43" t="n">
        <f aca="false">Diseno_Marshall!$B$37*A26^2+Diseno_Marshall!$C$37*A26+Diseno_Marshall!$D$37</f>
        <v>7.74260463839806</v>
      </c>
      <c r="H26" s="45" t="n">
        <f aca="false">Diseno_Marshall!$B$38*A26^2+Diseno_Marshall!$C$38*A26+Diseno_Marshall!$D$38</f>
        <v>3.5</v>
      </c>
      <c r="K26" s="45" t="n">
        <f aca="false">Diseno_Marshall!$B$34*A26^2+Diseno_Marshall!$C$34*A26+Diseno_Marshall!$D$34</f>
        <v>0.389174007076909</v>
      </c>
      <c r="N26" s="45" t="n">
        <f aca="false">Diseno_Marshall!$B$36*A26^2+Diseno_Marshall!$C$36*A26+Diseno_Marshall!$D$36</f>
        <v>98.0383028802571</v>
      </c>
      <c r="Q26" s="45" t="n">
        <f aca="false">Diseno_Marshall!$B$35*A26^2+Diseno_Marshall!$C$35*A26+Diseno_Marshall!$D$35</f>
        <v>18.2814532466431</v>
      </c>
    </row>
    <row r="27" customFormat="false" ht="15" hidden="false" customHeight="true" outlineLevel="0" collapsed="false">
      <c r="A27" s="43" t="n">
        <f aca="false">MIN(Diseno_Marshall!$B$17:$B$21)+23*(MAX(Diseno_Marshall!$B$17:$B$21)-MIN(Diseno_Marshall!$B$17:$B$21))/30</f>
        <v>8.95</v>
      </c>
      <c r="B27" s="44" t="n">
        <f aca="false">Diseno_Marshall!$B$33*A27^2+Diseno_Marshall!$C$33*A27+Diseno_Marshall!$D$33</f>
        <v>2.17733473295892</v>
      </c>
      <c r="E27" s="43" t="n">
        <f aca="false">Diseno_Marshall!$B$37*A27^2+Diseno_Marshall!$C$37*A27+Diseno_Marshall!$D$37</f>
        <v>7.62517225890845</v>
      </c>
      <c r="H27" s="45" t="n">
        <f aca="false">Diseno_Marshall!$B$38*A27^2+Diseno_Marshall!$C$38*A27+Diseno_Marshall!$D$38</f>
        <v>3.5</v>
      </c>
      <c r="K27" s="45" t="n">
        <f aca="false">Diseno_Marshall!$B$34*A27^2+Diseno_Marshall!$C$34*A27+Diseno_Marshall!$D$34</f>
        <v>0.212258289582387</v>
      </c>
      <c r="N27" s="45" t="n">
        <f aca="false">Diseno_Marshall!$B$36*A27^2+Diseno_Marshall!$C$36*A27+Diseno_Marshall!$D$36</f>
        <v>99.0074130208433</v>
      </c>
      <c r="Q27" s="45" t="n">
        <f aca="false">Diseno_Marshall!$B$35*A27^2+Diseno_Marshall!$C$35*A27+Diseno_Marshall!$D$35</f>
        <v>18.422001596521</v>
      </c>
    </row>
    <row r="28" customFormat="false" ht="15" hidden="false" customHeight="true" outlineLevel="0" collapsed="false">
      <c r="A28" s="43" t="n">
        <f aca="false">MIN(Diseno_Marshall!$B$17:$B$21)+24*(MAX(Diseno_Marshall!$B$17:$B$21)-MIN(Diseno_Marshall!$B$17:$B$21))/30</f>
        <v>9.1</v>
      </c>
      <c r="B28" s="44" t="n">
        <f aca="false">Diseno_Marshall!$B$33*A28^2+Diseno_Marshall!$C$33*A28+Diseno_Marshall!$D$33</f>
        <v>2.17718039062716</v>
      </c>
      <c r="E28" s="43" t="n">
        <f aca="false">Diseno_Marshall!$B$37*A28^2+Diseno_Marshall!$C$37*A28+Diseno_Marshall!$D$37</f>
        <v>7.48702107123074</v>
      </c>
      <c r="H28" s="45" t="n">
        <f aca="false">Diseno_Marshall!$B$38*A28^2+Diseno_Marshall!$C$38*A28+Diseno_Marshall!$D$38</f>
        <v>3.5</v>
      </c>
      <c r="K28" s="45" t="n">
        <f aca="false">Diseno_Marshall!$B$34*A28^2+Diseno_Marshall!$C$34*A28+Diseno_Marshall!$D$34</f>
        <v>0.0342715381332894</v>
      </c>
      <c r="N28" s="45" t="n">
        <f aca="false">Diseno_Marshall!$B$36*A28^2+Diseno_Marshall!$C$36*A28+Diseno_Marshall!$D$36</f>
        <v>99.9631834434046</v>
      </c>
      <c r="Q28" s="45" t="n">
        <f aca="false">Diseno_Marshall!$B$35*A28^2+Diseno_Marshall!$C$35*A28+Diseno_Marshall!$D$35</f>
        <v>18.5613251310099</v>
      </c>
    </row>
    <row r="29" customFormat="false" ht="15" hidden="false" customHeight="true" outlineLevel="0" collapsed="false">
      <c r="A29" s="43" t="n">
        <f aca="false">MIN(Diseno_Marshall!$B$17:$B$21)+25*(MAX(Diseno_Marshall!$B$17:$B$21)-MIN(Diseno_Marshall!$B$17:$B$21))/30</f>
        <v>9.25</v>
      </c>
      <c r="B29" s="44" t="n">
        <f aca="false">Diseno_Marshall!$B$33*A29^2+Diseno_Marshall!$C$33*A29+Diseno_Marshall!$D$33</f>
        <v>2.17705436880294</v>
      </c>
      <c r="E29" s="43" t="n">
        <f aca="false">Diseno_Marshall!$B$37*A29^2+Diseno_Marshall!$C$37*A29+Diseno_Marshall!$D$37</f>
        <v>7.32815107536494</v>
      </c>
      <c r="H29" s="45" t="n">
        <f aca="false">Diseno_Marshall!$B$38*A29^2+Diseno_Marshall!$C$38*A29+Diseno_Marshall!$D$38</f>
        <v>3.5</v>
      </c>
      <c r="K29" s="45" t="n">
        <f aca="false">Diseno_Marshall!$B$34*A29^2+Diseno_Marshall!$C$34*A29+Diseno_Marshall!$D$34</f>
        <v>-0.144786247270387</v>
      </c>
      <c r="N29" s="45" t="n">
        <f aca="false">Diseno_Marshall!$B$36*A29^2+Diseno_Marshall!$C$36*A29+Diseno_Marshall!$D$36</f>
        <v>100.905614147941</v>
      </c>
      <c r="Q29" s="45" t="n">
        <f aca="false">Diseno_Marshall!$B$35*A29^2+Diseno_Marshall!$C$35*A29+Diseno_Marshall!$D$35</f>
        <v>18.6994238501099</v>
      </c>
    </row>
    <row r="30" customFormat="false" ht="15" hidden="false" customHeight="true" outlineLevel="0" collapsed="false">
      <c r="A30" s="43" t="n">
        <f aca="false">MIN(Diseno_Marshall!$B$17:$B$21)+26*(MAX(Diseno_Marshall!$B$17:$B$21)-MIN(Diseno_Marshall!$B$17:$B$21))/30</f>
        <v>9.4</v>
      </c>
      <c r="B30" s="44" t="n">
        <f aca="false">Diseno_Marshall!$B$33*A30^2+Diseno_Marshall!$C$33*A30+Diseno_Marshall!$D$33</f>
        <v>2.17695666748628</v>
      </c>
      <c r="E30" s="43" t="n">
        <f aca="false">Diseno_Marshall!$B$37*A30^2+Diseno_Marshall!$C$37*A30+Diseno_Marshall!$D$37</f>
        <v>7.148562271311</v>
      </c>
      <c r="H30" s="45" t="n">
        <f aca="false">Diseno_Marshall!$B$38*A30^2+Diseno_Marshall!$C$38*A30+Diseno_Marshall!$D$38</f>
        <v>3.5</v>
      </c>
      <c r="K30" s="45" t="n">
        <f aca="false">Diseno_Marshall!$B$34*A30^2+Diseno_Marshall!$C$34*A30+Diseno_Marshall!$D$34</f>
        <v>-0.324915066628643</v>
      </c>
      <c r="N30" s="45" t="n">
        <f aca="false">Diseno_Marshall!$B$36*A30^2+Diseno_Marshall!$C$36*A30+Diseno_Marshall!$D$36</f>
        <v>101.834705134452</v>
      </c>
      <c r="Q30" s="45" t="n">
        <f aca="false">Diseno_Marshall!$B$35*A30^2+Diseno_Marshall!$C$35*A30+Diseno_Marshall!$D$35</f>
        <v>18.836297753821</v>
      </c>
    </row>
    <row r="31" customFormat="false" ht="15" hidden="false" customHeight="true" outlineLevel="0" collapsed="false">
      <c r="A31" s="43" t="n">
        <f aca="false">MIN(Diseno_Marshall!$B$17:$B$21)+27*(MAX(Diseno_Marshall!$B$17:$B$21)-MIN(Diseno_Marshall!$B$17:$B$21))/30</f>
        <v>9.55</v>
      </c>
      <c r="B31" s="44" t="n">
        <f aca="false">Diseno_Marshall!$B$33*A31^2+Diseno_Marshall!$C$33*A31+Diseno_Marshall!$D$33</f>
        <v>2.17688728667716</v>
      </c>
      <c r="E31" s="43" t="n">
        <f aca="false">Diseno_Marshall!$B$37*A31^2+Diseno_Marshall!$C$37*A31+Diseno_Marshall!$D$37</f>
        <v>6.94825465906899</v>
      </c>
      <c r="H31" s="45" t="n">
        <f aca="false">Diseno_Marshall!$B$38*A31^2+Diseno_Marshall!$C$38*A31+Diseno_Marshall!$D$38</f>
        <v>3.5</v>
      </c>
      <c r="K31" s="45" t="n">
        <f aca="false">Diseno_Marshall!$B$34*A31^2+Diseno_Marshall!$C$34*A31+Diseno_Marshall!$D$34</f>
        <v>-0.506114919941473</v>
      </c>
      <c r="N31" s="45" t="n">
        <f aca="false">Diseno_Marshall!$B$36*A31^2+Diseno_Marshall!$C$36*A31+Diseno_Marshall!$D$36</f>
        <v>102.750456402939</v>
      </c>
      <c r="Q31" s="45" t="n">
        <f aca="false">Diseno_Marshall!$B$35*A31^2+Diseno_Marshall!$C$35*A31+Diseno_Marshall!$D$35</f>
        <v>18.9719468421431</v>
      </c>
    </row>
    <row r="32" customFormat="false" ht="15" hidden="false" customHeight="true" outlineLevel="0" collapsed="false">
      <c r="A32" s="43" t="n">
        <f aca="false">MIN(Diseno_Marshall!$B$17:$B$21)+28*(MAX(Diseno_Marshall!$B$17:$B$21)-MIN(Diseno_Marshall!$B$17:$B$21))/30</f>
        <v>9.7</v>
      </c>
      <c r="B32" s="44" t="n">
        <f aca="false">Diseno_Marshall!$B$33*A32^2+Diseno_Marshall!$C$33*A32+Diseno_Marshall!$D$33</f>
        <v>2.17684622637559</v>
      </c>
      <c r="E32" s="43" t="n">
        <f aca="false">Diseno_Marshall!$B$37*A32^2+Diseno_Marshall!$C$37*A32+Diseno_Marshall!$D$37</f>
        <v>6.72722823863884</v>
      </c>
      <c r="H32" s="45" t="n">
        <f aca="false">Diseno_Marshall!$B$38*A32^2+Diseno_Marshall!$C$38*A32+Diseno_Marshall!$D$38</f>
        <v>3.5</v>
      </c>
      <c r="K32" s="45" t="n">
        <f aca="false">Diseno_Marshall!$B$34*A32^2+Diseno_Marshall!$C$34*A32+Diseno_Marshall!$D$34</f>
        <v>-0.68838580720888</v>
      </c>
      <c r="N32" s="45" t="n">
        <f aca="false">Diseno_Marshall!$B$36*A32^2+Diseno_Marshall!$C$36*A32+Diseno_Marshall!$D$36</f>
        <v>103.652867953401</v>
      </c>
      <c r="Q32" s="45" t="n">
        <f aca="false">Diseno_Marshall!$B$35*A32^2+Diseno_Marshall!$C$35*A32+Diseno_Marshall!$D$35</f>
        <v>19.1063711150764</v>
      </c>
    </row>
    <row r="33" customFormat="false" ht="15" hidden="false" customHeight="true" outlineLevel="0" collapsed="false">
      <c r="A33" s="43" t="n">
        <f aca="false">MIN(Diseno_Marshall!$B$17:$B$21)+29*(MAX(Diseno_Marshall!$B$17:$B$21)-MIN(Diseno_Marshall!$B$17:$B$21))/30</f>
        <v>9.85</v>
      </c>
      <c r="B33" s="44" t="n">
        <f aca="false">Diseno_Marshall!$B$33*A33^2+Diseno_Marshall!$C$33*A33+Diseno_Marshall!$D$33</f>
        <v>2.17683348658157</v>
      </c>
      <c r="E33" s="43" t="n">
        <f aca="false">Diseno_Marshall!$B$37*A33^2+Diseno_Marshall!$C$37*A33+Diseno_Marshall!$D$37</f>
        <v>6.48548301002061</v>
      </c>
      <c r="H33" s="45" t="n">
        <f aca="false">Diseno_Marshall!$B$38*A33^2+Diseno_Marshall!$C$38*A33+Diseno_Marshall!$D$38</f>
        <v>3.5</v>
      </c>
      <c r="K33" s="45" t="n">
        <f aca="false">Diseno_Marshall!$B$34*A33^2+Diseno_Marshall!$C$34*A33+Diseno_Marshall!$D$34</f>
        <v>-0.871727728430864</v>
      </c>
      <c r="N33" s="45" t="n">
        <f aca="false">Diseno_Marshall!$B$36*A33^2+Diseno_Marshall!$C$36*A33+Diseno_Marshall!$D$36</f>
        <v>104.541939785837</v>
      </c>
      <c r="Q33" s="45" t="n">
        <f aca="false">Diseno_Marshall!$B$35*A33^2+Diseno_Marshall!$C$35*A33+Diseno_Marshall!$D$35</f>
        <v>19.2395705726207</v>
      </c>
    </row>
    <row r="34" customFormat="false" ht="15" hidden="false" customHeight="true" outlineLevel="0" collapsed="false">
      <c r="A34" s="43" t="n">
        <f aca="false">MIN(Diseno_Marshall!$B$17:$B$21)+30*(MAX(Diseno_Marshall!$B$17:$B$21)-MIN(Diseno_Marshall!$B$17:$B$21))/30</f>
        <v>10</v>
      </c>
      <c r="B34" s="44" t="n">
        <f aca="false">Diseno_Marshall!$B$33*A34^2+Diseno_Marshall!$C$33*A34+Diseno_Marshall!$D$33</f>
        <v>2.17684906729511</v>
      </c>
      <c r="E34" s="43" t="n">
        <f aca="false">Diseno_Marshall!$B$37*A34^2+Diseno_Marshall!$C$37*A34+Diseno_Marshall!$D$37</f>
        <v>6.22301897321425</v>
      </c>
      <c r="H34" s="45" t="n">
        <f aca="false">Diseno_Marshall!$B$38*A34^2+Diseno_Marshall!$C$38*A34+Diseno_Marshall!$D$38</f>
        <v>3.5</v>
      </c>
      <c r="K34" s="45" t="n">
        <f aca="false">Diseno_Marshall!$B$34*A34^2+Diseno_Marshall!$C$34*A34+Diseno_Marshall!$D$34</f>
        <v>-1.05614068360743</v>
      </c>
      <c r="N34" s="45" t="n">
        <f aca="false">Diseno_Marshall!$B$36*A34^2+Diseno_Marshall!$C$36*A34+Diseno_Marshall!$D$36</f>
        <v>105.417671900249</v>
      </c>
      <c r="Q34" s="45" t="n">
        <f aca="false">Diseno_Marshall!$B$35*A34^2+Diseno_Marshall!$C$35*A34+Diseno_Marshall!$D$35</f>
        <v>19.3715452147761</v>
      </c>
    </row>
    <row r="39" customFormat="false" ht="15" hidden="false" customHeight="true" outlineLevel="0" collapsed="false">
      <c r="A39" s="42" t="s">
        <v>117</v>
      </c>
      <c r="B39" s="42" t="s">
        <v>118</v>
      </c>
      <c r="C39" s="42" t="s">
        <v>119</v>
      </c>
      <c r="E39" s="42" t="s">
        <v>120</v>
      </c>
      <c r="F39" s="42" t="s">
        <v>119</v>
      </c>
      <c r="H39" s="42" t="s">
        <v>121</v>
      </c>
      <c r="I39" s="42" t="s">
        <v>119</v>
      </c>
      <c r="K39" s="42" t="s">
        <v>122</v>
      </c>
      <c r="L39" s="42" t="s">
        <v>119</v>
      </c>
      <c r="N39" s="42" t="s">
        <v>123</v>
      </c>
      <c r="O39" s="42" t="s">
        <v>119</v>
      </c>
      <c r="Q39" s="42" t="s">
        <v>124</v>
      </c>
      <c r="R39" s="42" t="s">
        <v>119</v>
      </c>
    </row>
    <row r="40" customFormat="false" ht="15" hidden="false" customHeight="true" outlineLevel="0" collapsed="false">
      <c r="A40" s="1" t="n">
        <v>5</v>
      </c>
      <c r="B40" s="1" t="n">
        <v>2.14</v>
      </c>
      <c r="C40" s="1" t="n">
        <v>2.22</v>
      </c>
      <c r="E40" s="1" t="n">
        <v>4</v>
      </c>
      <c r="F40" s="1" t="n">
        <v>9</v>
      </c>
      <c r="H40" s="1" t="n">
        <v>3</v>
      </c>
      <c r="I40" s="1" t="n">
        <v>7</v>
      </c>
      <c r="K40" s="1" t="n">
        <v>-2</v>
      </c>
      <c r="L40" s="1" t="n">
        <v>6</v>
      </c>
      <c r="N40" s="1" t="n">
        <v>60</v>
      </c>
      <c r="O40" s="1" t="n">
        <v>110</v>
      </c>
      <c r="Q40" s="1" t="n">
        <v>12</v>
      </c>
      <c r="R40" s="1" t="n">
        <v>21</v>
      </c>
    </row>
    <row r="42" customFormat="false" ht="15" hidden="false" customHeight="true" outlineLevel="0" collapsed="false">
      <c r="B42" s="1" t="s">
        <v>125</v>
      </c>
      <c r="C42" s="1" t="s">
        <v>126</v>
      </c>
      <c r="E42" s="1" t="s">
        <v>125</v>
      </c>
      <c r="F42" s="1" t="s">
        <v>126</v>
      </c>
      <c r="H42" s="1" t="s">
        <v>125</v>
      </c>
      <c r="I42" s="1" t="s">
        <v>126</v>
      </c>
      <c r="K42" s="1" t="s">
        <v>125</v>
      </c>
      <c r="L42" s="1" t="s">
        <v>126</v>
      </c>
      <c r="N42" s="1" t="s">
        <v>125</v>
      </c>
      <c r="O42" s="1" t="s">
        <v>126</v>
      </c>
      <c r="Q42" s="1" t="s">
        <v>125</v>
      </c>
      <c r="R42" s="1" t="s">
        <v>126</v>
      </c>
    </row>
    <row r="43" customFormat="false" ht="15" hidden="false" customHeight="true" outlineLevel="0" collapsed="false">
      <c r="B43" s="45" t="n">
        <f aca="false">Diseno_Marshall!$F$41</f>
        <v>6</v>
      </c>
      <c r="C43" s="44" t="n">
        <f aca="false">B40</f>
        <v>2.14</v>
      </c>
      <c r="E43" s="45" t="n">
        <f aca="false">Diseno_Marshall!$F$41</f>
        <v>6</v>
      </c>
      <c r="F43" s="43" t="n">
        <f aca="false">E40</f>
        <v>4</v>
      </c>
      <c r="H43" s="45" t="n">
        <f aca="false">Diseno_Marshall!$F$41</f>
        <v>6</v>
      </c>
      <c r="I43" s="45" t="n">
        <f aca="false">H40</f>
        <v>3</v>
      </c>
      <c r="K43" s="45" t="n">
        <f aca="false">Diseno_Marshall!$F$41</f>
        <v>6</v>
      </c>
      <c r="L43" s="45" t="n">
        <f aca="false">K40</f>
        <v>-2</v>
      </c>
      <c r="N43" s="45" t="n">
        <f aca="false">Diseno_Marshall!$F$41</f>
        <v>6</v>
      </c>
      <c r="O43" s="45" t="n">
        <f aca="false">N40</f>
        <v>60</v>
      </c>
      <c r="Q43" s="45" t="n">
        <f aca="false">Diseno_Marshall!$F$41</f>
        <v>6</v>
      </c>
      <c r="R43" s="45" t="n">
        <f aca="false">Q40</f>
        <v>12</v>
      </c>
    </row>
    <row r="44" customFormat="false" ht="15" hidden="false" customHeight="true" outlineLevel="0" collapsed="false">
      <c r="B44" s="45" t="n">
        <f aca="false">Diseno_Marshall!$F$41</f>
        <v>6</v>
      </c>
      <c r="C44" s="44" t="n">
        <f aca="false">Diseno_Marshall!$B$33*Diseno_Marshall!$F$41^2+Diseno_Marshall!$C$33*Diseno_Marshall!$F$41+Diseno_Marshall!$D$33</f>
        <v>2.18612548862895</v>
      </c>
      <c r="E44" s="45" t="n">
        <f aca="false">Diseno_Marshall!$F$41</f>
        <v>6</v>
      </c>
      <c r="F44" s="43" t="n">
        <f aca="false">Diseno_Marshall!$B$37*Diseno_Marshall!$F$41^2+Diseno_Marshall!$C$37*Diseno_Marshall!$F$41+Diseno_Marshall!$D$37</f>
        <v>6.13162337478673</v>
      </c>
      <c r="H44" s="45" t="n">
        <f aca="false">Diseno_Marshall!$F$41</f>
        <v>6</v>
      </c>
      <c r="I44" s="45" t="n">
        <f aca="false">Diseno_Marshall!$B$38*Diseno_Marshall!$F$41^2+Diseno_Marshall!$C$38*Diseno_Marshall!$F$41+Diseno_Marshall!$D$38</f>
        <v>3.5</v>
      </c>
      <c r="K44" s="45" t="n">
        <f aca="false">Diseno_Marshall!$F$41</f>
        <v>6</v>
      </c>
      <c r="L44" s="45" t="n">
        <f aca="false">Diseno_Marshall!$B$34*Diseno_Marshall!$F$41^2+Diseno_Marshall!$C$34*Diseno_Marshall!$F$41+Diseno_Marshall!$D$34</f>
        <v>3.49500650109004</v>
      </c>
      <c r="N44" s="45" t="n">
        <f aca="false">Diseno_Marshall!$F$41</f>
        <v>6</v>
      </c>
      <c r="O44" s="45" t="n">
        <f aca="false">Diseno_Marshall!$B$36*Diseno_Marshall!$F$41^2+Diseno_Marshall!$C$36*Diseno_Marshall!$F$41+Diseno_Marshall!$D$36</f>
        <v>77.4996675696305</v>
      </c>
      <c r="Q44" s="45" t="n">
        <f aca="false">Diseno_Marshall!$F$41</f>
        <v>6</v>
      </c>
      <c r="R44" s="45" t="n">
        <f aca="false">Diseno_Marshall!$B$35*Diseno_Marshall!$F$41^2+Diseno_Marshall!$C$35*Diseno_Marshall!$F$41+Diseno_Marshall!$D$35</f>
        <v>15.4330623797571</v>
      </c>
    </row>
    <row r="45" customFormat="false" ht="15" hidden="false" customHeight="true" outlineLevel="0" collapsed="false">
      <c r="B45" s="45" t="n">
        <v>5</v>
      </c>
      <c r="C45" s="44" t="n">
        <f aca="false">Diseno_Marshall!$B$33*Diseno_Marshall!$F$41^2+Diseno_Marshall!$C$33*Diseno_Marshall!$F$41+Diseno_Marshall!$D$33</f>
        <v>2.18612548862895</v>
      </c>
      <c r="E45" s="45" t="n">
        <v>5</v>
      </c>
      <c r="F45" s="43" t="n">
        <f aca="false">Diseno_Marshall!$B$37*Diseno_Marshall!$F$41^2+Diseno_Marshall!$C$37*Diseno_Marshall!$F$41+Diseno_Marshall!$D$37</f>
        <v>6.13162337478673</v>
      </c>
      <c r="H45" s="45" t="n">
        <v>5</v>
      </c>
      <c r="I45" s="45" t="n">
        <f aca="false">Diseno_Marshall!$B$38*Diseno_Marshall!$F$41^2+Diseno_Marshall!$C$38*Diseno_Marshall!$F$41+Diseno_Marshall!$D$38</f>
        <v>3.5</v>
      </c>
      <c r="K45" s="45" t="n">
        <v>5</v>
      </c>
      <c r="L45" s="45" t="n">
        <f aca="false">Diseno_Marshall!$B$34*Diseno_Marshall!$F$41^2+Diseno_Marshall!$C$34*Diseno_Marshall!$F$41+Diseno_Marshall!$D$34</f>
        <v>3.49500650109004</v>
      </c>
      <c r="N45" s="45" t="n">
        <v>5</v>
      </c>
      <c r="O45" s="45" t="n">
        <f aca="false">Diseno_Marshall!$B$36*Diseno_Marshall!$F$41^2+Diseno_Marshall!$C$36*Diseno_Marshall!$F$41+Diseno_Marshall!$D$36</f>
        <v>77.4996675696305</v>
      </c>
      <c r="Q45" s="45" t="n">
        <v>5</v>
      </c>
      <c r="R45" s="45" t="n">
        <f aca="false">Diseno_Marshall!$B$35*Diseno_Marshall!$F$41^2+Diseno_Marshall!$C$35*Diseno_Marshall!$F$41+Diseno_Marshall!$D$35</f>
        <v>15.4330623797571</v>
      </c>
    </row>
    <row r="46" customFormat="false" ht="15" hidden="false" customHeight="true" outlineLevel="0" collapsed="false">
      <c r="B46" s="1" t="str">
        <f aca="false">TEXT(Diseno_Marshall!$F$41,"0.0")</f>
        <v>6.0</v>
      </c>
      <c r="E46" s="1" t="str">
        <f aca="false">TEXT(Diseno_Marshall!$F$41,"0.0")</f>
        <v>6.0</v>
      </c>
      <c r="H46" s="1" t="str">
        <f aca="false">TEXT(Diseno_Marshall!$F$41,"0.0")</f>
        <v>6.0</v>
      </c>
      <c r="K46" s="1" t="str">
        <f aca="false">TEXT(Diseno_Marshall!$F$41,"0.0")</f>
        <v>6.0</v>
      </c>
      <c r="N46" s="1" t="str">
        <f aca="false">TEXT(Diseno_Marshall!$F$41,"0.0")</f>
        <v>6.0</v>
      </c>
      <c r="Q46" s="1" t="str">
        <f aca="false">TEXT(Diseno_Marshall!$F$41,"0.0")</f>
        <v>6.0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2026-10-05T13:59:06Z</dcterms:created>
  <dc:creator>openpyxl</dc:creator>
  <dc:description/>
  <dc:language>en-US</dc:language>
  <cp:lastModifiedBy/>
  <dcterms:modified xsi:type="dcterms:W3CDTF">2026-10-05T15:57:00Z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