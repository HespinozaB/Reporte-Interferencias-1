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seno_Marshall" sheetId="1" state="visible" r:id="rId3"/>
    <sheet name="Graficas_Marshall" sheetId="2" state="visible" r:id="rId4"/>
    <sheet name="Factor_Altura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4" authorId="0">
      <text>
        <r>
          <rPr>
            <sz val="10"/>
            <rFont val="Arial"/>
            <family val="2"/>
          </rPr>
          <t xml:space="preserve">Agregado: MTC E 514 / ASTM D2726: el método SSS es válido si la absorción de agua de la briqueta es &lt;= 2 %; si no, usar parafina (ASTM D1188).</t>
        </r>
      </text>
    </comment>
    <comment ref="J15" authorId="0">
      <text>
        <r>
          <rPr>
            <sz val="10"/>
            <rFont val="Arial"/>
            <family val="2"/>
          </rPr>
          <t xml:space="preserve">Agregado: EG-2013 Tabla 423-06, relación Estabilidad/Flujo 1700-4000 kg/cm.</t>
        </r>
      </text>
    </comment>
    <comment ref="K13" authorId="0">
      <text>
        <r>
          <rPr>
            <sz val="10"/>
            <rFont val="Arial"/>
            <family val="2"/>
          </rPr>
          <t xml:space="preserve">Corregido 75 -&gt; 78. EG-2013 no fija VFA; se adopta Instituto del Asfalto MS-2, tránsito medio (equivalente a Clase B, 50 golpes): VFA 65-78 %.</t>
        </r>
      </text>
    </comment>
    <comment ref="L17" authorId="0">
      <text>
        <r>
          <rPr>
            <sz val="10"/>
            <rFont val="Arial"/>
            <family val="2"/>
          </rPr>
          <t xml:space="preserve">Dato original: 582 g. Corregido: con 578.5 g el volumen por desplazamiento (563.5 cc) supera al volumen geométrico (527 cc) y da Gmb = 2.021 &lt; densidad geométrica 2.161, lo que es físicamente imposible. Se asume Gmb(M1) = densidad geométrica x relación media Gmb/Dgeo de M2-M5 (1.022). Reemplazar por la pesada real si se dispone.</t>
        </r>
      </text>
    </comment>
    <comment ref="M17" authorId="0">
      <text>
        <r>
          <rPr>
            <sz val="10"/>
            <rFont val="Arial"/>
            <family val="2"/>
          </rPr>
          <t xml:space="preserve">Dato original: 575 g. Corregido: con 578.5 g el volumen por desplazamiento (563.5 cc) supera al volumen geométrico (527 cc) y da Gmb = 2.021 &lt; densidad geométrica 2.161, lo que es físicamente imposible. Se asume Gmb(M1) = densidad geométrica x relación media Gmb/Dgeo de M2-M5 (1.022). Reemplazar por la pesada real si se dispone.</t>
        </r>
      </text>
    </comment>
  </commentList>
</comments>
</file>

<file path=xl/sharedStrings.xml><?xml version="1.0" encoding="utf-8"?>
<sst xmlns="http://schemas.openxmlformats.org/spreadsheetml/2006/main" count="111" uniqueCount="100">
  <si>
    <t xml:space="preserve">LABORATORIO DE ASFALTOS</t>
  </si>
  <si>
    <t xml:space="preserve">DISEÑO DE MEZCLAS ASFÁLTICAS EN CALIENTE - MÉTODO MARSHALL</t>
  </si>
  <si>
    <t xml:space="preserve">Proyecto:</t>
  </si>
  <si>
    <t xml:space="preserve">Práctica académica de diseño Marshall - Maestría UNA Puno</t>
  </si>
  <si>
    <t xml:space="preserve">Mezcla:</t>
  </si>
  <si>
    <t xml:space="preserve">MAC-2 fina (huso MAC-2, MTC EG-2013)</t>
  </si>
  <si>
    <t xml:space="preserve">C.A.:</t>
  </si>
  <si>
    <t xml:space="preserve">PEN 120-150</t>
  </si>
  <si>
    <t xml:space="preserve">Compactación:</t>
  </si>
  <si>
    <t xml:space="preserve">50 golpes por cara</t>
  </si>
  <si>
    <t xml:space="preserve">PARÁMETROS DE DISEÑO (celdas amarillas editables)</t>
  </si>
  <si>
    <t xml:space="preserve">ESPECIFICACIONES (EG-2013, Clase B)</t>
  </si>
  <si>
    <t xml:space="preserve">Mín.</t>
  </si>
  <si>
    <t xml:space="preserve">Máx.</t>
  </si>
  <si>
    <t xml:space="preserve">Gb  - Peso específico del asfalto</t>
  </si>
  <si>
    <t xml:space="preserve">Estabilidad mínima (kN)</t>
  </si>
  <si>
    <t xml:space="preserve">Gsb - Peso esp. bulk agregado combinado</t>
  </si>
  <si>
    <t xml:space="preserve">Flujo (mm)</t>
  </si>
  <si>
    <t xml:space="preserve">Gse - Peso esp. efectivo del agregado</t>
  </si>
  <si>
    <t xml:space="preserve">Vacíos de aire Va (%)</t>
  </si>
  <si>
    <t xml:space="preserve">Pba - % asfalto absorbido (% peso agregado)</t>
  </si>
  <si>
    <t xml:space="preserve">VMA mínimo (%) - TMN 12.5 mm</t>
  </si>
  <si>
    <t xml:space="preserve">Diámetro de briqueta (cm)</t>
  </si>
  <si>
    <t xml:space="preserve">VFA (%) - MS-2 tránsito medio</t>
  </si>
  <si>
    <t xml:space="preserve">Absorción máx. para método SSS (%)</t>
  </si>
  <si>
    <t xml:space="preserve">Va objetivo para óptimo (%)</t>
  </si>
  <si>
    <t xml:space="preserve">Estab./Flujo (kg/cm)</t>
  </si>
  <si>
    <t xml:space="preserve">Muestra</t>
  </si>
  <si>
    <t xml:space="preserve">Pb
(%)</t>
  </si>
  <si>
    <t xml:space="preserve">Ps
(%)</t>
  </si>
  <si>
    <t xml:space="preserve">h1
(cm)</t>
  </si>
  <si>
    <t xml:space="preserve">h2
(cm)</t>
  </si>
  <si>
    <t xml:space="preserve">h3
(cm)</t>
  </si>
  <si>
    <t xml:space="preserve">h4
(cm)</t>
  </si>
  <si>
    <t xml:space="preserve">h prom.
(cm)</t>
  </si>
  <si>
    <t xml:space="preserve">Factor
correc.</t>
  </si>
  <si>
    <t xml:space="preserve">Peso seco
aire (g)</t>
  </si>
  <si>
    <t xml:space="preserve">Peso SSS
(g)</t>
  </si>
  <si>
    <t xml:space="preserve">Sumerg. 1
(g)</t>
  </si>
  <si>
    <t xml:space="preserve">Sumerg. 2
(g)</t>
  </si>
  <si>
    <t xml:space="preserve">Sumerg.
prom. (g)</t>
  </si>
  <si>
    <t xml:space="preserve">Vol.
bulk (cc)</t>
  </si>
  <si>
    <t xml:space="preserve">Gmb</t>
  </si>
  <si>
    <t xml:space="preserve">Gmm
teórica</t>
  </si>
  <si>
    <t xml:space="preserve">Va
(%)</t>
  </si>
  <si>
    <t xml:space="preserve">VMA
(%)</t>
  </si>
  <si>
    <t xml:space="preserve">VFA
(%)</t>
  </si>
  <si>
    <t xml:space="preserve">Pbe
(%)</t>
  </si>
  <si>
    <t xml:space="preserve">Estab.
leída (kg)</t>
  </si>
  <si>
    <t xml:space="preserve">Estab.
correg. (kg)</t>
  </si>
  <si>
    <t xml:space="preserve">Estab.
correg. (kN)</t>
  </si>
  <si>
    <t xml:space="preserve">Flujo
(mm)</t>
  </si>
  <si>
    <t xml:space="preserve">Est./Flujo
(kg/cm)</t>
  </si>
  <si>
    <t xml:space="preserve">Densidad
geom.</t>
  </si>
  <si>
    <t xml:space="preserve">Absorción
agua (%)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</si>
  <si>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</si>
  <si>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</si>
  <si>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</si>
  <si>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</si>
  <si>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</si>
  <si>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VERIFICACIÓN POR BRIQUETA</t>
  </si>
  <si>
    <t xml:space="preserve">Pb (%)</t>
  </si>
  <si>
    <t xml:space="preserve">VMA ≥ mín</t>
  </si>
  <si>
    <t xml:space="preserve">Estab. ≥ mín</t>
  </si>
  <si>
    <t xml:space="preserve">Estado</t>
  </si>
  <si>
    <t xml:space="preserve">CONTENIDO ÓPTIMO DE ASFALTO (ajuste parabólico y = a·Pb² + b·Pb + c, criterio Instituto del Asfalto MS-2)</t>
  </si>
  <si>
    <t xml:space="preserve">Propiedad</t>
  </si>
  <si>
    <t xml:space="preserve">a</t>
  </si>
  <si>
    <t xml:space="preserve">b</t>
  </si>
  <si>
    <t xml:space="preserve">c</t>
  </si>
  <si>
    <t xml:space="preserve">R²</t>
  </si>
  <si>
    <t xml:space="preserve">Pb criterio (%)</t>
  </si>
  <si>
    <t xml:space="preserve">Nota</t>
  </si>
  <si>
    <t xml:space="preserve">Va (%)</t>
  </si>
  <si>
    <t xml:space="preserve">VMA (%)</t>
  </si>
  <si>
    <t xml:space="preserve">VFA (%)</t>
  </si>
  <si>
    <t xml:space="preserve">Estabilidad (kN)</t>
  </si>
  <si>
    <t xml:space="preserve">Pb óptimo calculado (promedio de criterios disponibles)</t>
  </si>
  <si>
    <t xml:space="preserve">Pb de diseño adoptado (editable; por defecto = calculado)</t>
  </si>
  <si>
    <t xml:space="preserve">VERIFICACIÓN EN EL Pb DE DISEÑO (valores leídos de las curvas ajustadas)</t>
  </si>
  <si>
    <t xml:space="preserve">Valor</t>
  </si>
  <si>
    <t xml:space="preserve">Especificación</t>
  </si>
  <si>
    <t xml:space="preserve">Resultado</t>
  </si>
  <si>
    <t xml:space="preserve">-</t>
  </si>
  <si>
    <t xml:space="preserve">Diseño global</t>
  </si>
  <si>
    <t xml:space="preserve">Observaciones:</t>
  </si>
  <si>
    <t xml:space="preserve">1. Gmb por desplazamiento con peso SSS (MTC E 514): Gmb = Seco / (SSS - Sumergido promedio).</t>
  </si>
  <si>
    <t xml:space="preserve">2. Gmm teórica calculada con Gse referencial: Gmm = 100 / (Pb/Gb + Ps/Gse). Reemplazar por Rice (MTC E 508) si se ejecuta.</t>
  </si>
  <si>
    <t xml:space="preserve">3. Estabilidad corregida por altura con el factor de la hoja Factor_Altura (interpolación lineal).</t>
  </si>
  <si>
    <t xml:space="preserve">4. La asociación de lecturas de estabilidad M1-M5 es provisional (secuencia cronológica) y el flujo fue inferido; confirmar con registro original.</t>
  </si>
  <si>
    <t xml:space="preserve">5. Una sola briqueta por contenido de asfalto: la norma recomienda 3 por punto.</t>
  </si>
  <si>
    <t xml:space="preserve">6. CORRECCIÓN M1: pesos sumergidos originales (582/575 g) incompatibles con la densidad geométrica; se recalculan (celdas naranja, ver comentario).</t>
  </si>
  <si>
    <t xml:space="preserve">7. CORRECCIÓN VFA: rango 65-78 % (MS-2, tránsito medio = Clase B). Se agregan Estab./Flujo 1700-4000 kg/cm (EG-2013) y absorción ≤ 2 % (MTC E 514).</t>
  </si>
  <si>
    <t xml:space="preserve">8. ADVERTENCIA: con Gsb = 2.769 y Gse = 2.872 se obtienen VMA 26-31 % y Va 10-17 %, incompatibles con briquetas de absorción &lt; 2 %. Verificar Gsb (MTC E 205/206) y ejecutar Rice (MTC E 508).</t>
  </si>
  <si>
    <t xml:space="preserve">9. Incrementos de Pb no uniformes (5.5, 6.0, 6.5, 8.0, 10.0): se recomienda 5 puntos a 0.5 % alrededor del óptimo estimado (p. ej. 5.5-7.5 %).</t>
  </si>
  <si>
    <t xml:space="preserve">10. Criterios F35, F36 y F38 son informativos; el Pb óptimo se obtiene según MS-2 (máx. Gmb, máx. estabilidad, Va objetivo).</t>
  </si>
  <si>
    <t xml:space="preserve">DISEÑO DE MEZCLAS ASFÁLTICAS EN CALIENTE - GRÁFICAS MARSHALL</t>
  </si>
  <si>
    <t xml:space="preserve">Altura (mm)</t>
  </si>
  <si>
    <t xml:space="preserve">Factor corrección</t>
  </si>
  <si>
    <t xml:space="preserve">Fuente: MTC E 504 / ASTM D6927 (interpolación lineal).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</si>
</sst>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0"/>
    <numFmt numFmtId="166" formatCode="0.00"/>
    <numFmt numFmtId="167" formatCode="0.0"/>
    <numFmt numFmtId="168" formatCode="General"/>
    <numFmt numFmtId="169" formatCode="0"/>
    <numFmt numFmtId="170" formatCode="0.0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libri"/>
      <family val="0"/>
      <charset val="1"/>
    </font>
    <font>
      <sz val="10"/>
      <name val="Arial"/>
      <family val="2"/>
    </font>
    <font>
      <b val="true"/>
      <sz val="13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D9E1F2"/>
        <bgColor rgb="FFD9D9D9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3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/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CE4D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878787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Peso específico Gmb vs %CA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"Gmb"</c:f>
              <c:strCache>
                <c:ptCount val="1"/>
                <c:pt idx="0">
                  <c:v>Gmb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noFill/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poly"/>
            <c:order val="2"/>
            <c:forward val="0"/>
            <c:backward val="0"/>
            <c:dispRSqr val="1"/>
            <c:dispEq val="1"/>
          </c:trendline>
          <c:xVal>
            <c:numRef>
              <c:f>Diseno_Marshall!$B$17:$B$21</c:f>
              <c:numCache>
                <c:formatCode>0.0</c:formatCode>
                <c:ptCount val="5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Diseno_Marshall!$P$17:$P$21</c:f>
              <c:numCache>
                <c:formatCode>0.000</c:formatCode>
                <c:ptCount val="5"/>
                <c:pt idx="0">
                  <c:v>2.20736434108527</c:v>
                </c:pt>
                <c:pt idx="1">
                  <c:v>2.15946205571566</c:v>
                </c:pt>
                <c:pt idx="2">
                  <c:v>2.18450184501845</c:v>
                </c:pt>
                <c:pt idx="3">
                  <c:v>2.18918918918919</c:v>
                </c:pt>
                <c:pt idx="4">
                  <c:v>2.17399267399267</c:v>
                </c:pt>
              </c:numCache>
            </c:numRef>
          </c:yVal>
          <c:smooth val="1"/>
        </c:ser>
        <c:axId val="53241552"/>
        <c:axId val="28818173"/>
      </c:scatterChart>
      <c:valAx>
        <c:axId val="53241552"/>
        <c:scaling>
          <c:orientation val="minMax"/>
          <c:max val="10.5"/>
          <c:min val="5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Contenido de asfalto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818173"/>
        <c:crosses val="autoZero"/>
        <c:crossBetween val="midCat"/>
      </c:valAx>
      <c:valAx>
        <c:axId val="288181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Gmb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241552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% Vacíos en la mezcla vs %CA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"Va (%)"</c:f>
              <c:strCache>
                <c:ptCount val="1"/>
                <c:pt idx="0">
                  <c:v>Va (%)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noFill/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poly"/>
            <c:order val="2"/>
            <c:forward val="0"/>
            <c:backward val="0"/>
            <c:dispRSqr val="1"/>
            <c:dispEq val="1"/>
          </c:trendline>
          <c:xVal>
            <c:numRef>
              <c:f>Diseno_Marshall!$B$17:$B$21</c:f>
              <c:numCache>
                <c:formatCode>0.0</c:formatCode>
                <c:ptCount val="5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Diseno_Marshall!$R$17:$R$21</c:f>
              <c:numCache>
                <c:formatCode>0.00</c:formatCode>
                <c:ptCount val="5"/>
                <c:pt idx="0">
                  <c:v>15.5015548513405</c:v>
                </c:pt>
                <c:pt idx="1">
                  <c:v>16.6557613790134</c:v>
                </c:pt>
                <c:pt idx="2">
                  <c:v>15.0019692716062</c:v>
                </c:pt>
                <c:pt idx="3">
                  <c:v>12.7530106503959</c:v>
                </c:pt>
                <c:pt idx="4">
                  <c:v>10.6223383449549</c:v>
                </c:pt>
              </c:numCache>
            </c:numRef>
          </c:yVal>
          <c:smooth val="1"/>
        </c:ser>
        <c:axId val="33022576"/>
        <c:axId val="56621283"/>
      </c:scatterChart>
      <c:valAx>
        <c:axId val="33022576"/>
        <c:scaling>
          <c:orientation val="minMax"/>
          <c:max val="10.5"/>
          <c:min val="5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Contenido de asfalto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621283"/>
        <c:crosses val="autoZero"/>
        <c:crossBetween val="midCat"/>
      </c:valAx>
      <c:valAx>
        <c:axId val="5662128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Va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022576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% VMA vs %CA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"VMA (%)"</c:f>
              <c:strCache>
                <c:ptCount val="1"/>
                <c:pt idx="0">
                  <c:v>VMA (%)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noFill/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poly"/>
            <c:order val="2"/>
            <c:forward val="0"/>
            <c:backward val="0"/>
            <c:dispRSqr val="1"/>
            <c:dispEq val="1"/>
          </c:trendline>
          <c:xVal>
            <c:numRef>
              <c:f>Diseno_Marshall!$B$17:$B$21</c:f>
              <c:numCache>
                <c:formatCode>0.0</c:formatCode>
                <c:ptCount val="5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Diseno_Marshall!$S$17:$S$21</c:f>
              <c:numCache>
                <c:formatCode>0.00</c:formatCode>
                <c:ptCount val="5"/>
                <c:pt idx="0">
                  <c:v>24.6674141449772</c:v>
                </c:pt>
                <c:pt idx="1">
                  <c:v>26.6921512324768</c:v>
                </c:pt>
                <c:pt idx="2">
                  <c:v>26.2365754751805</c:v>
                </c:pt>
                <c:pt idx="3">
                  <c:v>27.2642089543498</c:v>
                </c:pt>
                <c:pt idx="4">
                  <c:v>29.3393497077138</c:v>
                </c:pt>
              </c:numCache>
            </c:numRef>
          </c:yVal>
          <c:smooth val="1"/>
        </c:ser>
        <c:axId val="26470385"/>
        <c:axId val="8332394"/>
      </c:scatterChart>
      <c:valAx>
        <c:axId val="26470385"/>
        <c:scaling>
          <c:orientation val="minMax"/>
          <c:max val="10.5"/>
          <c:min val="5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Contenido de asfalto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32394"/>
        <c:crosses val="autoZero"/>
        <c:crossBetween val="midCat"/>
      </c:valAx>
      <c:valAx>
        <c:axId val="83323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VMA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470385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% VFA vs %CA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"VFA (%)"</c:f>
              <c:strCache>
                <c:ptCount val="1"/>
                <c:pt idx="0">
                  <c:v>VFA (%)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noFill/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poly"/>
            <c:order val="2"/>
            <c:forward val="0"/>
            <c:backward val="0"/>
            <c:dispRSqr val="1"/>
            <c:dispEq val="1"/>
          </c:trendline>
          <c:xVal>
            <c:numRef>
              <c:f>Diseno_Marshall!$B$17:$B$21</c:f>
              <c:numCache>
                <c:formatCode>0.0</c:formatCode>
                <c:ptCount val="5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Diseno_Marshall!$T$17:$T$21</c:f>
              <c:numCache>
                <c:formatCode>0.0</c:formatCode>
                <c:ptCount val="5"/>
                <c:pt idx="0">
                  <c:v>37.1577630300704</c:v>
                </c:pt>
                <c:pt idx="1">
                  <c:v>37.6005282079022</c:v>
                </c:pt>
                <c:pt idx="2">
                  <c:v>42.8203986232964</c:v>
                </c:pt>
                <c:pt idx="3">
                  <c:v>53.2243511200012</c:v>
                </c:pt>
                <c:pt idx="4">
                  <c:v>63.7949087120967</c:v>
                </c:pt>
              </c:numCache>
            </c:numRef>
          </c:yVal>
          <c:smooth val="1"/>
        </c:ser>
        <c:axId val="86057110"/>
        <c:axId val="40082107"/>
      </c:scatterChart>
      <c:valAx>
        <c:axId val="86057110"/>
        <c:scaling>
          <c:orientation val="minMax"/>
          <c:max val="10.5"/>
          <c:min val="5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Contenido de asfalto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082107"/>
        <c:crosses val="autoZero"/>
        <c:crossBetween val="midCat"/>
      </c:valAx>
      <c:valAx>
        <c:axId val="400821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VFA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057110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Estabilidad vs %CA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"Estabilidad (kN)"</c:f>
              <c:strCache>
                <c:ptCount val="1"/>
                <c:pt idx="0">
                  <c:v>Estabilidad (kN)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noFill/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poly"/>
            <c:order val="2"/>
            <c:forward val="0"/>
            <c:backward val="0"/>
            <c:dispRSqr val="1"/>
            <c:dispEq val="1"/>
          </c:trendline>
          <c:xVal>
            <c:numRef>
              <c:f>Diseno_Marshall!$B$17:$B$21</c:f>
              <c:numCache>
                <c:formatCode>0.0</c:formatCode>
                <c:ptCount val="5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Diseno_Marshall!$X$17:$X$21</c:f>
              <c:numCache>
                <c:formatCode>0.00</c:formatCode>
                <c:ptCount val="5"/>
                <c:pt idx="0">
                  <c:v>8.3430442624375</c:v>
                </c:pt>
                <c:pt idx="1">
                  <c:v>6.09957816776875</c:v>
                </c:pt>
                <c:pt idx="2">
                  <c:v>6.7947335855</c:v>
                </c:pt>
                <c:pt idx="3">
                  <c:v>4.9686005140625</c:v>
                </c:pt>
                <c:pt idx="4">
                  <c:v>6.14724584175625</c:v>
                </c:pt>
              </c:numCache>
            </c:numRef>
          </c:yVal>
          <c:smooth val="1"/>
        </c:ser>
        <c:axId val="51313384"/>
        <c:axId val="38653024"/>
      </c:scatterChart>
      <c:valAx>
        <c:axId val="51313384"/>
        <c:scaling>
          <c:orientation val="minMax"/>
          <c:max val="10.5"/>
          <c:min val="5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Contenido de asfalto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653024"/>
        <c:crosses val="autoZero"/>
        <c:crossBetween val="midCat"/>
      </c:valAx>
      <c:valAx>
        <c:axId val="386530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Estabilidad (kN)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313384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Flujo vs %CA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"Flujo (mm)"</c:f>
              <c:strCache>
                <c:ptCount val="1"/>
                <c:pt idx="0">
                  <c:v>Flujo (mm)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noFill/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poly"/>
            <c:order val="2"/>
            <c:forward val="0"/>
            <c:backward val="0"/>
            <c:dispRSqr val="1"/>
            <c:dispEq val="1"/>
          </c:trendline>
          <c:xVal>
            <c:numRef>
              <c:f>Diseno_Marshall!$B$17:$B$21</c:f>
              <c:numCache>
                <c:formatCode>0.0</c:formatCode>
                <c:ptCount val="5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Diseno_Marshall!$Y$17:$Y$21</c:f>
              <c:numCache>
                <c:formatCode>0.0</c:formatCode>
                <c:ptCount val="5"/>
                <c:pt idx="0">
                  <c:v>4</c:v>
                </c:pt>
                <c:pt idx="1">
                  <c:v>4.4</c:v>
                </c:pt>
                <c:pt idx="2">
                  <c:v>4.9</c:v>
                </c:pt>
                <c:pt idx="3">
                  <c:v>5.8</c:v>
                </c:pt>
                <c:pt idx="4">
                  <c:v>6.7</c:v>
                </c:pt>
              </c:numCache>
            </c:numRef>
          </c:yVal>
          <c:smooth val="1"/>
        </c:ser>
        <c:axId val="51270256"/>
        <c:axId val="81614558"/>
      </c:scatterChart>
      <c:valAx>
        <c:axId val="51270256"/>
        <c:scaling>
          <c:orientation val="minMax"/>
          <c:max val="10.5"/>
          <c:min val="5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Contenido de asfalto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614558"/>
        <c:crosses val="autoZero"/>
        <c:crossBetween val="midCat"/>
      </c:valAx>
      <c:valAx>
        <c:axId val="816145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Flujo (mm)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270256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175680</xdr:rowOff>
    </xdr:from>
    <xdr:to>
      <xdr:col>5</xdr:col>
      <xdr:colOff>525600</xdr:colOff>
      <xdr:row>16</xdr:row>
      <xdr:rowOff>18000</xdr:rowOff>
    </xdr:to>
    <xdr:graphicFrame>
      <xdr:nvGraphicFramePr>
        <xdr:cNvPr id="0" name="Chart 1"/>
        <xdr:cNvGraphicFramePr/>
      </xdr:nvGraphicFramePr>
      <xdr:xfrm>
        <a:off x="0" y="380880"/>
        <a:ext cx="43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</xdr:row>
      <xdr:rowOff>175680</xdr:rowOff>
    </xdr:from>
    <xdr:to>
      <xdr:col>13</xdr:col>
      <xdr:colOff>525600</xdr:colOff>
      <xdr:row>16</xdr:row>
      <xdr:rowOff>18000</xdr:rowOff>
    </xdr:to>
    <xdr:graphicFrame>
      <xdr:nvGraphicFramePr>
        <xdr:cNvPr id="1" name="Chart 2"/>
        <xdr:cNvGraphicFramePr/>
      </xdr:nvGraphicFramePr>
      <xdr:xfrm>
        <a:off x="6070680" y="380880"/>
        <a:ext cx="43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17</xdr:row>
      <xdr:rowOff>176040</xdr:rowOff>
    </xdr:from>
    <xdr:to>
      <xdr:col>5</xdr:col>
      <xdr:colOff>525600</xdr:colOff>
      <xdr:row>32</xdr:row>
      <xdr:rowOff>18000</xdr:rowOff>
    </xdr:to>
    <xdr:graphicFrame>
      <xdr:nvGraphicFramePr>
        <xdr:cNvPr id="2" name="Chart 3"/>
        <xdr:cNvGraphicFramePr/>
      </xdr:nvGraphicFramePr>
      <xdr:xfrm>
        <a:off x="0" y="3429000"/>
        <a:ext cx="43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0</xdr:colOff>
      <xdr:row>17</xdr:row>
      <xdr:rowOff>176040</xdr:rowOff>
    </xdr:from>
    <xdr:to>
      <xdr:col>13</xdr:col>
      <xdr:colOff>525600</xdr:colOff>
      <xdr:row>32</xdr:row>
      <xdr:rowOff>18000</xdr:rowOff>
    </xdr:to>
    <xdr:graphicFrame>
      <xdr:nvGraphicFramePr>
        <xdr:cNvPr id="3" name="Chart 4"/>
        <xdr:cNvGraphicFramePr/>
      </xdr:nvGraphicFramePr>
      <xdr:xfrm>
        <a:off x="6070680" y="3429000"/>
        <a:ext cx="43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33</xdr:row>
      <xdr:rowOff>176040</xdr:rowOff>
    </xdr:from>
    <xdr:to>
      <xdr:col>5</xdr:col>
      <xdr:colOff>525600</xdr:colOff>
      <xdr:row>48</xdr:row>
      <xdr:rowOff>18000</xdr:rowOff>
    </xdr:to>
    <xdr:graphicFrame>
      <xdr:nvGraphicFramePr>
        <xdr:cNvPr id="4" name="Chart 5"/>
        <xdr:cNvGraphicFramePr/>
      </xdr:nvGraphicFramePr>
      <xdr:xfrm>
        <a:off x="0" y="6477120"/>
        <a:ext cx="43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8</xdr:col>
      <xdr:colOff>0</xdr:colOff>
      <xdr:row>33</xdr:row>
      <xdr:rowOff>176040</xdr:rowOff>
    </xdr:from>
    <xdr:to>
      <xdr:col>13</xdr:col>
      <xdr:colOff>525600</xdr:colOff>
      <xdr:row>48</xdr:row>
      <xdr:rowOff>18000</xdr:rowOff>
    </xdr:to>
    <xdr:graphicFrame>
      <xdr:nvGraphicFramePr>
        <xdr:cNvPr id="5" name="Chart 6"/>
        <xdr:cNvGraphicFramePr/>
      </xdr:nvGraphicFramePr>
      <xdr:xfrm>
        <a:off x="6070680" y="6477120"/>
        <a:ext cx="43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6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7"/>
    <col collapsed="false" customWidth="true" hidden="false" outlineLevel="0" max="6" min="4" style="0" width="6"/>
    <col collapsed="false" customWidth="true" hidden="false" outlineLevel="0" max="7" min="7" style="0" width="9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4" min="10" style="0" width="10"/>
    <col collapsed="false" customWidth="true" hidden="false" outlineLevel="0" max="15" min="15" style="0" width="9"/>
    <col collapsed="false" customWidth="true" hidden="false" outlineLevel="0" max="17" min="16" style="0" width="8"/>
    <col collapsed="false" customWidth="true" hidden="false" outlineLevel="0" max="21" min="18" style="0" width="7"/>
    <col collapsed="false" customWidth="true" hidden="false" outlineLevel="0" max="22" min="22" style="0" width="9"/>
    <col collapsed="false" customWidth="true" hidden="false" outlineLevel="0" max="23" min="23" style="0" width="10"/>
    <col collapsed="false" customWidth="true" hidden="false" outlineLevel="0" max="24" min="24" style="0" width="9"/>
    <col collapsed="false" customWidth="true" hidden="false" outlineLevel="0" max="25" min="25" style="0" width="7"/>
    <col collapsed="false" customWidth="true" hidden="false" outlineLevel="0" max="28" min="26" style="0" width="9"/>
  </cols>
  <sheetData>
    <row r="1" customFormat="false" ht="17.9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3" t="s">
        <v>2</v>
      </c>
      <c r="C3" s="4" t="s">
        <v>3</v>
      </c>
    </row>
    <row r="4" customFormat="false" ht="15" hidden="false" customHeight="false" outlineLevel="0" collapsed="false">
      <c r="A4" s="3" t="s">
        <v>4</v>
      </c>
      <c r="C4" s="4" t="s">
        <v>5</v>
      </c>
    </row>
    <row r="5" customFormat="false" ht="15" hidden="false" customHeight="false" outlineLevel="0" collapsed="false">
      <c r="A5" s="3" t="s">
        <v>6</v>
      </c>
      <c r="C5" s="4" t="s">
        <v>7</v>
      </c>
    </row>
    <row r="6" customFormat="false" ht="15" hidden="false" customHeight="false" outlineLevel="0" collapsed="false">
      <c r="A6" s="3" t="s">
        <v>8</v>
      </c>
      <c r="C6" s="4" t="s">
        <v>9</v>
      </c>
    </row>
    <row r="8" customFormat="false" ht="15" hidden="false" customHeight="false" outlineLevel="0" collapsed="false">
      <c r="A8" s="3" t="s">
        <v>10</v>
      </c>
      <c r="G8" s="3" t="s">
        <v>11</v>
      </c>
      <c r="J8" s="5" t="s">
        <v>12</v>
      </c>
      <c r="K8" s="5" t="s">
        <v>13</v>
      </c>
    </row>
    <row r="9" customFormat="false" ht="15" hidden="false" customHeight="false" outlineLevel="0" collapsed="false">
      <c r="A9" s="6" t="s">
        <v>14</v>
      </c>
      <c r="B9" s="6"/>
      <c r="C9" s="6"/>
      <c r="D9" s="7" t="n">
        <v>1.023</v>
      </c>
      <c r="G9" s="6" t="s">
        <v>15</v>
      </c>
      <c r="H9" s="6"/>
      <c r="I9" s="6"/>
      <c r="J9" s="8" t="n">
        <v>5.44</v>
      </c>
    </row>
    <row r="10" customFormat="false" ht="15" hidden="false" customHeight="false" outlineLevel="0" collapsed="false">
      <c r="A10" s="6" t="s">
        <v>16</v>
      </c>
      <c r="B10" s="6"/>
      <c r="C10" s="6"/>
      <c r="D10" s="7" t="n">
        <v>2.769</v>
      </c>
      <c r="G10" s="6" t="s">
        <v>17</v>
      </c>
      <c r="H10" s="6"/>
      <c r="I10" s="6"/>
      <c r="J10" s="8" t="n">
        <v>2</v>
      </c>
      <c r="K10" s="8" t="n">
        <v>4</v>
      </c>
    </row>
    <row r="11" customFormat="false" ht="15" hidden="false" customHeight="false" outlineLevel="0" collapsed="false">
      <c r="A11" s="6" t="s">
        <v>18</v>
      </c>
      <c r="B11" s="6"/>
      <c r="C11" s="6"/>
      <c r="D11" s="7" t="n">
        <v>2.872</v>
      </c>
      <c r="G11" s="6" t="s">
        <v>19</v>
      </c>
      <c r="H11" s="6"/>
      <c r="I11" s="6"/>
      <c r="J11" s="8" t="n">
        <v>3</v>
      </c>
      <c r="K11" s="8" t="n">
        <v>5</v>
      </c>
    </row>
    <row r="12" customFormat="false" ht="15" hidden="false" customHeight="false" outlineLevel="0" collapsed="false">
      <c r="A12" s="6" t="s">
        <v>20</v>
      </c>
      <c r="B12" s="6"/>
      <c r="C12" s="6"/>
      <c r="D12" s="9" t="n">
        <f aca="false">100*D9*(D11-D10)/(D10*D11)</f>
        <v>1.32496823667524</v>
      </c>
      <c r="G12" s="6" t="s">
        <v>21</v>
      </c>
      <c r="H12" s="6"/>
      <c r="I12" s="6"/>
      <c r="J12" s="8" t="n">
        <v>14</v>
      </c>
    </row>
    <row r="13" customFormat="false" ht="15" hidden="false" customHeight="false" outlineLevel="0" collapsed="false">
      <c r="A13" s="6" t="s">
        <v>22</v>
      </c>
      <c r="B13" s="6"/>
      <c r="C13" s="6"/>
      <c r="D13" s="7" t="n">
        <v>10.16</v>
      </c>
      <c r="G13" s="6" t="s">
        <v>23</v>
      </c>
      <c r="H13" s="6"/>
      <c r="I13" s="6"/>
      <c r="J13" s="8" t="n">
        <v>65</v>
      </c>
      <c r="K13" s="8" t="n">
        <v>78</v>
      </c>
    </row>
    <row r="14" customFormat="false" ht="15" hidden="false" customHeight="false" outlineLevel="0" collapsed="false">
      <c r="A14" s="6" t="s">
        <v>24</v>
      </c>
      <c r="B14" s="6"/>
      <c r="C14" s="6"/>
      <c r="D14" s="10" t="n">
        <v>2</v>
      </c>
      <c r="G14" s="6" t="s">
        <v>25</v>
      </c>
      <c r="H14" s="6"/>
      <c r="I14" s="6"/>
      <c r="J14" s="8" t="n">
        <v>4</v>
      </c>
    </row>
    <row r="15" customFormat="false" ht="15" hidden="false" customHeight="false" outlineLevel="0" collapsed="false">
      <c r="G15" s="6" t="s">
        <v>26</v>
      </c>
      <c r="H15" s="6"/>
      <c r="I15" s="6"/>
      <c r="J15" s="8" t="n">
        <v>1700</v>
      </c>
      <c r="K15" s="8" t="n">
        <v>4000</v>
      </c>
    </row>
    <row r="16" customFormat="false" ht="42" hidden="false" customHeight="true" outlineLevel="0" collapsed="false">
      <c r="A16" s="11" t="s">
        <v>27</v>
      </c>
      <c r="B16" s="11" t="s">
        <v>28</v>
      </c>
      <c r="C16" s="11" t="s">
        <v>29</v>
      </c>
      <c r="D16" s="11" t="s">
        <v>30</v>
      </c>
      <c r="E16" s="11" t="s">
        <v>31</v>
      </c>
      <c r="F16" s="11" t="s">
        <v>32</v>
      </c>
      <c r="G16" s="11" t="s">
        <v>33</v>
      </c>
      <c r="H16" s="11" t="s">
        <v>34</v>
      </c>
      <c r="I16" s="11" t="s">
        <v>35</v>
      </c>
      <c r="J16" s="11" t="s">
        <v>36</v>
      </c>
      <c r="K16" s="11" t="s">
        <v>37</v>
      </c>
      <c r="L16" s="11" t="s">
        <v>38</v>
      </c>
      <c r="M16" s="11" t="s">
        <v>39</v>
      </c>
      <c r="N16" s="11" t="s">
        <v>40</v>
      </c>
      <c r="O16" s="11" t="s">
        <v>41</v>
      </c>
      <c r="P16" s="11" t="s">
        <v>42</v>
      </c>
      <c r="Q16" s="11" t="s">
        <v>43</v>
      </c>
      <c r="R16" s="11" t="s">
        <v>44</v>
      </c>
      <c r="S16" s="11" t="s">
        <v>45</v>
      </c>
      <c r="T16" s="11" t="s">
        <v>46</v>
      </c>
      <c r="U16" s="11" t="s">
        <v>47</v>
      </c>
      <c r="V16" s="11" t="s">
        <v>48</v>
      </c>
      <c r="W16" s="11" t="s">
        <v>49</v>
      </c>
      <c r="X16" s="11" t="s">
        <v>50</v>
      </c>
      <c r="Y16" s="11" t="s">
        <v>51</v>
      </c>
      <c r="Z16" s="11" t="s">
        <v>52</v>
      </c>
      <c r="AA16" s="11" t="s">
        <v>53</v>
      </c>
      <c r="AB16" s="11" t="s">
        <v>54</v>
      </c>
    </row>
    <row r="17" customFormat="false" ht="15" hidden="false" customHeight="false" outlineLevel="0" collapsed="false">
      <c r="A17" s="12" t="s">
        <v>55</v>
      </c>
      <c r="B17" s="13" t="n">
        <v>5.5</v>
      </c>
      <c r="C17" s="14" t="n">
        <f aca="false">100-B17</f>
        <v>94.5</v>
      </c>
      <c r="D17" s="12" t="n">
        <v>6.7</v>
      </c>
      <c r="E17" s="12" t="n">
        <v>6.4</v>
      </c>
      <c r="F17" s="12" t="n">
        <v>6.3</v>
      </c>
      <c r="G17" s="12" t="n">
        <v>6.6</v>
      </c>
      <c r="H17" s="15" t="n">
        <f aca="false">AVERAGE(D17:G17)</f>
        <v>6.5</v>
      </c>
      <c r="I17" s="16" t="n">
        <f aca="false">IFERROR(INDEX(Factor_Altura!$B$2:$B$34,MATCH(H17*10,Factor_Altura!$A$2:$A$34,1))+(H17*10-INDEX(Factor_Altura!$A$2:$A$34,MATCH(H17*10,Factor_Altura!$A$2:$A$34,1)))*(INDEX(Factor_Altura!$B$2:$B$34,MATCH(H17*10,Factor_Altura!$A$2:$A$34,1)+1)-INDEX(Factor_Altura!$B$2:$B$34,MATCH(H17*10,Factor_Altura!$A$2:$A$34,1)))/(INDEX(Factor_Altura!$A$2:$A$34,MATCH(H17*10,Factor_Altura!$A$2:$A$34,1)+1)-INDEX(Factor_Altura!$A$2:$A$34,MATCH(H17*10,Factor_Altura!$A$2:$A$34,1))),NA())</f>
        <v>0.9625</v>
      </c>
      <c r="J17" s="12" t="n">
        <v>1139</v>
      </c>
      <c r="K17" s="12" t="n">
        <v>1142</v>
      </c>
      <c r="L17" s="17" t="n">
        <f aca="false">ROUND(K17-J17/(AA17*AVERAGE(P18/AA18,P19/AA19,P20/AA20,P21/AA21)),0)</f>
        <v>626</v>
      </c>
      <c r="M17" s="17" t="n">
        <f aca="false">ROUND(K17-J17/(AA17*AVERAGE(P18/AA18,P19/AA19,P20/AA20,P21/AA21)),0)</f>
        <v>626</v>
      </c>
      <c r="N17" s="14" t="n">
        <f aca="false">AVERAGE(L17:M17)</f>
        <v>626</v>
      </c>
      <c r="O17" s="14" t="n">
        <f aca="false">K17-N17</f>
        <v>516</v>
      </c>
      <c r="P17" s="16" t="n">
        <f aca="false">J17/O17</f>
        <v>2.20736434108527</v>
      </c>
      <c r="Q17" s="16" t="n">
        <f aca="false">100/(B17/$D$9+C17/$D$11)</f>
        <v>2.61231356056531</v>
      </c>
      <c r="R17" s="15" t="n">
        <f aca="false">100*(Q17-P17)/Q17</f>
        <v>15.5015548513405</v>
      </c>
      <c r="S17" s="15" t="n">
        <f aca="false">100-P17*C17/$D$10</f>
        <v>24.6674141449772</v>
      </c>
      <c r="T17" s="14" t="n">
        <f aca="false">100*(S17-R17)/S17</f>
        <v>37.1577630300704</v>
      </c>
      <c r="U17" s="15" t="n">
        <f aca="false">B17-$D$12*C17/100</f>
        <v>4.24790501634189</v>
      </c>
      <c r="V17" s="12" t="n">
        <v>883.9</v>
      </c>
      <c r="W17" s="14" t="n">
        <f aca="false">V17*I17</f>
        <v>850.75375</v>
      </c>
      <c r="X17" s="15" t="n">
        <f aca="false">W17*9.80665/1000</f>
        <v>8.3430442624375</v>
      </c>
      <c r="Y17" s="13" t="n">
        <v>4</v>
      </c>
      <c r="Z17" s="18" t="n">
        <f aca="false">W17/(Y17/10)</f>
        <v>2126.884375</v>
      </c>
      <c r="AA17" s="16" t="n">
        <f aca="false">J17/(PI()*$D$13^2/4*H17)</f>
        <v>2.16138966340692</v>
      </c>
      <c r="AB17" s="15" t="n">
        <f aca="false">100*(K17-J17)/O17</f>
        <v>0.581395348837209</v>
      </c>
    </row>
    <row r="18" customFormat="false" ht="15" hidden="false" customHeight="false" outlineLevel="0" collapsed="false">
      <c r="A18" s="12" t="s">
        <v>56</v>
      </c>
      <c r="B18" s="13" t="n">
        <v>6</v>
      </c>
      <c r="C18" s="14" t="n">
        <f aca="false">100-B18</f>
        <v>94</v>
      </c>
      <c r="D18" s="12" t="n">
        <v>6.8</v>
      </c>
      <c r="E18" s="12" t="n">
        <v>6.7</v>
      </c>
      <c r="F18" s="12" t="n">
        <v>6.6</v>
      </c>
      <c r="G18" s="12" t="n">
        <v>6.6</v>
      </c>
      <c r="H18" s="15" t="n">
        <f aca="false">AVERAGE(D18:G18)</f>
        <v>6.675</v>
      </c>
      <c r="I18" s="16" t="n">
        <f aca="false">IFERROR(INDEX(Factor_Altura!$B$2:$B$34,MATCH(H18*10,Factor_Altura!$A$2:$A$34,1))+(H18*10-INDEX(Factor_Altura!$A$2:$A$34,MATCH(H18*10,Factor_Altura!$A$2:$A$34,1)))*(INDEX(Factor_Altura!$B$2:$B$34,MATCH(H18*10,Factor_Altura!$A$2:$A$34,1)+1)-INDEX(Factor_Altura!$B$2:$B$34,MATCH(H18*10,Factor_Altura!$A$2:$A$34,1)))/(INDEX(Factor_Altura!$A$2:$A$34,MATCH(H18*10,Factor_Altura!$A$2:$A$34,1)+1)-INDEX(Factor_Altura!$A$2:$A$34,MATCH(H18*10,Factor_Altura!$A$2:$A$34,1))),NA())</f>
        <v>0.92875</v>
      </c>
      <c r="J18" s="12" t="n">
        <v>1124</v>
      </c>
      <c r="K18" s="12" t="n">
        <v>1132</v>
      </c>
      <c r="L18" s="12" t="n">
        <v>609</v>
      </c>
      <c r="M18" s="12" t="n">
        <v>614</v>
      </c>
      <c r="N18" s="14" t="n">
        <f aca="false">AVERAGE(L18:M18)</f>
        <v>611.5</v>
      </c>
      <c r="O18" s="14" t="n">
        <f aca="false">K18-N18</f>
        <v>520.5</v>
      </c>
      <c r="P18" s="16" t="n">
        <f aca="false">J18/O18</f>
        <v>2.15946205571566</v>
      </c>
      <c r="Q18" s="16" t="n">
        <f aca="false">100/(B18/$D$9+C18/$D$11)</f>
        <v>2.59101539764009</v>
      </c>
      <c r="R18" s="15" t="n">
        <f aca="false">100*(Q18-P18)/Q18</f>
        <v>16.6557613790134</v>
      </c>
      <c r="S18" s="15" t="n">
        <f aca="false">100-P18*C18/$D$10</f>
        <v>26.6921512324768</v>
      </c>
      <c r="T18" s="14" t="n">
        <f aca="false">100*(S18-R18)/S18</f>
        <v>37.6005282079022</v>
      </c>
      <c r="U18" s="15" t="n">
        <f aca="false">B18-$D$12*C18/100</f>
        <v>4.75452985752527</v>
      </c>
      <c r="V18" s="12" t="n">
        <v>669.7</v>
      </c>
      <c r="W18" s="14" t="n">
        <f aca="false">V18*I18</f>
        <v>621.983875</v>
      </c>
      <c r="X18" s="15" t="n">
        <f aca="false">W18*9.80665/1000</f>
        <v>6.09957816776875</v>
      </c>
      <c r="Y18" s="13" t="n">
        <v>4.4</v>
      </c>
      <c r="Z18" s="18" t="n">
        <f aca="false">W18/(Y18/10)</f>
        <v>1413.59971590909</v>
      </c>
      <c r="AA18" s="16" t="n">
        <f aca="false">J18/(PI()*$D$13^2/4*H18)</f>
        <v>2.07700596565762</v>
      </c>
      <c r="AB18" s="15" t="n">
        <f aca="false">100*(K18-J18)/O18</f>
        <v>1.53698366954851</v>
      </c>
    </row>
    <row r="19" customFormat="false" ht="15" hidden="false" customHeight="false" outlineLevel="0" collapsed="false">
      <c r="A19" s="12" t="s">
        <v>57</v>
      </c>
      <c r="B19" s="13" t="n">
        <v>6.5</v>
      </c>
      <c r="C19" s="14" t="n">
        <f aca="false">100-B19</f>
        <v>93.5</v>
      </c>
      <c r="D19" s="12" t="n">
        <v>6.5</v>
      </c>
      <c r="E19" s="12" t="n">
        <v>6.9</v>
      </c>
      <c r="F19" s="12" t="n">
        <v>7</v>
      </c>
      <c r="G19" s="12" t="n">
        <v>6.8</v>
      </c>
      <c r="H19" s="15" t="n">
        <f aca="false">AVERAGE(D19:G19)</f>
        <v>6.8</v>
      </c>
      <c r="I19" s="16" t="n">
        <f aca="false">IFERROR(INDEX(Factor_Altura!$B$2:$B$34,MATCH(H19*10,Factor_Altura!$A$2:$A$34,1))+(H19*10-INDEX(Factor_Altura!$A$2:$A$34,MATCH(H19*10,Factor_Altura!$A$2:$A$34,1)))*(INDEX(Factor_Altura!$B$2:$B$34,MATCH(H19*10,Factor_Altura!$A$2:$A$34,1)+1)-INDEX(Factor_Altura!$B$2:$B$34,MATCH(H19*10,Factor_Altura!$A$2:$A$34,1)))/(INDEX(Factor_Altura!$A$2:$A$34,MATCH(H19*10,Factor_Altura!$A$2:$A$34,1)+1)-INDEX(Factor_Altura!$A$2:$A$34,MATCH(H19*10,Factor_Altura!$A$2:$A$34,1))),NA())</f>
        <v>0.8975</v>
      </c>
      <c r="J19" s="12" t="n">
        <v>1184</v>
      </c>
      <c r="K19" s="12" t="n">
        <v>1184</v>
      </c>
      <c r="L19" s="12" t="n">
        <v>641</v>
      </c>
      <c r="M19" s="12" t="n">
        <v>643</v>
      </c>
      <c r="N19" s="14" t="n">
        <f aca="false">AVERAGE(L19:M19)</f>
        <v>642</v>
      </c>
      <c r="O19" s="14" t="n">
        <f aca="false">K19-N19</f>
        <v>542</v>
      </c>
      <c r="P19" s="16" t="n">
        <f aca="false">J19/O19</f>
        <v>2.18450184501845</v>
      </c>
      <c r="Q19" s="16" t="n">
        <f aca="false">100/(B19/$D$9+C19/$D$11)</f>
        <v>2.57006171354593</v>
      </c>
      <c r="R19" s="15" t="n">
        <f aca="false">100*(Q19-P19)/Q19</f>
        <v>15.0019692716062</v>
      </c>
      <c r="S19" s="15" t="n">
        <f aca="false">100-P19*C19/$D$10</f>
        <v>26.2365754751805</v>
      </c>
      <c r="T19" s="14" t="n">
        <f aca="false">100*(S19-R19)/S19</f>
        <v>42.8203986232964</v>
      </c>
      <c r="U19" s="15" t="n">
        <f aca="false">B19-$D$12*C19/100</f>
        <v>5.26115469870865</v>
      </c>
      <c r="V19" s="12" t="n">
        <v>772</v>
      </c>
      <c r="W19" s="14" t="n">
        <f aca="false">V19*I19</f>
        <v>692.87</v>
      </c>
      <c r="X19" s="15" t="n">
        <f aca="false">W19*9.80665/1000</f>
        <v>6.7947335855</v>
      </c>
      <c r="Y19" s="13" t="n">
        <v>4.9</v>
      </c>
      <c r="Z19" s="18" t="n">
        <f aca="false">W19/(Y19/10)</f>
        <v>1414.02040816327</v>
      </c>
      <c r="AA19" s="16" t="n">
        <f aca="false">J19/(PI()*$D$13^2/4*H19)</f>
        <v>2.14765982151263</v>
      </c>
      <c r="AB19" s="15" t="n">
        <f aca="false">100*(K19-J19)/O19</f>
        <v>0</v>
      </c>
    </row>
    <row r="20" customFormat="false" ht="15" hidden="false" customHeight="false" outlineLevel="0" collapsed="false">
      <c r="A20" s="12" t="s">
        <v>58</v>
      </c>
      <c r="B20" s="13" t="n">
        <v>8</v>
      </c>
      <c r="C20" s="14" t="n">
        <f aca="false">100-B20</f>
        <v>92</v>
      </c>
      <c r="D20" s="12" t="n">
        <v>6.5</v>
      </c>
      <c r="E20" s="12" t="n">
        <v>6.6</v>
      </c>
      <c r="F20" s="12" t="n">
        <v>6.4</v>
      </c>
      <c r="G20" s="12" t="n">
        <v>6.4</v>
      </c>
      <c r="H20" s="15" t="n">
        <f aca="false">AVERAGE(D20:G20)</f>
        <v>6.475</v>
      </c>
      <c r="I20" s="16" t="n">
        <f aca="false">IFERROR(INDEX(Factor_Altura!$B$2:$B$34,MATCH(H20*10,Factor_Altura!$A$2:$A$34,1))+(H20*10-INDEX(Factor_Altura!$A$2:$A$34,MATCH(H20*10,Factor_Altura!$A$2:$A$34,1)))*(INDEX(Factor_Altura!$B$2:$B$34,MATCH(H20*10,Factor_Altura!$A$2:$A$34,1)+1)-INDEX(Factor_Altura!$B$2:$B$34,MATCH(H20*10,Factor_Altura!$A$2:$A$34,1)))/(INDEX(Factor_Altura!$A$2:$A$34,MATCH(H20*10,Factor_Altura!$A$2:$A$34,1)+1)-INDEX(Factor_Altura!$A$2:$A$34,MATCH(H20*10,Factor_Altura!$A$2:$A$34,1))),NA())</f>
        <v>0.96875</v>
      </c>
      <c r="J20" s="12" t="n">
        <v>1134</v>
      </c>
      <c r="K20" s="12" t="n">
        <v>1136</v>
      </c>
      <c r="L20" s="12" t="n">
        <v>617</v>
      </c>
      <c r="M20" s="12" t="n">
        <v>619</v>
      </c>
      <c r="N20" s="14" t="n">
        <f aca="false">AVERAGE(L20:M20)</f>
        <v>618</v>
      </c>
      <c r="O20" s="14" t="n">
        <f aca="false">K20-N20</f>
        <v>518</v>
      </c>
      <c r="P20" s="16" t="n">
        <f aca="false">J20/O20</f>
        <v>2.18918918918919</v>
      </c>
      <c r="Q20" s="16" t="n">
        <f aca="false">100/(B20/$D$9+C20/$D$11)</f>
        <v>2.50918593926144</v>
      </c>
      <c r="R20" s="15" t="n">
        <f aca="false">100*(Q20-P20)/Q20</f>
        <v>12.7530106503959</v>
      </c>
      <c r="S20" s="15" t="n">
        <f aca="false">100-P20*C20/$D$10</f>
        <v>27.2642089543498</v>
      </c>
      <c r="T20" s="14" t="n">
        <f aca="false">100*(S20-R20)/S20</f>
        <v>53.2243511200012</v>
      </c>
      <c r="U20" s="15" t="n">
        <f aca="false">B20-$D$12*C20/100</f>
        <v>6.78102922225878</v>
      </c>
      <c r="V20" s="12" t="n">
        <v>523</v>
      </c>
      <c r="W20" s="14" t="n">
        <f aca="false">V20*I20</f>
        <v>506.65625</v>
      </c>
      <c r="X20" s="15" t="n">
        <f aca="false">W20*9.80665/1000</f>
        <v>4.9686005140625</v>
      </c>
      <c r="Y20" s="13" t="n">
        <v>5.8</v>
      </c>
      <c r="Z20" s="18" t="n">
        <f aca="false">W20/(Y20/10)</f>
        <v>873.54525862069</v>
      </c>
      <c r="AA20" s="16" t="n">
        <f aca="false">J20/(PI()*$D$13^2/4*H20)</f>
        <v>2.16021006152147</v>
      </c>
      <c r="AB20" s="15" t="n">
        <f aca="false">100*(K20-J20)/O20</f>
        <v>0.386100386100386</v>
      </c>
    </row>
    <row r="21" customFormat="false" ht="15" hidden="false" customHeight="false" outlineLevel="0" collapsed="false">
      <c r="A21" s="12" t="s">
        <v>59</v>
      </c>
      <c r="B21" s="13" t="n">
        <v>10</v>
      </c>
      <c r="C21" s="14" t="n">
        <f aca="false">100-B21</f>
        <v>90</v>
      </c>
      <c r="D21" s="12" t="n">
        <v>6.9</v>
      </c>
      <c r="E21" s="12" t="n">
        <v>6.9</v>
      </c>
      <c r="F21" s="12" t="n">
        <v>6.8</v>
      </c>
      <c r="G21" s="12" t="n">
        <v>6.8</v>
      </c>
      <c r="H21" s="15" t="n">
        <f aca="false">AVERAGE(D21:G21)</f>
        <v>6.85</v>
      </c>
      <c r="I21" s="16" t="n">
        <f aca="false">IFERROR(INDEX(Factor_Altura!$B$2:$B$34,MATCH(H21*10,Factor_Altura!$A$2:$A$34,1))+(H21*10-INDEX(Factor_Altura!$A$2:$A$34,MATCH(H21*10,Factor_Altura!$A$2:$A$34,1)))*(INDEX(Factor_Altura!$B$2:$B$34,MATCH(H21*10,Factor_Altura!$A$2:$A$34,1)+1)-INDEX(Factor_Altura!$B$2:$B$34,MATCH(H21*10,Factor_Altura!$A$2:$A$34,1)))/(INDEX(Factor_Altura!$A$2:$A$34,MATCH(H21*10,Factor_Altura!$A$2:$A$34,1)+1)-INDEX(Factor_Altura!$A$2:$A$34,MATCH(H21*10,Factor_Altura!$A$2:$A$34,1))),NA())</f>
        <v>0.88625</v>
      </c>
      <c r="J21" s="12" t="n">
        <v>1187</v>
      </c>
      <c r="K21" s="12" t="n">
        <v>1187</v>
      </c>
      <c r="L21" s="12" t="n">
        <v>640</v>
      </c>
      <c r="M21" s="12" t="n">
        <v>642</v>
      </c>
      <c r="N21" s="14" t="n">
        <f aca="false">AVERAGE(L21:M21)</f>
        <v>641</v>
      </c>
      <c r="O21" s="14" t="n">
        <f aca="false">K21-N21</f>
        <v>546</v>
      </c>
      <c r="P21" s="16" t="n">
        <f aca="false">J21/O21</f>
        <v>2.17399267399267</v>
      </c>
      <c r="Q21" s="16" t="n">
        <f aca="false">100/(B21/$D$9+C21/$D$11)</f>
        <v>2.43236691779121</v>
      </c>
      <c r="R21" s="15" t="n">
        <f aca="false">100*(Q21-P21)/Q21</f>
        <v>10.6223383449549</v>
      </c>
      <c r="S21" s="15" t="n">
        <f aca="false">100-P21*C21/$D$10</f>
        <v>29.3393497077138</v>
      </c>
      <c r="T21" s="14" t="n">
        <f aca="false">100*(S21-R21)/S21</f>
        <v>63.7949087120967</v>
      </c>
      <c r="U21" s="15" t="n">
        <f aca="false">B21-$D$12*C21/100</f>
        <v>8.80752858699228</v>
      </c>
      <c r="V21" s="12" t="n">
        <v>707.3</v>
      </c>
      <c r="W21" s="14" t="n">
        <f aca="false">V21*I21</f>
        <v>626.844625</v>
      </c>
      <c r="X21" s="15" t="n">
        <f aca="false">W21*9.80665/1000</f>
        <v>6.14724584175625</v>
      </c>
      <c r="Y21" s="13" t="n">
        <v>6.7</v>
      </c>
      <c r="Z21" s="18" t="n">
        <f aca="false">W21/(Y21/10)</f>
        <v>935.588992537313</v>
      </c>
      <c r="AA21" s="16" t="n">
        <f aca="false">J21/(PI()*$D$13^2/4*H21)</f>
        <v>2.13738545760029</v>
      </c>
      <c r="AB21" s="15" t="n">
        <f aca="false">100*(K21-J21)/O21</f>
        <v>0</v>
      </c>
    </row>
    <row r="23" customFormat="false" ht="15" hidden="false" customHeight="false" outlineLevel="0" collapsed="false">
      <c r="A23" s="3" t="s">
        <v>60</v>
      </c>
    </row>
    <row r="24" customFormat="false" ht="41.75" hidden="false" customHeight="false" outlineLevel="0" collapsed="false">
      <c r="A24" s="11" t="s">
        <v>27</v>
      </c>
      <c r="B24" s="11" t="s">
        <v>61</v>
      </c>
      <c r="C24" s="11" t="str">
        <f aca="false">"Va "&amp;$J$11&amp;"-"&amp;$K$11&amp;" %"</f>
        <v>Va 3-5 %</v>
      </c>
      <c r="D24" s="11" t="s">
        <v>62</v>
      </c>
      <c r="E24" s="11" t="str">
        <f aca="false">"VFA "&amp;$J$13&amp;"-"&amp;$K$13&amp;" %"</f>
        <v>VFA 65-78 %</v>
      </c>
      <c r="F24" s="11" t="s">
        <v>63</v>
      </c>
      <c r="G24" s="11" t="str">
        <f aca="false">"Flujo "&amp;$J$10&amp;"-"&amp;$K$10&amp;" mm"</f>
        <v>Flujo 2-4 mm</v>
      </c>
      <c r="H24" s="11" t="s">
        <v>64</v>
      </c>
      <c r="I24" s="11" t="str">
        <f aca="false">"Est/Flujo "&amp;$J$15&amp;"-"&amp;$K$15</f>
        <v>Est/Flujo 1700-4000</v>
      </c>
      <c r="J24" s="11" t="str">
        <f aca="false">"Absorción ≤ "&amp;$D$14&amp;" %"</f>
        <v>Absorción ≤ 2 %</v>
      </c>
    </row>
    <row r="25" customFormat="false" ht="28.35" hidden="false" customHeight="false" outlineLevel="0" collapsed="false">
      <c r="A25" s="19" t="str">
        <f aca="false">A17</f>
        <v>M1</v>
      </c>
      <c r="B25" s="14" t="n">
        <f aca="false">B17</f>
        <v>5.5</v>
      </c>
      <c r="C25" s="19" t="str">
        <f aca="false">IF(AND(R17&gt;=$J$11,R17&lt;=$K$11),"CUMPLE","NO")</f>
        <v>NO</v>
      </c>
      <c r="D25" s="19" t="str">
        <f aca="false">IF(S17&gt;=$J$12,"CUMPLE","NO")</f>
        <v>CUMPLE</v>
      </c>
      <c r="E25" s="19" t="str">
        <f aca="false">IF(AND(T17&gt;=$J$13,T17&lt;=$K$13),"CUMPLE","NO")</f>
        <v>NO</v>
      </c>
      <c r="F25" s="19" t="str">
        <f aca="false">IF(X17&gt;=$J$9,"CUMPLE","NO")</f>
        <v>CUMPLE</v>
      </c>
      <c r="G25" s="19" t="str">
        <f aca="false">IF(AND(Y17&gt;=$J$10,Y17&lt;=$K$10),"CUMPLE","NO")</f>
        <v>CUMPLE</v>
      </c>
      <c r="H25" s="19" t="str">
        <f aca="false">IF(COUNTIF(C25:G25,"NO")+COUNTIF(I25:J25,"NO")=0,"CUMPLE","NO CUMPLE")</f>
        <v>NO CUMPLE</v>
      </c>
      <c r="I25" s="19" t="str">
        <f aca="false">IF(AND(Z17&gt;=$J$15,Z17&lt;=$K$15),"CUMPLE","NO")</f>
        <v>CUMPLE</v>
      </c>
      <c r="J25" s="19" t="str">
        <f aca="false">IF(AB17&lt;=$D$14,"CUMPLE","NO")</f>
        <v>CUMPLE</v>
      </c>
    </row>
    <row r="26" customFormat="false" ht="28.35" hidden="false" customHeight="false" outlineLevel="0" collapsed="false">
      <c r="A26" s="19" t="str">
        <f aca="false">A18</f>
        <v>M2</v>
      </c>
      <c r="B26" s="14" t="n">
        <f aca="false">B18</f>
        <v>6</v>
      </c>
      <c r="C26" s="19" t="str">
        <f aca="false">IF(AND(R18&gt;=$J$11,R18&lt;=$K$11),"CUMPLE","NO")</f>
        <v>NO</v>
      </c>
      <c r="D26" s="19" t="str">
        <f aca="false">IF(S18&gt;=$J$12,"CUMPLE","NO")</f>
        <v>CUMPLE</v>
      </c>
      <c r="E26" s="19" t="str">
        <f aca="false">IF(AND(T18&gt;=$J$13,T18&lt;=$K$13),"CUMPLE","NO")</f>
        <v>NO</v>
      </c>
      <c r="F26" s="19" t="str">
        <f aca="false">IF(X18&gt;=$J$9,"CUMPLE","NO")</f>
        <v>CUMPLE</v>
      </c>
      <c r="G26" s="19" t="str">
        <f aca="false">IF(AND(Y18&gt;=$J$10,Y18&lt;=$K$10),"CUMPLE","NO")</f>
        <v>NO</v>
      </c>
      <c r="H26" s="19" t="str">
        <f aca="false">IF(COUNTIF(C26:G26,"NO")+COUNTIF(I26:J26,"NO")=0,"CUMPLE","NO CUMPLE")</f>
        <v>NO CUMPLE</v>
      </c>
      <c r="I26" s="19" t="str">
        <f aca="false">IF(AND(Z18&gt;=$J$15,Z18&lt;=$K$15),"CUMPLE","NO")</f>
        <v>NO</v>
      </c>
      <c r="J26" s="19" t="str">
        <f aca="false">IF(AB18&lt;=$D$14,"CUMPLE","NO")</f>
        <v>CUMPLE</v>
      </c>
    </row>
    <row r="27" customFormat="false" ht="28.35" hidden="false" customHeight="false" outlineLevel="0" collapsed="false">
      <c r="A27" s="19" t="str">
        <f aca="false">A19</f>
        <v>M3</v>
      </c>
      <c r="B27" s="14" t="n">
        <f aca="false">B19</f>
        <v>6.5</v>
      </c>
      <c r="C27" s="19" t="str">
        <f aca="false">IF(AND(R19&gt;=$J$11,R19&lt;=$K$11),"CUMPLE","NO")</f>
        <v>NO</v>
      </c>
      <c r="D27" s="19" t="str">
        <f aca="false">IF(S19&gt;=$J$12,"CUMPLE","NO")</f>
        <v>CUMPLE</v>
      </c>
      <c r="E27" s="19" t="str">
        <f aca="false">IF(AND(T19&gt;=$J$13,T19&lt;=$K$13),"CUMPLE","NO")</f>
        <v>NO</v>
      </c>
      <c r="F27" s="19" t="str">
        <f aca="false">IF(X19&gt;=$J$9,"CUMPLE","NO")</f>
        <v>CUMPLE</v>
      </c>
      <c r="G27" s="19" t="str">
        <f aca="false">IF(AND(Y19&gt;=$J$10,Y19&lt;=$K$10),"CUMPLE","NO")</f>
        <v>NO</v>
      </c>
      <c r="H27" s="19" t="str">
        <f aca="false">IF(COUNTIF(C27:G27,"NO")+COUNTIF(I27:J27,"NO")=0,"CUMPLE","NO CUMPLE")</f>
        <v>NO CUMPLE</v>
      </c>
      <c r="I27" s="19" t="str">
        <f aca="false">IF(AND(Z19&gt;=$J$15,Z19&lt;=$K$15),"CUMPLE","NO")</f>
        <v>NO</v>
      </c>
      <c r="J27" s="19" t="str">
        <f aca="false">IF(AB19&lt;=$D$14,"CUMPLE","NO")</f>
        <v>CUMPLE</v>
      </c>
    </row>
    <row r="28" customFormat="false" ht="28.35" hidden="false" customHeight="false" outlineLevel="0" collapsed="false">
      <c r="A28" s="19" t="str">
        <f aca="false">A20</f>
        <v>M4</v>
      </c>
      <c r="B28" s="14" t="n">
        <f aca="false">B20</f>
        <v>8</v>
      </c>
      <c r="C28" s="19" t="str">
        <f aca="false">IF(AND(R20&gt;=$J$11,R20&lt;=$K$11),"CUMPLE","NO")</f>
        <v>NO</v>
      </c>
      <c r="D28" s="19" t="str">
        <f aca="false">IF(S20&gt;=$J$12,"CUMPLE","NO")</f>
        <v>CUMPLE</v>
      </c>
      <c r="E28" s="19" t="str">
        <f aca="false">IF(AND(T20&gt;=$J$13,T20&lt;=$K$13),"CUMPLE","NO")</f>
        <v>NO</v>
      </c>
      <c r="F28" s="19" t="str">
        <f aca="false">IF(X20&gt;=$J$9,"CUMPLE","NO")</f>
        <v>NO</v>
      </c>
      <c r="G28" s="19" t="str">
        <f aca="false">IF(AND(Y20&gt;=$J$10,Y20&lt;=$K$10),"CUMPLE","NO")</f>
        <v>NO</v>
      </c>
      <c r="H28" s="19" t="str">
        <f aca="false">IF(COUNTIF(C28:G28,"NO")+COUNTIF(I28:J28,"NO")=0,"CUMPLE","NO CUMPLE")</f>
        <v>NO CUMPLE</v>
      </c>
      <c r="I28" s="19" t="str">
        <f aca="false">IF(AND(Z20&gt;=$J$15,Z20&lt;=$K$15),"CUMPLE","NO")</f>
        <v>NO</v>
      </c>
      <c r="J28" s="19" t="str">
        <f aca="false">IF(AB20&lt;=$D$14,"CUMPLE","NO")</f>
        <v>CUMPLE</v>
      </c>
    </row>
    <row r="29" customFormat="false" ht="28.35" hidden="false" customHeight="false" outlineLevel="0" collapsed="false">
      <c r="A29" s="19" t="str">
        <f aca="false">A21</f>
        <v>M5</v>
      </c>
      <c r="B29" s="14" t="n">
        <f aca="false">B21</f>
        <v>10</v>
      </c>
      <c r="C29" s="19" t="str">
        <f aca="false">IF(AND(R21&gt;=$J$11,R21&lt;=$K$11),"CUMPLE","NO")</f>
        <v>NO</v>
      </c>
      <c r="D29" s="19" t="str">
        <f aca="false">IF(S21&gt;=$J$12,"CUMPLE","NO")</f>
        <v>CUMPLE</v>
      </c>
      <c r="E29" s="19" t="str">
        <f aca="false">IF(AND(T21&gt;=$J$13,T21&lt;=$K$13),"CUMPLE","NO")</f>
        <v>NO</v>
      </c>
      <c r="F29" s="19" t="str">
        <f aca="false">IF(X21&gt;=$J$9,"CUMPLE","NO")</f>
        <v>CUMPLE</v>
      </c>
      <c r="G29" s="19" t="str">
        <f aca="false">IF(AND(Y21&gt;=$J$10,Y21&lt;=$K$10),"CUMPLE","NO")</f>
        <v>NO</v>
      </c>
      <c r="H29" s="19" t="str">
        <f aca="false">IF(COUNTIF(C29:G29,"NO")+COUNTIF(I29:J29,"NO")=0,"CUMPLE","NO CUMPLE")</f>
        <v>NO CUMPLE</v>
      </c>
      <c r="I29" s="19" t="str">
        <f aca="false">IF(AND(Z21&gt;=$J$15,Z21&lt;=$K$15),"CUMPLE","NO")</f>
        <v>NO</v>
      </c>
      <c r="J29" s="19" t="str">
        <f aca="false">IF(AB21&lt;=$D$14,"CUMPLE","NO")</f>
        <v>CUMPLE</v>
      </c>
    </row>
    <row r="31" customFormat="false" ht="15" hidden="false" customHeight="false" outlineLevel="0" collapsed="false">
      <c r="A31" s="3" t="s">
        <v>65</v>
      </c>
    </row>
    <row r="32" customFormat="false" ht="41.75" hidden="false" customHeight="false" outlineLevel="0" collapsed="false">
      <c r="A32" s="11" t="s">
        <v>66</v>
      </c>
      <c r="B32" s="11" t="s">
        <v>67</v>
      </c>
      <c r="C32" s="11" t="s">
        <v>68</v>
      </c>
      <c r="D32" s="11" t="s">
        <v>69</v>
      </c>
      <c r="E32" s="11" t="s">
        <v>70</v>
      </c>
      <c r="F32" s="11" t="s">
        <v>71</v>
      </c>
      <c r="G32" s="11" t="s">
        <v>72</v>
      </c>
    </row>
    <row r="33" customFormat="false" ht="15" hidden="false" customHeight="false" outlineLevel="0" collapsed="false">
      <c r="A33" s="20" t="s">
        <v>42</v>
      </c>
      <c r="B33" s="21" t="n">
        <f aca="false">INDEX(LINEST($P$17:$P$21,$B$17:$B$21^{1,2}),1,1)</f>
        <v>0.000629344612208408</v>
      </c>
      <c r="C33" s="21" t="n">
        <f aca="false">INDEX(LINEST($P$17:$P$21,$B$17:$B$21^{1,2}),1,2)</f>
        <v>-0.0123886191287946</v>
      </c>
      <c r="D33" s="22" t="n">
        <f aca="false">INDEX(LINEST($P$17:$P$21,$B$17:$B$21^{1,2}),1,3)</f>
        <v>2.23780079736221</v>
      </c>
      <c r="E33" s="22" t="n">
        <f aca="false">INDEX(LINEST($P$17:$P$21,$B$17:$B$21^{1,2},TRUE(),TRUE()),3,1)</f>
        <v>0.0764562482328959</v>
      </c>
      <c r="F33" s="23" t="n">
        <f aca="false">IF(AND(B33&lt;0,-C33/(2*B33)&gt;=MIN($B$17:$B$21),-C33/(2*B33)&lt;=MAX($B$17:$B$21)),-C33/(2*B33),INDEX($B$17:$B$21,MATCH(MAX($P$17:$P$21),$P$17:$P$21,0)))</f>
        <v>5.5</v>
      </c>
      <c r="G33" s="20" t="str">
        <f aca="false">IF(AND(B33&lt;0,-C33/(2*B33)&gt;=MIN($B$17:$B$21),-C33/(2*B33)&lt;=MAX($B$17:$B$21)),"Máximo de la parábola","Sin máximo interior: se toma el mayor Gmb medido")</f>
        <v>Sin máximo interior: se toma el mayor Gmb medido</v>
      </c>
    </row>
    <row r="34" customFormat="false" ht="15" hidden="false" customHeight="false" outlineLevel="0" collapsed="false">
      <c r="A34" s="20" t="s">
        <v>73</v>
      </c>
      <c r="B34" s="21" t="n">
        <f aca="false">INDEX(LINEST($R$17:$R$21,$B$17:$B$21^{1,2}),1,1)</f>
        <v>-0.0198957594083034</v>
      </c>
      <c r="C34" s="21" t="n">
        <f aca="false">INDEX(LINEST($R$17:$R$21,$B$17:$B$21^{1,2}),1,2)</f>
        <v>-0.960718594624812</v>
      </c>
      <c r="D34" s="22" t="n">
        <f aca="false">INDEX(LINEST($R$17:$R$21,$B$17:$B$21^{1,2}),1,3)</f>
        <v>22.1084196685134</v>
      </c>
      <c r="E34" s="22" t="n">
        <f aca="false">INDEX(LINEST($R$17:$R$21,$B$17:$B$21^{1,2},TRUE(),TRUE()),3,1)</f>
        <v>0.924787388283259</v>
      </c>
      <c r="F34" s="23" t="str">
        <f aca="false">IFERROR(IF((C34^2-4*B34*(D34-$J$14))&lt;0,"N/A",IF(AND(((-C34+SQRT((C34^2-4*B34*(D34-$J$14))))/(2*B34))&gt;=MIN($B$17:$B$21),((-C34+SQRT((C34^2-4*B34*(D34-$J$14))))/(2*B34))&lt;=MAX($B$17:$B$21)),((-C34+SQRT((C34^2-4*B34*(D34-$J$14))))/(2*B34)),IF(AND(((-C34-SQRT((C34^2-4*B34*(D34-$J$14))))/(2*B34))&gt;=MIN($B$17:$B$21),((-C34-SQRT((C34^2-4*B34*(D34-$J$14))))/(2*B34))&lt;=MAX($B$17:$B$21)),((-C34-SQRT((C34^2-4*B34*(D34-$J$14))))/(2*B34)),"N/A"))),"N/A")</f>
        <v>N/A</v>
      </c>
      <c r="G34" s="20" t="str">
        <f aca="false">IF(ISNUMBER(F34),"Pb para Va objetivo","Va objetivo NO se alcanza en el rango ensayado (Va mín. medido = "&amp;TEXT(MIN($R$17:$R$21),"0.0")&amp;" %)")</f>
        <v>Va objetivo NO se alcanza en el rango ensayado (Va mín. medido = 10.6 %)</v>
      </c>
    </row>
    <row r="35" customFormat="false" ht="15" hidden="false" customHeight="false" outlineLevel="0" collapsed="false">
      <c r="A35" s="20" t="s">
        <v>74</v>
      </c>
      <c r="B35" s="21" t="n">
        <f aca="false">INDEX(LINEST($S$17:$S$21,$B$17:$B$21^{1,2}),1,1)</f>
        <v>-0.0238858905748256</v>
      </c>
      <c r="C35" s="21" t="n">
        <f aca="false">INDEX(LINEST($S$17:$S$21,$B$17:$B$21^{1,2}),1,2)</f>
        <v>1.24625092751936</v>
      </c>
      <c r="D35" s="22" t="n">
        <f aca="false">INDEX(LINEST($S$17:$S$21,$B$17:$B$21^{1,2}),1,3)</f>
        <v>19.1687142611282</v>
      </c>
      <c r="E35" s="22" t="n">
        <f aca="false">INDEX(LINEST($S$17:$S$21,$B$17:$B$21^{1,2},TRUE(),TRUE()),3,1)</f>
        <v>0.882867143136164</v>
      </c>
      <c r="F35" s="23" t="str">
        <f aca="false">IFERROR(IF(AND(B35&gt;0,AND(-C35/(2*B35)&gt;=MIN($B$17:$B$21),-C35/(2*B35)&lt;=MAX($B$17:$B$21))),-C35/(2*B35),"N/A"),"N/A")</f>
        <v>N/A</v>
      </c>
      <c r="G35" s="20" t="str">
        <f aca="false">IF(ISNUMBER(F35),"Mínimo de VMA (informativo: el óptimo debe quedar en o a la izquierda)","Sin mínimo interior de VMA")</f>
        <v>Sin mínimo interior de VMA</v>
      </c>
    </row>
    <row r="36" customFormat="false" ht="15" hidden="false" customHeight="false" outlineLevel="0" collapsed="false">
      <c r="A36" s="20" t="s">
        <v>75</v>
      </c>
      <c r="B36" s="21" t="n">
        <f aca="false">INDEX(LINEST($T$17:$T$21,$B$17:$B$21^{1,2}),1,1)</f>
        <v>-0.200532202656734</v>
      </c>
      <c r="C36" s="21" t="n">
        <f aca="false">INDEX(LINEST($T$17:$T$21,$B$17:$B$21^{1,2}),1,2)</f>
        <v>9.35731437615834</v>
      </c>
      <c r="D36" s="22" t="n">
        <f aca="false">INDEX(LINEST($T$17:$T$21,$B$17:$B$21^{1,2}),1,3)</f>
        <v>-9.52406852487469</v>
      </c>
      <c r="E36" s="22" t="n">
        <f aca="false">INDEX(LINEST($T$17:$T$21,$B$17:$B$21^{1,2},TRUE(),TRUE()),3,1)</f>
        <v>0.989588036469953</v>
      </c>
      <c r="F36" s="23" t="str">
        <f aca="false">IFERROR(IF(AND((-C36+SQRT(C36^2-4*B36*(D36-($J$13+$K$13)/2)))/(2*B36)&gt;=MIN($B$17:$B$21),(-C36+SQRT(C36^2-4*B36*(D36-($J$13+$K$13)/2)))/(2*B36)&lt;=MAX($B$17:$B$21)),(-C36+SQRT(C36^2-4*B36*(D36-($J$13+$K$13)/2)))/(2*B36),IF(AND((-C36-SQRT(C36^2-4*B36*(D36-($J$13+$K$13)/2)))/(2*B36)&gt;=MIN($B$17:$B$21),(-C36-SQRT(C36^2-4*B36*(D36-($J$13+$K$13)/2)))/(2*B36)&lt;=MAX($B$17:$B$21)),(-C36-SQRT(C36^2-4*B36*(D36-($J$13+$K$13)/2)))/(2*B36),"N/A")),"N/A")</f>
        <v>N/A</v>
      </c>
      <c r="G36" s="20" t="str">
        <f aca="false">IF(ISNUMBER(F36),"Pb para VFA medio del rango (informativo)","Fuera del rango ensayado")</f>
        <v>Fuera del rango ensayado</v>
      </c>
    </row>
    <row r="37" customFormat="false" ht="15" hidden="false" customHeight="false" outlineLevel="0" collapsed="false">
      <c r="A37" s="20" t="s">
        <v>76</v>
      </c>
      <c r="B37" s="21" t="n">
        <f aca="false">INDEX(LINEST($X$17:$X$21,$B$17:$B$21^{1,2}),1,1)</f>
        <v>0.388711097558842</v>
      </c>
      <c r="C37" s="21" t="n">
        <f aca="false">INDEX(LINEST($X$17:$X$21,$B$17:$B$21^{1,2}),1,2)</f>
        <v>-6.4312038333706</v>
      </c>
      <c r="D37" s="22" t="n">
        <f aca="false">INDEX(LINEST($X$17:$X$21,$B$17:$B$21^{1,2}),1,3)</f>
        <v>31.5905532576165</v>
      </c>
      <c r="E37" s="22" t="n">
        <f aca="false">INDEX(LINEST($X$17:$X$21,$B$17:$B$21^{1,2},TRUE(),TRUE()),3,1)</f>
        <v>0.7900908008705</v>
      </c>
      <c r="F37" s="23" t="n">
        <f aca="false">IF(AND(B37&lt;0,-C37/(2*B37)&gt;=MIN($B$17:$B$21),-C37/(2*B37)&lt;=MAX($B$17:$B$21)),-C37/(2*B37),INDEX($B$17:$B$21,MATCH(MAX($X$17:$X$21),$X$17:$X$21,0)))</f>
        <v>5.5</v>
      </c>
      <c r="G37" s="20" t="str">
        <f aca="false">IF(AND(B37&lt;0,-C37/(2*B37)&gt;=MIN($B$17:$B$21),-C37/(2*B37)&lt;=MAX($B$17:$B$21)),"Máximo de la parábola","Sin máximo interior: se toma la mayor estabilidad medida")</f>
        <v>Sin máximo interior: se toma la mayor estabilidad medida</v>
      </c>
    </row>
    <row r="38" customFormat="false" ht="15" hidden="false" customHeight="false" outlineLevel="0" collapsed="false">
      <c r="A38" s="20" t="s">
        <v>17</v>
      </c>
      <c r="B38" s="21" t="n">
        <f aca="false">INDEX(LINEST($Y$17:$Y$21,$B$17:$B$21^{1,2}),1,1)</f>
        <v>-0.0665553973786265</v>
      </c>
      <c r="C38" s="21" t="n">
        <f aca="false">INDEX(LINEST($Y$17:$Y$21,$B$17:$B$21^{1,2}),1,2)</f>
        <v>1.62909528250945</v>
      </c>
      <c r="D38" s="22" t="n">
        <f aca="false">INDEX(LINEST($Y$17:$Y$21,$B$17:$B$21^{1,2}),1,3)</f>
        <v>-2.94221687693289</v>
      </c>
      <c r="E38" s="22" t="n">
        <f aca="false">INDEX(LINEST($Y$17:$Y$21,$B$17:$B$21^{1,2},TRUE(),TRUE()),3,1)</f>
        <v>0.998620518139559</v>
      </c>
      <c r="F38" s="23" t="str">
        <f aca="false">IFERROR(IF(AND((-C38+SQRT(C38^2-4*B38*(D38-$K$10)))/(2*B38)&gt;=MIN($B$17:$B$21),(-C38+SQRT(C38^2-4*B38*(D38-$K$10)))/(2*B38)&lt;=MAX($B$17:$B$21)),(-C38+SQRT(C38^2-4*B38*(D38-$K$10)))/(2*B38),IF(AND((-C38-SQRT(C38^2-4*B38*(D38-$K$10)))/(2*B38)&gt;=MIN($B$17:$B$21),(-C38-SQRT(C38^2-4*B38*(D38-$K$10)))/(2*B38)&lt;=MAX($B$17:$B$21)),(-C38-SQRT(C38^2-4*B38*(D38-$K$10)))/(2*B38),"N/A")),"N/A")</f>
        <v>N/A</v>
      </c>
      <c r="G38" s="20" t="str">
        <f aca="false">IF(ISNUMBER(F38),"Pb para flujo máximo (límite superior de Pb)","Fuera del rango ensayado")</f>
        <v>Fuera del rango ensayado</v>
      </c>
    </row>
    <row r="40" customFormat="false" ht="15" hidden="false" customHeight="false" outlineLevel="0" collapsed="false">
      <c r="A40" s="3" t="s">
        <v>77</v>
      </c>
      <c r="F40" s="24" t="n">
        <f aca="false">AVERAGE(F33,F37,F34)</f>
        <v>5.5</v>
      </c>
      <c r="G40" s="0" t="str">
        <f aca="false">IF(ISNUMBER(F34),"Promedio de 3 criterios","PROVISIONAL: solo promedio de máx. Gmb y máx. estabilidad")</f>
        <v>PROVISIONAL: solo promedio de máx. Gmb y máx. estabilidad</v>
      </c>
    </row>
    <row r="41" customFormat="false" ht="15" hidden="false" customHeight="false" outlineLevel="0" collapsed="false">
      <c r="A41" s="3" t="s">
        <v>78</v>
      </c>
      <c r="F41" s="25" t="n">
        <f aca="false">ROUND(F40*10,0)/10</f>
        <v>5.5</v>
      </c>
    </row>
    <row r="43" customFormat="false" ht="15" hidden="false" customHeight="false" outlineLevel="0" collapsed="false">
      <c r="A43" s="3" t="s">
        <v>79</v>
      </c>
    </row>
    <row r="44" customFormat="false" ht="41.75" hidden="false" customHeight="false" outlineLevel="0" collapsed="false">
      <c r="A44" s="11" t="s">
        <v>66</v>
      </c>
      <c r="B44" s="11" t="s">
        <v>80</v>
      </c>
      <c r="C44" s="11" t="s">
        <v>81</v>
      </c>
      <c r="D44" s="11" t="s">
        <v>82</v>
      </c>
    </row>
    <row r="45" customFormat="false" ht="15" hidden="false" customHeight="false" outlineLevel="0" collapsed="false">
      <c r="A45" s="19" t="s">
        <v>42</v>
      </c>
      <c r="B45" s="16" t="n">
        <f aca="false">B33*$F$41^2+C33*$F$41+D33</f>
        <v>2.18870106667315</v>
      </c>
      <c r="C45" s="19" t="s">
        <v>83</v>
      </c>
      <c r="D45" s="19" t="str">
        <f aca="false">"-"</f>
        <v>-</v>
      </c>
    </row>
    <row r="46" customFormat="false" ht="41.75" hidden="false" customHeight="false" outlineLevel="0" collapsed="false">
      <c r="A46" s="19" t="s">
        <v>73</v>
      </c>
      <c r="B46" s="15" t="n">
        <f aca="false">B34*$F$41^2+C34*$F$41+D34</f>
        <v>16.2226206759757</v>
      </c>
      <c r="C46" s="19" t="str">
        <f aca="false">TEXT($J$11,"0")&amp;" - "&amp;TEXT($K$11,"0")&amp;" %"</f>
        <v>3 - 5 %</v>
      </c>
      <c r="D46" s="19" t="str">
        <f aca="false">IF(AND(B46&gt;=$J$11,B46&lt;=$K$11),"CUMPLE","NO CUMPLE")</f>
        <v>NO CUMPLE</v>
      </c>
    </row>
    <row r="47" customFormat="false" ht="28.35" hidden="false" customHeight="false" outlineLevel="0" collapsed="false">
      <c r="A47" s="19" t="s">
        <v>74</v>
      </c>
      <c r="B47" s="15" t="n">
        <f aca="false">B35*$F$41^2+C35*$F$41+D35</f>
        <v>25.3005461725962</v>
      </c>
      <c r="C47" s="19" t="str">
        <f aca="false">"≥ "&amp;TEXT($J$12,"0")&amp;" %"</f>
        <v>≥ 14 %</v>
      </c>
      <c r="D47" s="19" t="str">
        <f aca="false">IF(B47&gt;=$J$12,"CUMPLE","NO CUMPLE")</f>
        <v>CUMPLE</v>
      </c>
    </row>
    <row r="48" customFormat="false" ht="41.75" hidden="false" customHeight="false" outlineLevel="0" collapsed="false">
      <c r="A48" s="19" t="s">
        <v>75</v>
      </c>
      <c r="B48" s="14" t="n">
        <f aca="false">B36*$F$41^2+C36*$F$41+D36</f>
        <v>35.87506141363</v>
      </c>
      <c r="C48" s="19" t="str">
        <f aca="false">TEXT($J$13,"0")&amp;" - "&amp;TEXT($K$13,"0")&amp;" %"</f>
        <v>65 - 78 %</v>
      </c>
      <c r="D48" s="19" t="str">
        <f aca="false">IF(AND(B48&gt;=$J$13,B48&lt;=$K$13),"CUMPLE","NO CUMPLE")</f>
        <v>NO CUMPLE</v>
      </c>
    </row>
    <row r="49" customFormat="false" ht="28.35" hidden="false" customHeight="false" outlineLevel="0" collapsed="false">
      <c r="A49" s="19" t="s">
        <v>76</v>
      </c>
      <c r="B49" s="15" t="n">
        <f aca="false">B37*$F$41^2+C37*$F$41+D37</f>
        <v>7.97744287523311</v>
      </c>
      <c r="C49" s="19" t="str">
        <f aca="false">"≥ "&amp;TEXT($J$9,"0.00")&amp;" kN"</f>
        <v>≥ 5.44 kN</v>
      </c>
      <c r="D49" s="19" t="str">
        <f aca="false">IF(B49&gt;=$J$9,"CUMPLE","NO CUMPLE")</f>
        <v>CUMPLE</v>
      </c>
    </row>
    <row r="50" customFormat="false" ht="41.75" hidden="false" customHeight="false" outlineLevel="0" collapsed="false">
      <c r="A50" s="19" t="s">
        <v>17</v>
      </c>
      <c r="B50" s="15" t="n">
        <f aca="false">B38*$F$41^2+C38*$F$41+D38</f>
        <v>4.00450640616563</v>
      </c>
      <c r="C50" s="19" t="str">
        <f aca="false">TEXT($J$10,"0")&amp;" - "&amp;TEXT($K$10,"0")&amp;" mm"</f>
        <v>2 - 4 mm</v>
      </c>
      <c r="D50" s="19" t="str">
        <f aca="false">IF(AND(B50&gt;=$J$10,B50&lt;=$K$10),"CUMPLE","NO CUMPLE")</f>
        <v>NO CUMPLE</v>
      </c>
    </row>
    <row r="51" customFormat="false" ht="41.75" hidden="false" customHeight="false" outlineLevel="0" collapsed="false">
      <c r="A51" s="19" t="s">
        <v>26</v>
      </c>
      <c r="B51" s="18" t="n">
        <f aca="false">B49*1000/9.80665/(B50/10)</f>
        <v>2031.39338857235</v>
      </c>
      <c r="C51" s="19" t="str">
        <f aca="false">TEXT($J$15,"0")&amp;" - "&amp;TEXT($K$15,"0")&amp;" kg/cm"</f>
        <v>1700 - 4000 kg/cm</v>
      </c>
      <c r="D51" s="19" t="str">
        <f aca="false">IF(AND(B51&gt;=$J$15,B51&lt;=$K$15),"CUMPLE","NO CUMPLE")</f>
        <v>CUMPLE</v>
      </c>
    </row>
    <row r="52" customFormat="false" ht="41.75" hidden="false" customHeight="false" outlineLevel="0" collapsed="false">
      <c r="A52" s="26" t="s">
        <v>84</v>
      </c>
      <c r="B52" s="15"/>
      <c r="C52" s="19"/>
      <c r="D52" s="19" t="str">
        <f aca="false">IF(COUNTIF(D46:D51,"NO CUMPLE")=0,"CUMPLE","NO CUMPLE")</f>
        <v>NO CUMPLE</v>
      </c>
    </row>
    <row r="54" customFormat="false" ht="15" hidden="false" customHeight="false" outlineLevel="0" collapsed="false">
      <c r="A54" s="27" t="s">
        <v>85</v>
      </c>
    </row>
    <row r="55" customFormat="false" ht="15" hidden="false" customHeight="false" outlineLevel="0" collapsed="false">
      <c r="A55" s="0" t="s">
        <v>86</v>
      </c>
    </row>
    <row r="56" customFormat="false" ht="15" hidden="false" customHeight="false" outlineLevel="0" collapsed="false">
      <c r="A56" s="0" t="s">
        <v>87</v>
      </c>
    </row>
    <row r="57" customFormat="false" ht="15" hidden="false" customHeight="false" outlineLevel="0" collapsed="false">
      <c r="A57" s="0" t="s">
        <v>88</v>
      </c>
    </row>
    <row r="58" customFormat="false" ht="15" hidden="false" customHeight="false" outlineLevel="0" collapsed="false">
      <c r="A58" s="0" t="s">
        <v>89</v>
      </c>
    </row>
    <row r="59" customFormat="false" ht="15" hidden="false" customHeight="false" outlineLevel="0" collapsed="false">
      <c r="A59" s="0" t="s">
        <v>90</v>
      </c>
    </row>
    <row r="60" customFormat="false" ht="15" hidden="false" customHeight="false" outlineLevel="0" collapsed="false">
      <c r="A60" s="0" t="s">
        <v>91</v>
      </c>
    </row>
    <row r="61" customFormat="false" ht="15" hidden="false" customHeight="false" outlineLevel="0" collapsed="false">
      <c r="A61" s="0" t="s">
        <v>92</v>
      </c>
    </row>
    <row r="62" customFormat="false" ht="15" hidden="false" customHeight="false" outlineLevel="0" collapsed="false">
      <c r="A62" s="0" t="s">
        <v>93</v>
      </c>
    </row>
    <row r="63" customFormat="false" ht="15" hidden="false" customHeight="false" outlineLevel="0" collapsed="false">
      <c r="A63" s="0" t="s">
        <v>94</v>
      </c>
    </row>
    <row r="64" customFormat="false" ht="15" hidden="false" customHeight="false" outlineLevel="0" collapsed="false">
      <c r="A64" s="0" t="s">
        <v>95</v>
      </c>
    </row>
  </sheetData>
  <mergeCells count="15">
    <mergeCell ref="A1:Z1"/>
    <mergeCell ref="A2:Z2"/>
    <mergeCell ref="A9:C9"/>
    <mergeCell ref="G9:I9"/>
    <mergeCell ref="A10:C10"/>
    <mergeCell ref="G10:I10"/>
    <mergeCell ref="A11:C11"/>
    <mergeCell ref="G11:I11"/>
    <mergeCell ref="A12:C12"/>
    <mergeCell ref="G12:I12"/>
    <mergeCell ref="A13:C13"/>
    <mergeCell ref="G13:I13"/>
    <mergeCell ref="A14:C14"/>
    <mergeCell ref="G14:I14"/>
    <mergeCell ref="G15:I15"/>
  </mergeCells>
  <conditionalFormatting sqref="C25:J29">
    <cfRule type="cellIs" priority="2" operator="equal" aboveAverage="0" equalAverage="0" bottom="0" percent="0" rank="0" text="" dxfId="0">
      <formula>"CUMPLE"</formula>
    </cfRule>
    <cfRule type="cellIs" priority="3" operator="notEqual" aboveAverage="0" equalAverage="0" bottom="0" percent="0" rank="0" text="" dxfId="1">
      <formula>"CUMPLE"</formula>
    </cfRule>
  </conditionalFormatting>
  <conditionalFormatting sqref="D46:D51">
    <cfRule type="cellIs" priority="4" operator="equal" aboveAverage="0" equalAverage="0" bottom="0" percent="0" rank="0" text="" dxfId="0">
      <formula>"CUMPLE"</formula>
    </cfRule>
    <cfRule type="cellIs" priority="5" operator="notEqual" aboveAverage="0" equalAverage="0" bottom="0" percent="0" rank="0" text="" dxfId="1">
      <formula>"CUMPLE"</formula>
    </cfRule>
  </conditionalFormatting>
  <conditionalFormatting sqref="D45">
    <cfRule type="cellIs" priority="6" operator="equal" aboveAverage="0" equalAverage="0" bottom="0" percent="0" rank="0" text="" dxfId="2">
      <formula>"-"</formula>
    </cfRule>
  </conditionalFormatting>
  <conditionalFormatting sqref="D52">
    <cfRule type="cellIs" priority="7" operator="equal" aboveAverage="0" equalAverage="0" bottom="0" percent="0" rank="0" text="" dxfId="3">
      <formula>"CUMPLE"</formula>
    </cfRule>
    <cfRule type="cellIs" priority="8" operator="notEqual" aboveAverage="0" equalAverage="0" bottom="0" percent="0" rank="0" text="" dxfId="4">
      <formula>"CUMPLE"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6.15" hidden="false" customHeight="false" outlineLevel="0" collapsed="false">
      <c r="A1" s="28" t="s"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29" t="s">
        <v>97</v>
      </c>
      <c r="B1" s="29" t="s">
        <v>98</v>
      </c>
      <c r="D1" s="4" t="s">
        <v>99</v>
      </c>
    </row>
    <row r="2" customFormat="false" ht="15" hidden="false" customHeight="false" outlineLevel="0" collapsed="false">
      <c r="A2" s="20" t="n">
        <v>25.4</v>
      </c>
      <c r="B2" s="20" t="n">
        <v>5.56</v>
      </c>
    </row>
    <row r="3" customFormat="false" ht="15" hidden="false" customHeight="false" outlineLevel="0" collapsed="false">
      <c r="A3" s="20" t="n">
        <v>27</v>
      </c>
      <c r="B3" s="20" t="n">
        <v>5</v>
      </c>
    </row>
    <row r="4" customFormat="false" ht="15" hidden="false" customHeight="false" outlineLevel="0" collapsed="false">
      <c r="A4" s="20" t="n">
        <v>28.6</v>
      </c>
      <c r="B4" s="20" t="n">
        <v>4.55</v>
      </c>
    </row>
    <row r="5" customFormat="false" ht="15" hidden="false" customHeight="false" outlineLevel="0" collapsed="false">
      <c r="A5" s="20" t="n">
        <v>30.2</v>
      </c>
      <c r="B5" s="20" t="n">
        <v>4.17</v>
      </c>
    </row>
    <row r="6" customFormat="false" ht="15" hidden="false" customHeight="false" outlineLevel="0" collapsed="false">
      <c r="A6" s="20" t="n">
        <v>31.8</v>
      </c>
      <c r="B6" s="20" t="n">
        <v>3.85</v>
      </c>
    </row>
    <row r="7" customFormat="false" ht="15" hidden="false" customHeight="false" outlineLevel="0" collapsed="false">
      <c r="A7" s="20" t="n">
        <v>33.3</v>
      </c>
      <c r="B7" s="20" t="n">
        <v>3.57</v>
      </c>
    </row>
    <row r="8" customFormat="false" ht="15" hidden="false" customHeight="false" outlineLevel="0" collapsed="false">
      <c r="A8" s="20" t="n">
        <v>34.9</v>
      </c>
      <c r="B8" s="20" t="n">
        <v>3.33</v>
      </c>
    </row>
    <row r="9" customFormat="false" ht="15" hidden="false" customHeight="false" outlineLevel="0" collapsed="false">
      <c r="A9" s="20" t="n">
        <v>36.5</v>
      </c>
      <c r="B9" s="20" t="n">
        <v>3.03</v>
      </c>
    </row>
    <row r="10" customFormat="false" ht="15" hidden="false" customHeight="false" outlineLevel="0" collapsed="false">
      <c r="A10" s="20" t="n">
        <v>38.1</v>
      </c>
      <c r="B10" s="20" t="n">
        <v>2.78</v>
      </c>
    </row>
    <row r="11" customFormat="false" ht="15" hidden="false" customHeight="false" outlineLevel="0" collapsed="false">
      <c r="A11" s="20" t="n">
        <v>39.7</v>
      </c>
      <c r="B11" s="20" t="n">
        <v>2.5</v>
      </c>
    </row>
    <row r="12" customFormat="false" ht="15" hidden="false" customHeight="false" outlineLevel="0" collapsed="false">
      <c r="A12" s="20" t="n">
        <v>41.3</v>
      </c>
      <c r="B12" s="20" t="n">
        <v>2.27</v>
      </c>
    </row>
    <row r="13" customFormat="false" ht="15" hidden="false" customHeight="false" outlineLevel="0" collapsed="false">
      <c r="A13" s="20" t="n">
        <v>42.9</v>
      </c>
      <c r="B13" s="20" t="n">
        <v>2.08</v>
      </c>
    </row>
    <row r="14" customFormat="false" ht="15" hidden="false" customHeight="false" outlineLevel="0" collapsed="false">
      <c r="A14" s="20" t="n">
        <v>44.4</v>
      </c>
      <c r="B14" s="20" t="n">
        <v>1.92</v>
      </c>
    </row>
    <row r="15" customFormat="false" ht="15" hidden="false" customHeight="false" outlineLevel="0" collapsed="false">
      <c r="A15" s="20" t="n">
        <v>46</v>
      </c>
      <c r="B15" s="20" t="n">
        <v>1.79</v>
      </c>
    </row>
    <row r="16" customFormat="false" ht="15" hidden="false" customHeight="false" outlineLevel="0" collapsed="false">
      <c r="A16" s="20" t="n">
        <v>47.6</v>
      </c>
      <c r="B16" s="20" t="n">
        <v>1.67</v>
      </c>
    </row>
    <row r="17" customFormat="false" ht="15" hidden="false" customHeight="false" outlineLevel="0" collapsed="false">
      <c r="A17" s="20" t="n">
        <v>49.2</v>
      </c>
      <c r="B17" s="20" t="n">
        <v>1.56</v>
      </c>
    </row>
    <row r="18" customFormat="false" ht="15" hidden="false" customHeight="false" outlineLevel="0" collapsed="false">
      <c r="A18" s="20" t="n">
        <v>50.8</v>
      </c>
      <c r="B18" s="20" t="n">
        <v>1.47</v>
      </c>
    </row>
    <row r="19" customFormat="false" ht="15" hidden="false" customHeight="false" outlineLevel="0" collapsed="false">
      <c r="A19" s="20" t="n">
        <v>52.4</v>
      </c>
      <c r="B19" s="20" t="n">
        <v>1.39</v>
      </c>
    </row>
    <row r="20" customFormat="false" ht="15" hidden="false" customHeight="false" outlineLevel="0" collapsed="false">
      <c r="A20" s="20" t="n">
        <v>54</v>
      </c>
      <c r="B20" s="20" t="n">
        <v>1.32</v>
      </c>
    </row>
    <row r="21" customFormat="false" ht="15" hidden="false" customHeight="false" outlineLevel="0" collapsed="false">
      <c r="A21" s="20" t="n">
        <v>55.6</v>
      </c>
      <c r="B21" s="20" t="n">
        <v>1.25</v>
      </c>
    </row>
    <row r="22" customFormat="false" ht="15" hidden="false" customHeight="false" outlineLevel="0" collapsed="false">
      <c r="A22" s="20" t="n">
        <v>57.2</v>
      </c>
      <c r="B22" s="20" t="n">
        <v>1.19</v>
      </c>
    </row>
    <row r="23" customFormat="false" ht="15" hidden="false" customHeight="false" outlineLevel="0" collapsed="false">
      <c r="A23" s="20" t="n">
        <v>58.7</v>
      </c>
      <c r="B23" s="20" t="n">
        <v>1.14</v>
      </c>
    </row>
    <row r="24" customFormat="false" ht="15" hidden="false" customHeight="false" outlineLevel="0" collapsed="false">
      <c r="A24" s="20" t="n">
        <v>60.3</v>
      </c>
      <c r="B24" s="20" t="n">
        <v>1.09</v>
      </c>
    </row>
    <row r="25" customFormat="false" ht="15" hidden="false" customHeight="false" outlineLevel="0" collapsed="false">
      <c r="A25" s="20" t="n">
        <v>61.9</v>
      </c>
      <c r="B25" s="20" t="n">
        <v>1.04</v>
      </c>
    </row>
    <row r="26" customFormat="false" ht="15" hidden="false" customHeight="false" outlineLevel="0" collapsed="false">
      <c r="A26" s="20" t="n">
        <v>63.5</v>
      </c>
      <c r="B26" s="20" t="n">
        <v>1</v>
      </c>
    </row>
    <row r="27" customFormat="false" ht="15" hidden="false" customHeight="false" outlineLevel="0" collapsed="false">
      <c r="A27" s="20" t="n">
        <v>65.1</v>
      </c>
      <c r="B27" s="20" t="n">
        <v>0.96</v>
      </c>
    </row>
    <row r="28" customFormat="false" ht="15" hidden="false" customHeight="false" outlineLevel="0" collapsed="false">
      <c r="A28" s="20" t="n">
        <v>66.7</v>
      </c>
      <c r="B28" s="20" t="n">
        <v>0.93</v>
      </c>
    </row>
    <row r="29" customFormat="false" ht="15" hidden="false" customHeight="false" outlineLevel="0" collapsed="false">
      <c r="A29" s="20" t="n">
        <v>68.3</v>
      </c>
      <c r="B29" s="20" t="n">
        <v>0.89</v>
      </c>
    </row>
    <row r="30" customFormat="false" ht="15" hidden="false" customHeight="false" outlineLevel="0" collapsed="false">
      <c r="A30" s="20" t="n">
        <v>69.9</v>
      </c>
      <c r="B30" s="20" t="n">
        <v>0.86</v>
      </c>
    </row>
    <row r="31" customFormat="false" ht="15" hidden="false" customHeight="false" outlineLevel="0" collapsed="false">
      <c r="A31" s="20" t="n">
        <v>71.4</v>
      </c>
      <c r="B31" s="20" t="n">
        <v>0.83</v>
      </c>
    </row>
    <row r="32" customFormat="false" ht="15" hidden="false" customHeight="false" outlineLevel="0" collapsed="false">
      <c r="A32" s="20" t="n">
        <v>73</v>
      </c>
      <c r="B32" s="20" t="n">
        <v>0.81</v>
      </c>
    </row>
    <row r="33" customFormat="false" ht="15" hidden="false" customHeight="false" outlineLevel="0" collapsed="false">
      <c r="A33" s="20" t="n">
        <v>74.6</v>
      </c>
      <c r="B33" s="20" t="n">
        <v>0.78</v>
      </c>
    </row>
    <row r="34" customFormat="false" ht="15" hidden="false" customHeight="false" outlineLevel="0" collapsed="false">
      <c r="A34" s="20" t="n">
        <v>76.2</v>
      </c>
      <c r="B34" s="20" t="n">
        <v>0.76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2026-10-05T13:59:06Z</dcterms:created>
  <dc:creator>openpyxl</dc:creator>
  <dc:description/>
  <dc:language>en-US</dc:language>
  <cp:lastModifiedBy/>
  <dcterms:modified xsi:type="dcterms:W3CDTF">2026-10-05T14:51:18Z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